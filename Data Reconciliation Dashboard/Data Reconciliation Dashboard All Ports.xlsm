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3.xml" ContentType="application/vnd.openxmlformats-officedocument.spreadsheetml.queryTable+xml"/>
  <Override PartName="/xl/tables/table15.xml" ContentType="application/vnd.openxmlformats-officedocument.spreadsheetml.table+xml"/>
  <Override PartName="/xl/queryTables/queryTable4.xml" ContentType="application/vnd.openxmlformats-officedocument.spreadsheetml.queryTable+xml"/>
  <Override PartName="/xl/tables/table16.xml" ContentType="application/vnd.openxmlformats-officedocument.spreadsheetml.table+xml"/>
  <Override PartName="/xl/queryTables/queryTable5.xml" ContentType="application/vnd.openxmlformats-officedocument.spreadsheetml.queryTable+xml"/>
  <Override PartName="/xl/tables/table17.xml" ContentType="application/vnd.openxmlformats-officedocument.spreadsheetml.table+xml"/>
  <Override PartName="/xl/queryTables/queryTable6.xml" ContentType="application/vnd.openxmlformats-officedocument.spreadsheetml.queryTable+xml"/>
  <Override PartName="/xl/tables/table18.xml" ContentType="application/vnd.openxmlformats-officedocument.spreadsheetml.table+xml"/>
  <Override PartName="/xl/queryTables/queryTable7.xml" ContentType="application/vnd.openxmlformats-officedocument.spreadsheetml.queryTable+xml"/>
  <Override PartName="/xl/tables/table19.xml" ContentType="application/vnd.openxmlformats-officedocument.spreadsheetml.table+xml"/>
  <Override PartName="/xl/queryTables/queryTable8.xml" ContentType="application/vnd.openxmlformats-officedocument.spreadsheetml.queryTable+xml"/>
  <Override PartName="/xl/tables/table20.xml" ContentType="application/vnd.openxmlformats-officedocument.spreadsheetml.table+xml"/>
  <Override PartName="/xl/queryTables/queryTable9.xml" ContentType="application/vnd.openxmlformats-officedocument.spreadsheetml.queryTable+xml"/>
  <Override PartName="/xl/tables/table21.xml" ContentType="application/vnd.openxmlformats-officedocument.spreadsheetml.table+xml"/>
  <Override PartName="/xl/queryTables/queryTable10.xml" ContentType="application/vnd.openxmlformats-officedocument.spreadsheetml.queryTable+xml"/>
  <Override PartName="/xl/tables/table22.xml" ContentType="application/vnd.openxmlformats-officedocument.spreadsheetml.table+xml"/>
  <Override PartName="/xl/queryTables/queryTable11.xml" ContentType="application/vnd.openxmlformats-officedocument.spreadsheetml.queryTable+xml"/>
  <Override PartName="/xl/tables/table23.xml" ContentType="application/vnd.openxmlformats-officedocument.spreadsheetml.table+xml"/>
  <Override PartName="/xl/queryTables/queryTable12.xml" ContentType="application/vnd.openxmlformats-officedocument.spreadsheetml.queryTable+xml"/>
  <Override PartName="/xl/tables/table24.xml" ContentType="application/vnd.openxmlformats-officedocument.spreadsheetml.table+xml"/>
  <Override PartName="/xl/queryTables/queryTable13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14.xml" ContentType="application/vnd.openxmlformats-officedocument.spreadsheetml.queryTable+xml"/>
  <Override PartName="/xl/tables/table29.xml" ContentType="application/vnd.openxmlformats-officedocument.spreadsheetml.table+xml"/>
  <Override PartName="/xl/queryTables/queryTable15.xml" ContentType="application/vnd.openxmlformats-officedocument.spreadsheetml.queryTable+xml"/>
  <Override PartName="/xl/tables/table30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macgmgroup-my.sharepoint.com/personal/akd_vplyusnin_cma-cgm_com/Documents/Desktop/project/For GitHub/"/>
    </mc:Choice>
  </mc:AlternateContent>
  <xr:revisionPtr revIDLastSave="11734" documentId="13_ncr:1_{0F3A8B93-0989-45FC-BB49-924BD3D1D429}" xr6:coauthVersionLast="47" xr6:coauthVersionMax="47" xr10:uidLastSave="{5C43E42A-8EFB-41F7-BD34-5B601B1C2865}"/>
  <bookViews>
    <workbookView xWindow="-28920" yWindow="-120" windowWidth="29040" windowHeight="15720" tabRatio="806" firstSheet="2" activeTab="28" xr2:uid="{88741D11-98FB-414E-BEA5-92B89DC19458}"/>
  </bookViews>
  <sheets>
    <sheet name="Dashboard" sheetId="17" r:id="rId1"/>
    <sheet name="EmailNotification" sheetId="30" r:id="rId2"/>
    <sheet name="StowList" sheetId="27" r:id="rId3"/>
    <sheet name="CustomerEmail" sheetId="31" r:id="rId4"/>
    <sheet name="PortConverter" sheetId="10" r:id="rId5"/>
    <sheet name="AKL" sheetId="1" r:id="rId6"/>
    <sheet name="TRG" sheetId="8" r:id="rId7"/>
    <sheet name="LYT" sheetId="2" r:id="rId8"/>
    <sheet name="NSN" sheetId="3" r:id="rId9"/>
    <sheet name="NPE" sheetId="4" r:id="rId10"/>
    <sheet name="WLG" sheetId="5" r:id="rId11"/>
    <sheet name="Calculation" sheetId="6" r:id="rId12"/>
    <sheet name="ForCor" sheetId="32" r:id="rId13"/>
    <sheet name="Data" sheetId="9" r:id="rId14"/>
    <sheet name="Sheet8" sheetId="25" state="hidden" r:id="rId15"/>
    <sheet name="Sheet7" sheetId="24" state="hidden" r:id="rId16"/>
    <sheet name="Sheet6" sheetId="23" state="hidden" r:id="rId17"/>
    <sheet name="Sheet5" sheetId="22" state="hidden" r:id="rId18"/>
    <sheet name="Sheet4" sheetId="21" state="hidden" r:id="rId19"/>
    <sheet name="Sheet3" sheetId="20" state="hidden" r:id="rId20"/>
    <sheet name="Sheet2" sheetId="19" state="hidden" r:id="rId21"/>
    <sheet name="Sheet1" sheetId="18" state="hidden" r:id="rId22"/>
    <sheet name="Merged" sheetId="16" state="hidden" r:id="rId23"/>
    <sheet name="DSR" sheetId="11" r:id="rId24"/>
    <sheet name="CARGO" sheetId="12" r:id="rId25"/>
    <sheet name="LISA" sheetId="13" r:id="rId26"/>
    <sheet name="CData" sheetId="15" r:id="rId27"/>
    <sheet name="OnDeck" sheetId="28" r:id="rId28"/>
    <sheet name="UnderDeck" sheetId="29" r:id="rId29"/>
  </sheets>
  <definedNames>
    <definedName name="_xlnm._FilterDatabase" localSheetId="5" hidden="1">AKL!$A$1:$BI$762</definedName>
    <definedName name="_xlnm._FilterDatabase" localSheetId="0" hidden="1">Dashboard!$B$18:$L$523</definedName>
    <definedName name="_xlchart.v1.0" hidden="1">Calculation!$A$45:$A$53</definedName>
    <definedName name="_xlchart.v1.1" hidden="1">Calculation!$B$45:$B$53</definedName>
    <definedName name="ExternalData_1" localSheetId="26" hidden="1">CData!$A$1:$N$326</definedName>
    <definedName name="ExternalData_1" localSheetId="13" hidden="1">Data!$A$1:$K$244</definedName>
    <definedName name="ExternalData_1" localSheetId="4" hidden="1">PortConverter!$A$1:$B$44</definedName>
    <definedName name="ExternalData_1" localSheetId="28" hidden="1">UnderDeck!$A$3:$L$4</definedName>
    <definedName name="ExternalData_10" localSheetId="20" hidden="1">Sheet2!$A$1:$H$2</definedName>
    <definedName name="ExternalData_11" localSheetId="19" hidden="1">Sheet3!$A$1:$J$55</definedName>
    <definedName name="ExternalData_12" localSheetId="18" hidden="1">Sheet4!$A$1:$G$2</definedName>
    <definedName name="ExternalData_13" localSheetId="17" hidden="1">Sheet5!$A$1:$K$2</definedName>
    <definedName name="ExternalData_14" localSheetId="16" hidden="1">Sheet6!$A$1:$K$6</definedName>
    <definedName name="ExternalData_15" localSheetId="15" hidden="1">Sheet7!$A$1:$F$37</definedName>
    <definedName name="ExternalData_16" localSheetId="14" hidden="1">Sheet8!$A$1:$G$2</definedName>
    <definedName name="ExternalData_2" localSheetId="12" hidden="1">ForCor!$A$1:$H$37</definedName>
    <definedName name="ExternalData_2" localSheetId="2" hidden="1">StowList!$A$1:$B$22</definedName>
    <definedName name="ExternalData_5" localSheetId="27" hidden="1">OnDeck!$A$3:$L$4</definedName>
    <definedName name="ExternalData_8" localSheetId="22" hidden="1">Merged!$A$1:$AH$249</definedName>
    <definedName name="ExternalData_9" localSheetId="21" hidden="1">Sheet1!$A$1:$H$5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0" l="1"/>
  <c r="C3" i="30"/>
  <c r="H38" i="6" a="1"/>
  <c r="H38" i="6" s="1"/>
  <c r="V37" i="6" a="1"/>
  <c r="V37" i="6" s="1"/>
  <c r="C8" i="30" l="1" a="1"/>
  <c r="C8" i="30" s="1"/>
  <c r="B15" i="30" s="1"/>
  <c r="B35" i="30" l="1"/>
  <c r="B27" i="30"/>
  <c r="B31" i="30"/>
  <c r="B23" i="30"/>
  <c r="B19" i="30"/>
  <c r="B49" i="6"/>
  <c r="B48" i="6"/>
  <c r="B52" i="6"/>
  <c r="B45" i="6"/>
  <c r="B50" i="6"/>
  <c r="J48" i="6"/>
  <c r="M22" i="6" l="1" a="1"/>
  <c r="M22" i="6" s="1"/>
  <c r="B18" i="17" l="1" a="1"/>
  <c r="B18" i="17" s="1"/>
  <c r="E32" i="6" a="1"/>
  <c r="E32" i="6" s="1"/>
  <c r="B51" i="6"/>
  <c r="B47" i="6"/>
  <c r="B46" i="6"/>
  <c r="B60" i="6"/>
  <c r="L15" i="6" a="1"/>
  <c r="L15" i="6" s="1"/>
  <c r="B5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AF794A-CE3E-44B7-A94D-C728AE81C556}" keepAlive="1" name="Query - CEDO" description="Connection to the 'CEDO' query in the workbook." type="5" refreshedVersion="8" background="1" saveData="1">
    <dbPr connection="Provider=Microsoft.Mashup.OleDb.1;Data Source=$Workbook$;Location=CEDO;Extended Properties=&quot;&quot;" command="SELECT * FROM [CEDO]"/>
  </connection>
  <connection id="2" xr16:uid="{66C7D4B0-D97D-450F-82B3-A74DA005AF76}" keepAlive="1" name="Query - Commodity" description="Connection to the 'Commodity' query in the workbook." type="5" refreshedVersion="8" background="1" saveData="1">
    <dbPr connection="Provider=Microsoft.Mashup.OleDb.1;Data Source=$Workbook$;Location=Commodity;Extended Properties=&quot;&quot;" command="SELECT * FROM [Commodity]"/>
  </connection>
  <connection id="3" xr16:uid="{EEBD42A8-BD3B-490F-B5CC-6348ABB654D6}" keepAlive="1" name="Query - Commodity check" description="Connection to the 'Commodity check' query in the workbook." type="5" refreshedVersion="0" background="1">
    <dbPr connection="Provider=Microsoft.Mashup.OleDb.1;Data Source=$Workbook$;Location=&quot;Commodity check&quot;;Extended Properties=&quot;&quot;" command="SELECT * FROM [Commodity check]"/>
  </connection>
  <connection id="4" xr16:uid="{34070632-04A1-4E47-96FC-36661BA73E8D}" keepAlive="1" name="Query - Container(s) Not Pre-advised" description="Connection to the 'Container(s) Not Pre-advised' query in the workbook." type="5" refreshedVersion="8" background="1" saveData="1">
    <dbPr connection="Provider=Microsoft.Mashup.OleDb.1;Data Source=$Workbook$;Location=&quot;Container(s) Not Pre-advised&quot;;Extended Properties=&quot;&quot;" command="SELECT * FROM [Container(s) Not Pre-advised]"/>
  </connection>
  <connection id="5" xr16:uid="{14186485-9846-4D70-B50C-330218359B34}" keepAlive="1" name="Query - EmailsData" description="Connection to the 'EmailsData' query in the workbook." type="5" refreshedVersion="6" background="1" saveData="1">
    <dbPr connection="Provider=Microsoft.Mashup.OleDb.1;Data Source=$Workbook$;Location=EmailsData;Extended Properties=&quot;&quot;" command="SELECT * FROM [EmailsData]"/>
  </connection>
  <connection id="6" xr16:uid="{2401C127-4E43-46C0-85F0-CAE8CFF4817F}" keepAlive="1" name="Query - Empty Bookings" description="Connection to the 'Empty Bookings' query in the workbook." type="5" refreshedVersion="8" background="1" saveData="1">
    <dbPr connection="Provider=Microsoft.Mashup.OleDb.1;Data Source=$Workbook$;Location=&quot;Empty Bookings&quot;;Extended Properties=&quot;&quot;" command="SELECT * FROM [Empty Bookings]"/>
  </connection>
  <connection id="7" xr16:uid="{BD899155-6E2A-46F1-BAE7-B3AFB1F89258}" keepAlive="1" name="Query - ForCorrespondance" description="Connection to the 'ForCorrespondance' query in the workbook." type="5" refreshedVersion="8" background="1" saveData="1">
    <dbPr connection="Provider=Microsoft.Mashup.OleDb.1;Data Source=$Workbook$;Location=ForCorrespondance;Extended Properties=&quot;&quot;" command="SELECT * FROM [ForCorrespondance]"/>
  </connection>
  <connection id="8" xr16:uid="{0E5E9C1B-A9C9-4219-9237-CC155A47DEC1}" keepAlive="1" name="Query - HAZ/OOG" description="Connection to the 'HAZ/OOG' query in the workbook." type="5" refreshedVersion="8" background="1" saveData="1">
    <dbPr connection="Provider=Microsoft.Mashup.OleDb.1;Data Source=$Workbook$;Location=HAZ/OOG;Extended Properties=&quot;&quot;" command="SELECT * FROM [HAZ/OOG]"/>
  </connection>
  <connection id="9" xr16:uid="{F846457E-40F6-4EAA-A28D-D197FE63A022}" keepAlive="1" name="Query - ISO" description="Connection to the 'ISO' query in the workbook." type="5" refreshedVersion="8" background="1" saveData="1">
    <dbPr connection="Provider=Microsoft.Mashup.OleDb.1;Data Source=$Workbook$;Location=ISO;Extended Properties=&quot;&quot;" command="SELECT * FROM [ISO]"/>
  </connection>
  <connection id="10" xr16:uid="{F01C1179-19A9-42C7-97D0-411C925E3727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11" xr16:uid="{85FE8512-0569-4BB1-BF5A-E8BB93E3B301}" keepAlive="1" name="Query - Not Linked/Mis" description="Connection to the 'Not Linked/Mis' query in the workbook." type="5" refreshedVersion="8" background="1" saveData="1">
    <dbPr connection="Provider=Microsoft.Mashup.OleDb.1;Data Source=$Workbook$;Location=&quot;Not Linked/Mis&quot;;Extended Properties=&quot;&quot;" command="SELECT * FROM [Not Linked/Mis]"/>
  </connection>
  <connection id="12" xr16:uid="{45D8A0F8-0908-4143-AFD8-78C97FF8F77A}" keepAlive="1" name="Query - OnDeck" description="Connection to the 'OnDeck' query in the workbook." type="5" refreshedVersion="8" background="1" saveData="1">
    <dbPr connection="Provider=Microsoft.Mashup.OleDb.1;Data Source=$Workbook$;Location=OnDeck;Extended Properties=&quot;&quot;" command="SELECT * FROM [OnDeck]"/>
  </connection>
  <connection id="13" xr16:uid="{1BC943CC-D90C-4C2D-AC34-0B7FFCA5E437}" keepAlive="1" name="Query - OurDATA" description="Connection to the 'OurDATA' query in the workbook." type="5" refreshedVersion="6" background="1" saveData="1">
    <dbPr connection="Provider=Microsoft.Mashup.OleDb.1;Data Source=$Workbook$;Location=OurDATA;Extended Properties=&quot;&quot;" command="SELECT * FROM [OurDATA]"/>
  </connection>
  <connection id="14" xr16:uid="{0EA9309C-79CE-4B34-AA5C-6CC4504A442B}" keepAlive="1" name="Query - POD/FPOD" description="Connection to the 'POD/FPOD' query in the workbook." type="5" refreshedVersion="8" background="1" saveData="1">
    <dbPr connection="Provider=Microsoft.Mashup.OleDb.1;Data Source=$Workbook$;Location=POD/FPOD;Extended Properties=&quot;&quot;" command="SELECT * FROM [POD/FPOD]"/>
  </connection>
  <connection id="15" xr16:uid="{D57E9746-4415-4644-AADB-FBF9A3EBD434}" keepAlive="1" name="Query - Port" description="Connection to the 'Port' query in the workbook." type="5" refreshedVersion="0" background="1">
    <dbPr connection="Provider=Microsoft.Mashup.OleDb.1;Data Source=$Workbook$;Location=Port;Extended Properties=&quot;&quot;" command="SELECT * FROM [Port]"/>
  </connection>
  <connection id="16" xr16:uid="{1480C8D8-6F34-4637-99EA-D688CBE303ED}" keepAlive="1" name="Query - PortConvert" description="Connection to the 'PortConvert' query in the workbook." type="5" refreshedVersion="8" background="1" saveData="1">
    <dbPr connection="Provider=Microsoft.Mashup.OleDb.1;Data Source=$Workbook$;Location=PortConvert;Extended Properties=&quot;&quot;" command="SELECT * FROM [PortConvert]"/>
  </connection>
  <connection id="17" xr16:uid="{C20B31FA-3283-4460-9657-1289D3ABB538}" keepAlive="1" name="Query - PortData" description="Connection to the 'PortData' query in the workbook." type="5" refreshedVersion="8" background="1" saveData="1">
    <dbPr connection="Provider=Microsoft.Mashup.OleDb.1;Data Source=$Workbook$;Location=PortData;Extended Properties=&quot;&quot;" command="SELECT * FROM [PortData]"/>
  </connection>
  <connection id="18" xr16:uid="{A72F0624-C8FF-43EF-88A7-1FF65B9C0DF0}" keepAlive="1" name="Query - REPORT" description="Connection to the 'REPORT' query in the workbook." type="5" refreshedVersion="0" background="1">
    <dbPr connection="Provider=Microsoft.Mashup.OleDb.1;Data Source=$Workbook$;Location=REPORT;Extended Properties=&quot;&quot;" command="SELECT * FROM [REPORT]"/>
  </connection>
  <connection id="19" xr16:uid="{BCE1D074-C662-4625-804D-4AAD1B9EB756}" keepAlive="1" name="Query - Table10" description="Connection to the 'Table10' query in the workbook." type="5" refreshedVersion="0" background="1">
    <dbPr connection="Provider=Microsoft.Mashup.OleDb.1;Data Source=$Workbook$;Location=Table10;Extended Properties=&quot;&quot;" command="SELECT * FROM [Table10]"/>
  </connection>
  <connection id="20" xr16:uid="{DCDDE900-E200-4385-9331-E3BF2628C646}" keepAlive="1" name="Query - TEMP/VENT/HUM" description="Connection to the 'TEMP/VENT/HUM' query in the workbook." type="5" refreshedVersion="8" background="1" saveData="1">
    <dbPr connection="Provider=Microsoft.Mashup.OleDb.1;Data Source=$Workbook$;Location=TEMP/VENT/HUM;Extended Properties=&quot;&quot;" command="SELECT * FROM [TEMP/VENT/HUM]"/>
  </connection>
  <connection id="21" xr16:uid="{F9B96051-9719-4041-B62D-6FED221A98B6}" keepAlive="1" name="Query - UnderDeck" description="Connection to the 'UnderDeck' query in the workbook." type="5" refreshedVersion="8" background="1" saveData="1">
    <dbPr connection="Provider=Microsoft.Mashup.OleDb.1;Data Source=$Workbook$;Location=UnderDeck;Extended Properties=&quot;&quot;" command="SELECT * FROM [UnderD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<sst xmlns="http://schemas.openxmlformats.org/spreadsheetml/2006/main" count="6916" uniqueCount="821">
  <si>
    <t>Last update date/time</t>
  </si>
  <si>
    <t>Port/Depot</t>
  </si>
  <si>
    <t>Category</t>
  </si>
  <si>
    <t>Direction</t>
  </si>
  <si>
    <t>Vessel</t>
  </si>
  <si>
    <t>Voyage</t>
  </si>
  <si>
    <t>Location</t>
  </si>
  <si>
    <t>ISO</t>
  </si>
  <si>
    <t>Declared Weight (kg)</t>
  </si>
  <si>
    <t>VGM?</t>
  </si>
  <si>
    <t>Commodity</t>
  </si>
  <si>
    <t>Status</t>
  </si>
  <si>
    <t>Container Operator</t>
  </si>
  <si>
    <t>Load Port</t>
  </si>
  <si>
    <t>Destination Port</t>
  </si>
  <si>
    <t>Humidity</t>
  </si>
  <si>
    <t>O2Percent</t>
  </si>
  <si>
    <t>CO2Percent</t>
  </si>
  <si>
    <t>PackedOffPower</t>
  </si>
  <si>
    <t>PackedOffPowerTemp</t>
  </si>
  <si>
    <t>MaxTimeOffPower</t>
  </si>
  <si>
    <t>Target Connect Date</t>
  </si>
  <si>
    <t>Delivery Group</t>
  </si>
  <si>
    <t>Seals</t>
  </si>
  <si>
    <t>Discharge Date</t>
  </si>
  <si>
    <t>Seaport Gate Out Date</t>
  </si>
  <si>
    <t>Inland Port Gate Out Date</t>
  </si>
  <si>
    <t>Seaport Departure Mode</t>
  </si>
  <si>
    <t>Seaport Inbound/Outbound Carrier</t>
  </si>
  <si>
    <t>Inland Port Inbound/Outbound Carrier</t>
  </si>
  <si>
    <t>Last Free Time</t>
  </si>
  <si>
    <t>Empty Return Depot</t>
  </si>
  <si>
    <t>Security Check</t>
  </si>
  <si>
    <t>MPI Release Date</t>
  </si>
  <si>
    <t>Customs Release Date</t>
  </si>
  <si>
    <t>Line Release Date</t>
  </si>
  <si>
    <t>Prev LOP</t>
  </si>
  <si>
    <t>Attached Equipment</t>
  </si>
  <si>
    <t>Load Date</t>
  </si>
  <si>
    <t>Inland Port Gate In Date</t>
  </si>
  <si>
    <t>Seaport Gate In Date</t>
  </si>
  <si>
    <t>Vessel ETA/ATA</t>
  </si>
  <si>
    <t>Vessel ETD/ATD</t>
  </si>
  <si>
    <t>Booking Discrepancies</t>
  </si>
  <si>
    <t>CEDO Release Date</t>
  </si>
  <si>
    <t>Shuttle Connect Priority</t>
  </si>
  <si>
    <t>Activated Date</t>
  </si>
  <si>
    <t>VBS Slot Date</t>
  </si>
  <si>
    <t>Depot Gate In Date</t>
  </si>
  <si>
    <t>Depot Gate Out Date</t>
  </si>
  <si>
    <t>Depot Inbound Carrier</t>
  </si>
  <si>
    <t>Depot Outbound Carrier</t>
  </si>
  <si>
    <t>Auckland</t>
  </si>
  <si>
    <t>Port Klang (Pelabuhan Klang)</t>
  </si>
  <si>
    <t>Singapore</t>
  </si>
  <si>
    <t>Wellington</t>
  </si>
  <si>
    <t>Last Move</t>
  </si>
  <si>
    <t>Weight (kg)</t>
  </si>
  <si>
    <t>Frght Kind</t>
  </si>
  <si>
    <t>V-State</t>
  </si>
  <si>
    <t>Position</t>
  </si>
  <si>
    <t>Line Op</t>
  </si>
  <si>
    <t>O/B Actual Visit</t>
  </si>
  <si>
    <t>POD</t>
  </si>
  <si>
    <t>Reqs Power</t>
  </si>
  <si>
    <t>Stop-Rail</t>
  </si>
  <si>
    <t>Stop-Road</t>
  </si>
  <si>
    <t>I/B Actual Visit</t>
  </si>
  <si>
    <t>SIN</t>
  </si>
  <si>
    <t>TRG</t>
  </si>
  <si>
    <t>PKG</t>
  </si>
  <si>
    <t>Place Recipt</t>
  </si>
  <si>
    <t>FPOD</t>
  </si>
  <si>
    <t>Is Reefer</t>
  </si>
  <si>
    <t>NZNSN</t>
  </si>
  <si>
    <t>NZTRG</t>
  </si>
  <si>
    <t>AUSYD</t>
  </si>
  <si>
    <t>AUBNE</t>
  </si>
  <si>
    <t>AUMEL</t>
  </si>
  <si>
    <t>NLRTM</t>
  </si>
  <si>
    <t>GBLGP</t>
  </si>
  <si>
    <t>AUADL</t>
  </si>
  <si>
    <t>FRLEH</t>
  </si>
  <si>
    <t>USNYC</t>
  </si>
  <si>
    <t>CEDO</t>
  </si>
  <si>
    <t>Dest</t>
  </si>
  <si>
    <t>OOG</t>
  </si>
  <si>
    <t>N</t>
  </si>
  <si>
    <t>SGSIN</t>
  </si>
  <si>
    <t>MYPKG</t>
  </si>
  <si>
    <t>Freight Forwarder</t>
  </si>
  <si>
    <t>Voyage Code</t>
  </si>
  <si>
    <t>IMEX Status</t>
  </si>
  <si>
    <t>Operator Stop</t>
  </si>
  <si>
    <t>Stops</t>
  </si>
  <si>
    <t>Has Tasks</t>
  </si>
  <si>
    <t>Freight Forwarder Stop</t>
  </si>
  <si>
    <t>Length/Width/Height</t>
  </si>
  <si>
    <t>Last Day Of Free Storage</t>
  </si>
  <si>
    <t>Optimal Pick Up</t>
  </si>
  <si>
    <t>PIN</t>
  </si>
  <si>
    <t>Carrier Remarks</t>
  </si>
  <si>
    <t>Release Carrier</t>
  </si>
  <si>
    <t>Operator</t>
  </si>
  <si>
    <t>Receive Date</t>
  </si>
  <si>
    <t>Receive Mode</t>
  </si>
  <si>
    <t>Release Date</t>
  </si>
  <si>
    <t>Release Mode</t>
  </si>
  <si>
    <t>Available For Delivery Date</t>
  </si>
  <si>
    <t>Consignee</t>
  </si>
  <si>
    <t>Consignor</t>
  </si>
  <si>
    <t>Customs Entry Number</t>
  </si>
  <si>
    <t>Has Been Unpacked</t>
  </si>
  <si>
    <t>Receive Carrier</t>
  </si>
  <si>
    <t>Receive Vehicle</t>
  </si>
  <si>
    <t>Release Vehicle</t>
  </si>
  <si>
    <t>Seal</t>
  </si>
  <si>
    <t>Connected Date</t>
  </si>
  <si>
    <t>Weight</t>
  </si>
  <si>
    <t>Is Transhipment</t>
  </si>
  <si>
    <t>Yard Location</t>
  </si>
  <si>
    <t>VGM</t>
  </si>
  <si>
    <t>Tauranga</t>
  </si>
  <si>
    <t>Tianjin Xingang Pt</t>
  </si>
  <si>
    <t xml:space="preserve">Auckland </t>
  </si>
  <si>
    <t>Lyttelton</t>
  </si>
  <si>
    <t>Nelson</t>
  </si>
  <si>
    <t xml:space="preserve">Wellington </t>
  </si>
  <si>
    <t>Container</t>
  </si>
  <si>
    <t>POL</t>
  </si>
  <si>
    <t>T</t>
  </si>
  <si>
    <t>Vent</t>
  </si>
  <si>
    <t>Haz</t>
  </si>
  <si>
    <t>Booking</t>
  </si>
  <si>
    <t>Column1</t>
  </si>
  <si>
    <t>AKL</t>
  </si>
  <si>
    <t>LYT</t>
  </si>
  <si>
    <t>NSN</t>
  </si>
  <si>
    <t>NPE</t>
  </si>
  <si>
    <t>WLG</t>
  </si>
  <si>
    <t>port</t>
  </si>
  <si>
    <t>Full Name</t>
  </si>
  <si>
    <t>Code</t>
  </si>
  <si>
    <t>Rotterdam</t>
  </si>
  <si>
    <t>Savannah</t>
  </si>
  <si>
    <t>USSAV</t>
  </si>
  <si>
    <t>Philadelphia</t>
  </si>
  <si>
    <t>USPHL</t>
  </si>
  <si>
    <t>Zeebrugge</t>
  </si>
  <si>
    <t>BEZEE</t>
  </si>
  <si>
    <t>London Gateway Port</t>
  </si>
  <si>
    <t>Dunkerque</t>
  </si>
  <si>
    <t>FRDKK</t>
  </si>
  <si>
    <t>Le Havre</t>
  </si>
  <si>
    <t>Acajutla</t>
  </si>
  <si>
    <t>SVACA</t>
  </si>
  <si>
    <t>Callao</t>
  </si>
  <si>
    <t>PECLL</t>
  </si>
  <si>
    <t>Hamburg</t>
  </si>
  <si>
    <t>DEHAM</t>
  </si>
  <si>
    <t>Santos</t>
  </si>
  <si>
    <t>BRSSZ</t>
  </si>
  <si>
    <t>Georgetown, Grand Cayman</t>
  </si>
  <si>
    <t>KYGCM</t>
  </si>
  <si>
    <t>Dublin</t>
  </si>
  <si>
    <t>IEDUB</t>
  </si>
  <si>
    <t>Algeciras</t>
  </si>
  <si>
    <t>ESALG</t>
  </si>
  <si>
    <t>Århus</t>
  </si>
  <si>
    <t>DKARH</t>
  </si>
  <si>
    <t>Manzanillo</t>
  </si>
  <si>
    <t>PAMIT</t>
  </si>
  <si>
    <t>Sydney</t>
  </si>
  <si>
    <t>Melbourne</t>
  </si>
  <si>
    <t>Adelaide</t>
  </si>
  <si>
    <t>Houston</t>
  </si>
  <si>
    <t>USHOU</t>
  </si>
  <si>
    <t>NZAKL</t>
  </si>
  <si>
    <t>45G1</t>
  </si>
  <si>
    <t>22G1</t>
  </si>
  <si>
    <t>Community</t>
  </si>
  <si>
    <t>New York</t>
  </si>
  <si>
    <t>22R1</t>
  </si>
  <si>
    <t>45R1</t>
  </si>
  <si>
    <t xml:space="preserve">LISA </t>
  </si>
  <si>
    <t>Pack</t>
  </si>
  <si>
    <t>Loading Port</t>
  </si>
  <si>
    <t>Transhipment Port</t>
  </si>
  <si>
    <t>Teu</t>
  </si>
  <si>
    <t>Count</t>
  </si>
  <si>
    <t>Trade Operator</t>
  </si>
  <si>
    <t>Idle time</t>
  </si>
  <si>
    <t>Custom</t>
  </si>
  <si>
    <t>Nomination</t>
  </si>
  <si>
    <t>Stack</t>
  </si>
  <si>
    <t>RF</t>
  </si>
  <si>
    <t>NOR</t>
  </si>
  <si>
    <t>NO ROLL</t>
  </si>
  <si>
    <t>High Priority</t>
  </si>
  <si>
    <t>MTY</t>
  </si>
  <si>
    <t>FX</t>
  </si>
  <si>
    <t>T-</t>
  </si>
  <si>
    <t>T+</t>
  </si>
  <si>
    <t>OH</t>
  </si>
  <si>
    <t>OWR</t>
  </si>
  <si>
    <t>OWL</t>
  </si>
  <si>
    <t>OLF</t>
  </si>
  <si>
    <t>OLR</t>
  </si>
  <si>
    <t>OPT</t>
  </si>
  <si>
    <t>BB</t>
  </si>
  <si>
    <t>PDT RANK</t>
  </si>
  <si>
    <t>DETAIL RANK</t>
  </si>
  <si>
    <t>TTL Teus</t>
  </si>
  <si>
    <t>TEU</t>
  </si>
  <si>
    <t>Lost</t>
  </si>
  <si>
    <t>SQ</t>
  </si>
  <si>
    <t>Cust. Type</t>
  </si>
  <si>
    <t>Decidee</t>
  </si>
  <si>
    <t>Named Account</t>
  </si>
  <si>
    <t>BL</t>
  </si>
  <si>
    <t>Bkg.Agt</t>
  </si>
  <si>
    <t>Bkg.Date</t>
  </si>
  <si>
    <t>POO</t>
  </si>
  <si>
    <t>Alt Base Port POL</t>
  </si>
  <si>
    <t>Alt Base Port POD</t>
  </si>
  <si>
    <t>POD TERMINAL</t>
  </si>
  <si>
    <t>Disch. Inst.</t>
  </si>
  <si>
    <t>FPD</t>
  </si>
  <si>
    <t>SO</t>
  </si>
  <si>
    <t>Cut</t>
  </si>
  <si>
    <t>Source</t>
  </si>
  <si>
    <t>ETA Prev Leg</t>
  </si>
  <si>
    <t>Service</t>
  </si>
  <si>
    <t>ETA Current Leg</t>
  </si>
  <si>
    <t>POL TERMINAL</t>
  </si>
  <si>
    <t>LARA</t>
  </si>
  <si>
    <t>From</t>
  </si>
  <si>
    <t>Comments</t>
  </si>
  <si>
    <t>Comment Type</t>
  </si>
  <si>
    <t>Destination Location Role</t>
  </si>
  <si>
    <t>Gross Weight</t>
  </si>
  <si>
    <t>Equip.Type</t>
  </si>
  <si>
    <t>Final Place of Delivery</t>
  </si>
  <si>
    <t>Previous Vessel Name</t>
  </si>
  <si>
    <t>Previous Export CVN</t>
  </si>
  <si>
    <t>Previous Stage Line ID</t>
  </si>
  <si>
    <t>Previous Voyage ID</t>
  </si>
  <si>
    <t>Current Export CVN</t>
  </si>
  <si>
    <t>Current Vessel Name</t>
  </si>
  <si>
    <t>Control Atmosphere</t>
  </si>
  <si>
    <t>Place of Receipt</t>
  </si>
  <si>
    <t>Previous Vessel ID</t>
  </si>
  <si>
    <t>Place of Delivery</t>
  </si>
  <si>
    <t>DSR</t>
  </si>
  <si>
    <t>CARGO</t>
  </si>
  <si>
    <t>CEVA LOGISTICS NZ LTD</t>
  </si>
  <si>
    <t>KOTAHI LOGISTICS LP LIMITED</t>
  </si>
  <si>
    <t>KUEHNE + NAGEL NZ LTD</t>
  </si>
  <si>
    <t>45R7</t>
  </si>
  <si>
    <t>NZWLG</t>
  </si>
  <si>
    <t>Y</t>
  </si>
  <si>
    <t>Milk and cream of a fat conten</t>
  </si>
  <si>
    <t>XRX</t>
  </si>
  <si>
    <t>MOS</t>
  </si>
  <si>
    <t>POL2</t>
  </si>
  <si>
    <t>Service3</t>
  </si>
  <si>
    <t>Vessel4</t>
  </si>
  <si>
    <t>Voyage5</t>
  </si>
  <si>
    <t>POD6</t>
  </si>
  <si>
    <t>POD TERMINAL7</t>
  </si>
  <si>
    <t>Disch. Inst.8</t>
  </si>
  <si>
    <t>Service9</t>
  </si>
  <si>
    <t>Vessel10</t>
  </si>
  <si>
    <t>Voyage11</t>
  </si>
  <si>
    <t>Booking Pt</t>
  </si>
  <si>
    <t>PT ref</t>
  </si>
  <si>
    <t>PortData.Container</t>
  </si>
  <si>
    <t>PortData.Location</t>
  </si>
  <si>
    <t>PortData.ISO</t>
  </si>
  <si>
    <t>PortData.T</t>
  </si>
  <si>
    <t>PortData.Vent</t>
  </si>
  <si>
    <t>PortData.Humidity</t>
  </si>
  <si>
    <t>PortData.Haz</t>
  </si>
  <si>
    <t>PortData.Booking</t>
  </si>
  <si>
    <t>PortData.Stops</t>
  </si>
  <si>
    <t>PortData.POD</t>
  </si>
  <si>
    <t>Container check</t>
  </si>
  <si>
    <t>Booking check</t>
  </si>
  <si>
    <t>Temp check</t>
  </si>
  <si>
    <t>POD check</t>
  </si>
  <si>
    <t>ISO check</t>
  </si>
  <si>
    <t>MIS</t>
  </si>
  <si>
    <t>OK</t>
  </si>
  <si>
    <t>Haz check</t>
  </si>
  <si>
    <t>Vent check</t>
  </si>
  <si>
    <t>Humidity check</t>
  </si>
  <si>
    <t>POD/FPD</t>
  </si>
  <si>
    <t>HAZ/OOG</t>
  </si>
  <si>
    <t>CNSHA</t>
  </si>
  <si>
    <t>SGH</t>
  </si>
  <si>
    <t>TEMP/VENT/HUM</t>
  </si>
  <si>
    <t>Empty_Bookings</t>
  </si>
  <si>
    <t>Total</t>
  </si>
  <si>
    <t>Not_Linked_Mis</t>
  </si>
  <si>
    <t>Empty Bookings</t>
  </si>
  <si>
    <t>Not Linked/MIS</t>
  </si>
  <si>
    <t>Completed</t>
  </si>
  <si>
    <t>Container_s__Not_Pre_advised</t>
  </si>
  <si>
    <t>POD_FPOD</t>
  </si>
  <si>
    <t>TEMP_VENT_HUM</t>
  </si>
  <si>
    <t>HAZ_OOG</t>
  </si>
  <si>
    <t>Reefer</t>
  </si>
  <si>
    <t xml:space="preserve">Variants of positions </t>
  </si>
  <si>
    <t>Under Deck Away from heat</t>
  </si>
  <si>
    <t>On Deck Tier 1</t>
  </si>
  <si>
    <t>Under Deck</t>
  </si>
  <si>
    <t>On Deck</t>
  </si>
  <si>
    <t>SPECIAL STOW - ON DECK  TIER -1</t>
  </si>
  <si>
    <t xml:space="preserve">SPECIAL STOW - UNDER  DECK </t>
  </si>
  <si>
    <t>Not Pre-advised</t>
  </si>
  <si>
    <t>LARA CARGO</t>
  </si>
  <si>
    <t>LISA</t>
  </si>
  <si>
    <t>DSR  LARA</t>
  </si>
  <si>
    <t xml:space="preserve">For Lyttelton port please extract: </t>
  </si>
  <si>
    <t>FullVesselList ANL\CMA from Navis N4</t>
  </si>
  <si>
    <t>Please choose the Port of Loading and click on "Extract Data".</t>
  </si>
  <si>
    <t>Please select the category where discrepancies are identified .</t>
  </si>
  <si>
    <t>Please select the specific type of company report to compare.</t>
  </si>
  <si>
    <t>INSTRUCTIONS:</t>
  </si>
  <si>
    <t>2. Push refresh Buttom</t>
  </si>
  <si>
    <t>3. Push Create a SSL Buttom</t>
  </si>
  <si>
    <t>1. Select position for each Commodity*</t>
  </si>
  <si>
    <t>Notes:</t>
  </si>
  <si>
    <t xml:space="preserve">left cell blank  in Position column instead </t>
  </si>
  <si>
    <t xml:space="preserve">Don’t remove commoditis from table, </t>
  </si>
  <si>
    <t>Before extracting the report for Wellington,</t>
  </si>
  <si>
    <t>navigate to the "Organize" menu and choose "Select all.</t>
  </si>
  <si>
    <t xml:space="preserve"> Port Stops</t>
  </si>
  <si>
    <t>Port Stops</t>
  </si>
  <si>
    <t>NZLYT</t>
  </si>
  <si>
    <t>MRX</t>
  </si>
  <si>
    <t>CMA-CGM GROUP AGENCIES (NZ) LTD</t>
  </si>
  <si>
    <t xml:space="preserve">OOG </t>
  </si>
  <si>
    <t>PortData.OOG</t>
  </si>
  <si>
    <t>OOG check</t>
  </si>
  <si>
    <t>2232</t>
  </si>
  <si>
    <t>Brisbane</t>
  </si>
  <si>
    <t>Shanghai</t>
  </si>
  <si>
    <t>Shekou</t>
  </si>
  <si>
    <t>Hong Kong</t>
  </si>
  <si>
    <t>HKHKG</t>
  </si>
  <si>
    <t>CNNGB</t>
  </si>
  <si>
    <t>NBO</t>
  </si>
  <si>
    <t>Current ETA</t>
  </si>
  <si>
    <t>30/01/2024 07.00</t>
  </si>
  <si>
    <t>Current Cargo Cut off</t>
  </si>
  <si>
    <t>28/01/2024 17.00</t>
  </si>
  <si>
    <t xml:space="preserve">CEDO Cut off </t>
  </si>
  <si>
    <t>29/01/2024 17.00</t>
  </si>
  <si>
    <t xml:space="preserve">Vessel name </t>
  </si>
  <si>
    <t xml:space="preserve">Vessel voyage </t>
  </si>
  <si>
    <t>Please select notification type:</t>
  </si>
  <si>
    <t>ETA</t>
  </si>
  <si>
    <t>Cargo Cut off</t>
  </si>
  <si>
    <t xml:space="preserve">Please texts of eamils </t>
  </si>
  <si>
    <t>Please be informed that the container(s) below were not pre-advised and have not been delivered to the port. Could you please confirm whether you would like to load it/them onto the mentioned vessel? If you are unable to meet the cutoff, please contact the port planners to approve the late receival of the container(s).</t>
  </si>
  <si>
    <t>We would like to inform you that we have identified a mismatch between the pre-advice and booking data. Could you please confirm the correct container number(s) for the following booking(s)?</t>
  </si>
  <si>
    <t>We would like to inform you that we have identified a mismatch between the pre-advice and booking data. Could you please confirm the correct POD/FPOD for the following booking(s)?</t>
  </si>
  <si>
    <t>We would like to inform you that we have identified a mismatch between the pre-advice and booking data. Could you please confirm the correct temperature settings for the following booking(s)?</t>
  </si>
  <si>
    <t>Please be informed that CEDO(s) were not received by the port planner for the following bookings. Kindly provide the correct CEDO 2 hours before vessel arrival to avoid additional fees.</t>
  </si>
  <si>
    <t>Name</t>
  </si>
  <si>
    <t>Vlad Plyusnin</t>
  </si>
  <si>
    <t>Direct Line</t>
  </si>
  <si>
    <t>Email</t>
  </si>
  <si>
    <t>AKD.VPLYUSNIN@cma-cgm.com</t>
  </si>
  <si>
    <t>Please Update your signature:</t>
  </si>
  <si>
    <t>+6493662883</t>
  </si>
  <si>
    <t>Pleae add Vessel Info</t>
  </si>
  <si>
    <t>Container(s) Not Pre-advised</t>
  </si>
  <si>
    <t>Not Linked/Mis</t>
  </si>
  <si>
    <t>POD/FPOD</t>
  </si>
  <si>
    <t>Shipper Name</t>
  </si>
  <si>
    <t xml:space="preserve">Email 1 </t>
  </si>
  <si>
    <t>Email 2</t>
  </si>
  <si>
    <t>Please insert details for customer notification</t>
  </si>
  <si>
    <t>Please check you personal details:</t>
  </si>
  <si>
    <t>Phone</t>
  </si>
  <si>
    <t>CNSHK</t>
  </si>
  <si>
    <t>SORTED LOGISTICS</t>
  </si>
  <si>
    <t>CROWN RELOCATIONS (NZ) LTD</t>
  </si>
  <si>
    <t>Napier</t>
  </si>
  <si>
    <t xml:space="preserve">Could you please confirm the booking(s) below and provide container number(s) if available? </t>
  </si>
  <si>
    <t>CMA CGM SEMARANG</t>
  </si>
  <si>
    <t>NZNPE</t>
  </si>
  <si>
    <t>NZPOE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</si>
  <si>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</si>
  <si>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</si>
  <si>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</si>
  <si>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</si>
  <si>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</si>
  <si>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</si>
  <si>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</si>
  <si>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</si>
  <si>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</si>
  <si>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</si>
  <si>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</si>
  <si>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</si>
  <si>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</si>
  <si>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</si>
  <si>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</si>
  <si>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</si>
  <si>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</si>
  <si>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</si>
  <si>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</si>
  <si>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</si>
  <si>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</si>
  <si>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</si>
  <si>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</si>
  <si>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</si>
  <si>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</si>
  <si>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</si>
  <si>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</si>
  <si>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</si>
  <si>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</si>
  <si>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</si>
  <si>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</si>
  <si>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</si>
  <si>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</si>
  <si>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</si>
  <si>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</si>
  <si>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</si>
  <si>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</si>
  <si>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</si>
  <si>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</si>
  <si>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</si>
  <si>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</si>
  <si>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</si>
  <si>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</si>
  <si>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</si>
  <si>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</si>
  <si>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</si>
  <si>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</si>
  <si>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</si>
  <si>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</si>
  <si>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</si>
  <si>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</si>
  <si>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</si>
  <si>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</si>
  <si>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</si>
  <si>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</si>
  <si>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</si>
  <si>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</si>
  <si>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</si>
  <si>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Kingston</t>
  </si>
  <si>
    <t>Wine of fresh grapes  includin</t>
  </si>
  <si>
    <t>2200</t>
  </si>
  <si>
    <t>JMKIN</t>
  </si>
  <si>
    <t>UNASSIGNED</t>
  </si>
  <si>
    <t>Port Chalmers</t>
  </si>
  <si>
    <t>Keelung (Chilung)</t>
  </si>
  <si>
    <t>TWKEL</t>
  </si>
  <si>
    <t>Kaohsiung</t>
  </si>
  <si>
    <t>4510</t>
  </si>
  <si>
    <t>22R0</t>
  </si>
  <si>
    <t>TWKHH</t>
  </si>
  <si>
    <t>2210</t>
  </si>
  <si>
    <t>4530</t>
  </si>
  <si>
    <t>2230</t>
  </si>
  <si>
    <t>4500</t>
  </si>
  <si>
    <t>MAINFREIGHT LIMITED</t>
  </si>
  <si>
    <t>MSF</t>
  </si>
  <si>
    <t xml:space="preserve">Ozone therapy  oxygen therapy </t>
  </si>
  <si>
    <t>Food preparations  n.e.s.</t>
  </si>
  <si>
    <t>Containers  incl. containers f</t>
  </si>
  <si>
    <t>OCEANBRIDGE SHIPPING LIMITED</t>
  </si>
  <si>
    <t xml:space="preserve">Personal &amp; household effects </t>
  </si>
  <si>
    <t xml:space="preserve">Personal &amp; household effects  </t>
  </si>
  <si>
    <t>Parts and accessories of bodie</t>
  </si>
  <si>
    <t>KUEHNE + NAGEL LTD</t>
  </si>
  <si>
    <t>CGMU3007676</t>
  </si>
  <si>
    <t>CGMU3011866</t>
  </si>
  <si>
    <t>CGMU3012100</t>
  </si>
  <si>
    <t>CGMU3012585</t>
  </si>
  <si>
    <t>CGMU3013088</t>
  </si>
  <si>
    <t>CGMU3018243</t>
  </si>
  <si>
    <t>CGMU3020019</t>
  </si>
  <si>
    <t>CGMU3022140</t>
  </si>
  <si>
    <t>CGMU3023569</t>
  </si>
  <si>
    <t>CGMU3030383</t>
  </si>
  <si>
    <t>CGMU3033891</t>
  </si>
  <si>
    <t>CGMU3039781</t>
  </si>
  <si>
    <t>CGMU3040859</t>
  </si>
  <si>
    <t>CGMU3044005</t>
  </si>
  <si>
    <t>CGMU3046013</t>
  </si>
  <si>
    <t>CGMU3047806</t>
  </si>
  <si>
    <t>CGMU3048762</t>
  </si>
  <si>
    <t>CGMU3060670</t>
  </si>
  <si>
    <t>CGMU3063812</t>
  </si>
  <si>
    <t>CGMU3069209</t>
  </si>
  <si>
    <t>CGMU3072080</t>
  </si>
  <si>
    <t>CGMU3076825</t>
  </si>
  <si>
    <t>CGMU3083531</t>
  </si>
  <si>
    <t>AXIU6227678</t>
  </si>
  <si>
    <t>BMOU8709442</t>
  </si>
  <si>
    <t>BMOU8711120</t>
  </si>
  <si>
    <t>CRSU5016032</t>
  </si>
  <si>
    <t>CXRU1078884</t>
  </si>
  <si>
    <t>CXRU1161345</t>
  </si>
  <si>
    <t>CXRU1163775</t>
  </si>
  <si>
    <t>CXRU1192752</t>
  </si>
  <si>
    <t>CXRU1236594</t>
  </si>
  <si>
    <t>CXRU1570507</t>
  </si>
  <si>
    <t>GAOU7028607</t>
  </si>
  <si>
    <t>SEGU9266243</t>
  </si>
  <si>
    <t>SEGU9338955</t>
  </si>
  <si>
    <t>SEGU9490818</t>
  </si>
  <si>
    <t>TRIU6611890</t>
  </si>
  <si>
    <t>TRIU6627602</t>
  </si>
  <si>
    <t>TRIU6628213</t>
  </si>
  <si>
    <t>TRIU6641874</t>
  </si>
  <si>
    <t>TRIU6660128</t>
  </si>
  <si>
    <t>TRIU6668350</t>
  </si>
  <si>
    <t>TRIU6673589</t>
  </si>
  <si>
    <t>TRIU6674287</t>
  </si>
  <si>
    <t>TRIU6678153</t>
  </si>
  <si>
    <t>TRIU6690400</t>
  </si>
  <si>
    <t>TRIU6714625</t>
  </si>
  <si>
    <t>TRIU6820416</t>
  </si>
  <si>
    <t>TRIU6822358</t>
  </si>
  <si>
    <t>TRIU6822379</t>
  </si>
  <si>
    <t>CGMU3033000</t>
  </si>
  <si>
    <t>TRIU6640585</t>
  </si>
  <si>
    <t>TRIU6682868</t>
  </si>
  <si>
    <t>SEKU6043261</t>
  </si>
  <si>
    <t>Fergusson</t>
  </si>
  <si>
    <t>ACD0765482</t>
  </si>
  <si>
    <t>Other fermented beverages (for</t>
  </si>
  <si>
    <t xml:space="preserve">Prepared or preserved meat or </t>
  </si>
  <si>
    <t>JACK LINK'S NEW ZEALAND LTD</t>
  </si>
  <si>
    <t>KNCOOLTAINER</t>
  </si>
  <si>
    <t>Articles of iron or steel  n.e</t>
  </si>
  <si>
    <t>GDF NEW ZEALAND LIMITED</t>
  </si>
  <si>
    <t>DSV AIR &amp; SEA LIMITED</t>
  </si>
  <si>
    <t>Machinery and apparatus for fi</t>
  </si>
  <si>
    <t>TCNU3860260</t>
  </si>
  <si>
    <t>CMAU8895150</t>
  </si>
  <si>
    <t>ACD0770352</t>
  </si>
  <si>
    <t>CMAU0647861</t>
  </si>
  <si>
    <t>GLDU3517560</t>
  </si>
  <si>
    <t>ACD0763209</t>
  </si>
  <si>
    <t>BMOU9618096</t>
  </si>
  <si>
    <t>ACD0758674</t>
  </si>
  <si>
    <t>CMAU7707638</t>
  </si>
  <si>
    <t>ACD0766005</t>
  </si>
  <si>
    <t>SEKU5966156</t>
  </si>
  <si>
    <t>ACD0770505</t>
  </si>
  <si>
    <t>TCKU7821890</t>
  </si>
  <si>
    <t>ACD0769435</t>
  </si>
  <si>
    <t>CGMU5010107</t>
  </si>
  <si>
    <t>ACD0769400</t>
  </si>
  <si>
    <t>CGMU5623325</t>
  </si>
  <si>
    <t>CGMU5117651</t>
  </si>
  <si>
    <t>ACD0769403</t>
  </si>
  <si>
    <t>SEKU9050433</t>
  </si>
  <si>
    <t>TRIU8064560</t>
  </si>
  <si>
    <t>FCIU8750090</t>
  </si>
  <si>
    <t>ACD0766714</t>
  </si>
  <si>
    <t>HCOU5261745</t>
  </si>
  <si>
    <t>ACD0768080</t>
  </si>
  <si>
    <t>HCOU5266578</t>
  </si>
  <si>
    <t>HJCU2302487</t>
  </si>
  <si>
    <t>ACD0770750</t>
  </si>
  <si>
    <t>TEMU1061963</t>
  </si>
  <si>
    <t>9 - 3082 ENVIRONMENTALLY HAZARDOUS SUBSTANCE, LIQUID, N.O.S.;</t>
  </si>
  <si>
    <t>ACD0767695</t>
  </si>
  <si>
    <t>TCNU2296474</t>
  </si>
  <si>
    <t>ACD0763197</t>
  </si>
  <si>
    <t>CMAU6598912</t>
  </si>
  <si>
    <t>ACD0763206</t>
  </si>
  <si>
    <t>TRHU6062483</t>
  </si>
  <si>
    <t>ACD0763391</t>
  </si>
  <si>
    <t>CMAU2754787</t>
  </si>
  <si>
    <t>GCXU2392578</t>
  </si>
  <si>
    <t>LYGU0150507</t>
  </si>
  <si>
    <t>CMAU2207136</t>
  </si>
  <si>
    <t>CMAU2453510</t>
  </si>
  <si>
    <t>GCXU2390750</t>
  </si>
  <si>
    <t>CMAU2209231</t>
  </si>
  <si>
    <t>CMAU2748249</t>
  </si>
  <si>
    <t>CMAU2753456</t>
  </si>
  <si>
    <t>CMAU2806237</t>
  </si>
  <si>
    <t>CMAU2881631</t>
  </si>
  <si>
    <t>CMAU2547162</t>
  </si>
  <si>
    <t>CMAU2265615</t>
  </si>
  <si>
    <t>CMAU2717206</t>
  </si>
  <si>
    <t>TGCU2039398</t>
  </si>
  <si>
    <t>CMAU3247679</t>
  </si>
  <si>
    <t>FCIU6181647</t>
  </si>
  <si>
    <t>LYGU0141716</t>
  </si>
  <si>
    <t>RFCU2337001</t>
  </si>
  <si>
    <t>TEMU0994840</t>
  </si>
  <si>
    <t>TGCU2043124</t>
  </si>
  <si>
    <t>CMAU0753966</t>
  </si>
  <si>
    <t>CMAU0819180</t>
  </si>
  <si>
    <t>FCIU6327310</t>
  </si>
  <si>
    <t>CMAU0764894</t>
  </si>
  <si>
    <t>GESU1177021</t>
  </si>
  <si>
    <t>TCLU3701960</t>
  </si>
  <si>
    <t>TGBU2189516</t>
  </si>
  <si>
    <t>TGCU2041585</t>
  </si>
  <si>
    <t>HCOU5266541</t>
  </si>
  <si>
    <t>CMAU6896347</t>
  </si>
  <si>
    <t>CMAU7908740</t>
  </si>
  <si>
    <t>CMAU0806048</t>
  </si>
  <si>
    <t>GESU1441073</t>
  </si>
  <si>
    <t>TCLU2676461</t>
  </si>
  <si>
    <t>BSIU2768000</t>
  </si>
  <si>
    <t>ACD0763201</t>
  </si>
  <si>
    <t>TCNU2633718</t>
  </si>
  <si>
    <t>TEMU5082244</t>
  </si>
  <si>
    <t>CMAU8847280</t>
  </si>
  <si>
    <t>FFAU4135624</t>
  </si>
  <si>
    <t>GAOU6054725</t>
  </si>
  <si>
    <t>SEKU5628396</t>
  </si>
  <si>
    <t>TCNU2678034</t>
  </si>
  <si>
    <t>CMAU6614401</t>
  </si>
  <si>
    <t>ACD0762646</t>
  </si>
  <si>
    <t>FCIU9009499</t>
  </si>
  <si>
    <t>90527728</t>
  </si>
  <si>
    <t>64722733</t>
  </si>
  <si>
    <t>56133084</t>
  </si>
  <si>
    <t>88220038</t>
  </si>
  <si>
    <t>7965429</t>
  </si>
  <si>
    <t>68174003</t>
  </si>
  <si>
    <t>76815132</t>
  </si>
  <si>
    <t>ACD0770950</t>
  </si>
  <si>
    <t>CLSAKL45578</t>
  </si>
  <si>
    <t>TRHU1086219</t>
  </si>
  <si>
    <t>ACD0770843</t>
  </si>
  <si>
    <t>Goodman</t>
  </si>
  <si>
    <t>CUBIC TRANSPORT SERVICE LTD</t>
  </si>
  <si>
    <t>Maize "corn" flour</t>
  </si>
  <si>
    <t>ACD0770776</t>
  </si>
  <si>
    <t>CLSAKL45506</t>
  </si>
  <si>
    <t>CMAU7777506</t>
  </si>
  <si>
    <t>ACD0770355</t>
  </si>
  <si>
    <t>SAKL0094761</t>
  </si>
  <si>
    <t>Articles of bedding and simila</t>
  </si>
  <si>
    <t>TCKU6327033</t>
  </si>
  <si>
    <t>ACD0767857</t>
  </si>
  <si>
    <t>ACD0771039</t>
  </si>
  <si>
    <t>C00556398</t>
  </si>
  <si>
    <t>Flat-rolled products of iron o</t>
  </si>
  <si>
    <t>SEGU6352266</t>
  </si>
  <si>
    <t>S04842324</t>
  </si>
  <si>
    <t>LOGISTICS CONNECTION</t>
  </si>
  <si>
    <t>SEGU9358289</t>
  </si>
  <si>
    <t>ACD0770182</t>
  </si>
  <si>
    <t>CLSAKL45553</t>
  </si>
  <si>
    <t>Ice cream and other edible ice</t>
  </si>
  <si>
    <t>Prepared foods obtained from u</t>
  </si>
  <si>
    <t>GLDU9691012</t>
  </si>
  <si>
    <t>ACD0769386</t>
  </si>
  <si>
    <t>Jones/1256648</t>
  </si>
  <si>
    <t>ALLIED</t>
  </si>
  <si>
    <t>BRKCS VIC</t>
  </si>
  <si>
    <t>CLEMENGER INTERNATIONAL FREIGHT</t>
  </si>
  <si>
    <t>Potatoes  prepared or preserve</t>
  </si>
  <si>
    <t>Ethyl alcohol of an alcoholic</t>
  </si>
  <si>
    <t>emensw</t>
  </si>
  <si>
    <t>INTERNATIONAL CARGO SYSTEMS</t>
  </si>
  <si>
    <t>AUSTRALIS MARITIME LTD</t>
  </si>
  <si>
    <t>Wastes from chemical or allied</t>
  </si>
  <si>
    <t>ACD0766444</t>
  </si>
  <si>
    <t>CMAU0487300</t>
  </si>
  <si>
    <t>ACD0767583</t>
  </si>
  <si>
    <t>TEMU0792330</t>
  </si>
  <si>
    <t>ACD0768529</t>
  </si>
  <si>
    <t>C00554936</t>
  </si>
  <si>
    <t>Of a fat content  by weight  e</t>
  </si>
  <si>
    <t>81751</t>
  </si>
  <si>
    <t>1060396520</t>
  </si>
  <si>
    <t>980831071</t>
  </si>
  <si>
    <t>1060040484</t>
  </si>
  <si>
    <t>1060176817</t>
  </si>
  <si>
    <t>2412</t>
  </si>
  <si>
    <t>8 - 1789 HYDROCHLORIC ACID;</t>
  </si>
  <si>
    <t>TRHU3071440</t>
  </si>
  <si>
    <t>UETU2154666</t>
  </si>
  <si>
    <t>APHU6856789</t>
  </si>
  <si>
    <t>APHU7238790</t>
  </si>
  <si>
    <t>APHU7251534</t>
  </si>
  <si>
    <t>BMOU5551899</t>
  </si>
  <si>
    <t>BMOU6979201</t>
  </si>
  <si>
    <t>CAIU9122486</t>
  </si>
  <si>
    <t>CAIU9521697</t>
  </si>
  <si>
    <t>CMAU3883475</t>
  </si>
  <si>
    <t>CMAU5510995</t>
  </si>
  <si>
    <t>CMAU5911642</t>
  </si>
  <si>
    <t>CMAU7395102</t>
  </si>
  <si>
    <t>CMAU7463465</t>
  </si>
  <si>
    <t>CMAU7957600</t>
  </si>
  <si>
    <t>FCIU9312777</t>
  </si>
  <si>
    <t>GAOU6793788</t>
  </si>
  <si>
    <t>GESU6745401</t>
  </si>
  <si>
    <t>GESU6848122</t>
  </si>
  <si>
    <t>SEGU5188970</t>
  </si>
  <si>
    <t>TCKU6237393</t>
  </si>
  <si>
    <t>TCKU6294881</t>
  </si>
  <si>
    <t>TCKU6353747</t>
  </si>
  <si>
    <t>TCLU1664825</t>
  </si>
  <si>
    <t>TCLU1669431</t>
  </si>
  <si>
    <t>TCLU1881116</t>
  </si>
  <si>
    <t>TCLU5026583</t>
  </si>
  <si>
    <t>TCLU6705249</t>
  </si>
  <si>
    <t>TCLU8237445</t>
  </si>
  <si>
    <t>TCNU1169243</t>
  </si>
  <si>
    <t>TCNU2042680</t>
  </si>
  <si>
    <t>TCNU4128192</t>
  </si>
  <si>
    <t>TCNU5285914</t>
  </si>
  <si>
    <t>TCNU5653277</t>
  </si>
  <si>
    <t>TCNU5956118</t>
  </si>
  <si>
    <t>TCNU6176902</t>
  </si>
  <si>
    <t>TEMU7235532</t>
  </si>
  <si>
    <t>TGHU9844606</t>
  </si>
  <si>
    <t>TLLU4491697</t>
  </si>
  <si>
    <t>TLLU4516692</t>
  </si>
  <si>
    <t>TLLU4666326</t>
  </si>
  <si>
    <t>TLLU4916699</t>
  </si>
  <si>
    <t>TLLU4963258</t>
  </si>
  <si>
    <t>UETU6179301</t>
  </si>
  <si>
    <t>CXDU2389417</t>
  </si>
  <si>
    <t>GLDU9915431</t>
  </si>
  <si>
    <t>TLLU2007510</t>
  </si>
  <si>
    <t>TGBU5082645</t>
  </si>
  <si>
    <t>TRHU1128356</t>
  </si>
  <si>
    <t>CAAU6231198</t>
  </si>
  <si>
    <t>TRHU5164243</t>
  </si>
  <si>
    <t>BEAU2234983</t>
  </si>
  <si>
    <t>DRYU2131487</t>
  </si>
  <si>
    <t>BEAU5960110</t>
  </si>
  <si>
    <t>CMAU3717957</t>
  </si>
  <si>
    <t>CMAU4918806</t>
  </si>
  <si>
    <t>CMAU5727810</t>
  </si>
  <si>
    <t>TLLU7895630</t>
  </si>
  <si>
    <t>CMAU0947977</t>
  </si>
  <si>
    <t>UETU2564906</t>
  </si>
  <si>
    <t>SEKU9048360</t>
  </si>
  <si>
    <t>ACD0771353</t>
  </si>
  <si>
    <t>GESU1242370</t>
  </si>
  <si>
    <t>IXMU2704320</t>
  </si>
  <si>
    <t>SEKU6092266</t>
  </si>
  <si>
    <t>TRHU2587278</t>
  </si>
  <si>
    <t>27298005</t>
  </si>
  <si>
    <t>2270</t>
  </si>
  <si>
    <t>UCLU9130154</t>
  </si>
  <si>
    <t>CTAU4180320</t>
  </si>
  <si>
    <t>ACD0764290</t>
  </si>
  <si>
    <t>980838319</t>
  </si>
  <si>
    <t>MSO</t>
  </si>
  <si>
    <t>APZU3400437</t>
  </si>
  <si>
    <t>TCKU2685949</t>
  </si>
  <si>
    <t>TGBU5140079</t>
  </si>
  <si>
    <t>SEGU6472322</t>
  </si>
  <si>
    <t>CMAU7105250</t>
  </si>
  <si>
    <t>SEGU4901916</t>
  </si>
  <si>
    <t>CMAU2025023</t>
  </si>
  <si>
    <t>CAAU6283611</t>
  </si>
  <si>
    <t>CMAU6413330</t>
  </si>
  <si>
    <t>CMAU7369130</t>
  </si>
  <si>
    <t>TGBU5300496</t>
  </si>
  <si>
    <t>TGHU6366910</t>
  </si>
  <si>
    <t>TGHU6616069</t>
  </si>
  <si>
    <t>TLLU8036515</t>
  </si>
  <si>
    <t>BMOU9628617</t>
  </si>
  <si>
    <t>TRLU1690715</t>
  </si>
  <si>
    <t>CGMU8001916</t>
  </si>
  <si>
    <t>TTNU8880791</t>
  </si>
  <si>
    <t>RJCU2018845</t>
  </si>
  <si>
    <t>CGMU9408784</t>
  </si>
  <si>
    <t>SEGU9536673</t>
  </si>
  <si>
    <t>CGMU5073131</t>
  </si>
  <si>
    <t>TRHU3790377</t>
  </si>
  <si>
    <t>APZU3675100</t>
  </si>
  <si>
    <t>CMAU1255551</t>
  </si>
  <si>
    <t>TEMU5329340</t>
  </si>
  <si>
    <t>TRIU8615262</t>
  </si>
  <si>
    <t>SZLU9820981</t>
  </si>
  <si>
    <t>CGMU9330310</t>
  </si>
  <si>
    <t>CXRU1071160</t>
  </si>
  <si>
    <t>TTNU8531193</t>
  </si>
  <si>
    <t>TTNU8697585</t>
  </si>
  <si>
    <t>CGMU5224346</t>
  </si>
  <si>
    <t>TTNU8012650</t>
  </si>
  <si>
    <t>IXMU2704059</t>
  </si>
  <si>
    <t>IXMU2704676</t>
  </si>
  <si>
    <t>CGMU8025271</t>
  </si>
  <si>
    <t>CAIU5660689</t>
  </si>
  <si>
    <t>CGMU5118323</t>
  </si>
  <si>
    <t>TTNU8896490</t>
  </si>
  <si>
    <t>CXRU1361071</t>
  </si>
  <si>
    <t>SEKU9132130</t>
  </si>
  <si>
    <t>58964741</t>
  </si>
  <si>
    <t>49959922</t>
  </si>
  <si>
    <t>92866043</t>
  </si>
  <si>
    <t>45472266</t>
  </si>
  <si>
    <t>45G2</t>
  </si>
  <si>
    <t>36541706</t>
  </si>
  <si>
    <t>4531</t>
  </si>
  <si>
    <t>22K2</t>
  </si>
  <si>
    <t>4534</t>
  </si>
  <si>
    <t>RSF</t>
  </si>
  <si>
    <t>Coconut  abaca "Manila hemp or</t>
  </si>
  <si>
    <t>IXMU2704716</t>
  </si>
  <si>
    <t>TCLU1279222</t>
  </si>
  <si>
    <t>TEMU9900987</t>
  </si>
  <si>
    <t>AMCU9406293</t>
  </si>
  <si>
    <t>SEGU9402648</t>
  </si>
  <si>
    <t>CGMU5080444</t>
  </si>
  <si>
    <t>59007117</t>
  </si>
  <si>
    <t>IFC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</si>
</sst>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"/>
  </numFmts>
  <fonts count="11" x14ac:knownFonts="1"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0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0000"/>
      <name val="Times New Roman"/>
      <family val="1"/>
    </font>
    <font>
      <sz val="9"/>
      <color rgb="FF000000"/>
      <name val="Times New Roman"/>
      <family val="1"/>
    </font>
    <font>
      <b/>
      <sz val="11"/>
      <color theme="1" tint="4.9989318521683403E-2"/>
      <name val="Calibri"/>
      <family val="2"/>
    </font>
    <font>
      <sz val="12"/>
      <color theme="1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80808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 style="thin">
        <color rgb="FFA9A9A9"/>
      </right>
      <top/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rgb="FFA9A9A9"/>
      </left>
      <right/>
      <top/>
      <bottom style="thin">
        <color rgb="FFA9A9A9"/>
      </bottom>
      <diagonal/>
    </border>
    <border>
      <left style="thick">
        <color indexed="8"/>
      </left>
      <right style="thick">
        <color indexed="8"/>
      </right>
      <top/>
      <bottom style="thick">
        <color indexed="8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002060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/>
      <right style="thick">
        <color rgb="FF002060"/>
      </right>
      <top/>
      <bottom/>
      <diagonal/>
    </border>
    <border>
      <left/>
      <right/>
      <top/>
      <bottom style="thick">
        <color rgb="FF002060"/>
      </bottom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 style="thick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thick">
        <color rgb="FF002060"/>
      </right>
      <top/>
      <bottom style="medium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5">
    <xf numFmtId="0" fontId="0" fillId="0" borderId="0" xfId="0"/>
    <xf numFmtId="22" fontId="0" fillId="0" borderId="0" xfId="0" applyNumberFormat="1"/>
    <xf numFmtId="3" fontId="0" fillId="0" borderId="0" xfId="0" applyNumberFormat="1"/>
    <xf numFmtId="9" fontId="0" fillId="0" borderId="0" xfId="0" applyNumberFormat="1"/>
    <xf numFmtId="0" fontId="0" fillId="4" borderId="0" xfId="0" applyFill="1"/>
    <xf numFmtId="0" fontId="0" fillId="5" borderId="0" xfId="0" applyFill="1"/>
    <xf numFmtId="0" fontId="1" fillId="4" borderId="2" xfId="0" applyFont="1" applyFill="1" applyBorder="1" applyAlignment="1">
      <alignment horizontal="center" vertical="center" wrapText="1" readingOrder="1"/>
    </xf>
    <xf numFmtId="0" fontId="1" fillId="4" borderId="3" xfId="0" applyFont="1" applyFill="1" applyBorder="1" applyAlignment="1">
      <alignment horizontal="center" vertical="center" wrapText="1" readingOrder="1"/>
    </xf>
    <xf numFmtId="0" fontId="1" fillId="4" borderId="4" xfId="0" applyFont="1" applyFill="1" applyBorder="1" applyAlignment="1">
      <alignment horizontal="center" vertical="center" wrapText="1" readingOrder="1"/>
    </xf>
    <xf numFmtId="0" fontId="1" fillId="3" borderId="3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Alignment="1">
      <alignment vertical="top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0" fillId="7" borderId="0" xfId="0" applyFill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4" fillId="9" borderId="0" xfId="0" applyFont="1" applyFill="1"/>
    <xf numFmtId="0" fontId="0" fillId="0" borderId="12" xfId="0" applyBorder="1"/>
    <xf numFmtId="0" fontId="0" fillId="0" borderId="13" xfId="0" applyBorder="1"/>
    <xf numFmtId="0" fontId="5" fillId="0" borderId="0" xfId="0" applyFont="1"/>
    <xf numFmtId="0" fontId="0" fillId="0" borderId="14" xfId="0" applyBorder="1"/>
    <xf numFmtId="0" fontId="0" fillId="9" borderId="0" xfId="0" applyFill="1"/>
    <xf numFmtId="0" fontId="0" fillId="0" borderId="15" xfId="0" applyBorder="1"/>
    <xf numFmtId="0" fontId="0" fillId="0" borderId="16" xfId="0" applyBorder="1"/>
    <xf numFmtId="0" fontId="0" fillId="0" borderId="0" xfId="0" applyAlignment="1">
      <alignment wrapText="1"/>
    </xf>
    <xf numFmtId="0" fontId="0" fillId="0" borderId="11" xfId="0" applyBorder="1"/>
    <xf numFmtId="0" fontId="0" fillId="0" borderId="10" xfId="0" applyBorder="1"/>
    <xf numFmtId="0" fontId="0" fillId="0" borderId="17" xfId="0" applyBorder="1"/>
    <xf numFmtId="0" fontId="0" fillId="0" borderId="9" xfId="0" applyBorder="1"/>
    <xf numFmtId="0" fontId="0" fillId="0" borderId="8" xfId="0" applyBorder="1"/>
    <xf numFmtId="0" fontId="0" fillId="0" borderId="19" xfId="0" applyBorder="1"/>
    <xf numFmtId="0" fontId="0" fillId="0" borderId="18" xfId="0" applyBorder="1"/>
    <xf numFmtId="49" fontId="0" fillId="0" borderId="19" xfId="0" applyNumberFormat="1" applyBorder="1"/>
    <xf numFmtId="0" fontId="0" fillId="0" borderId="21" xfId="0" applyBorder="1"/>
    <xf numFmtId="0" fontId="6" fillId="0" borderId="18" xfId="1" applyBorder="1"/>
    <xf numFmtId="0" fontId="6" fillId="0" borderId="0" xfId="1" applyNumberFormat="1"/>
    <xf numFmtId="0" fontId="6" fillId="0" borderId="0" xfId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27" xfId="1" applyBorder="1"/>
    <xf numFmtId="49" fontId="7" fillId="2" borderId="1" xfId="0" applyNumberFormat="1" applyFont="1" applyFill="1" applyBorder="1" applyAlignment="1">
      <alignment horizontal="left" vertical="center" wrapText="1" readingOrder="1"/>
    </xf>
    <xf numFmtId="0" fontId="7" fillId="2" borderId="1" xfId="0" applyFont="1" applyFill="1" applyBorder="1" applyAlignment="1">
      <alignment horizontal="center" vertical="center" wrapText="1" readingOrder="1"/>
    </xf>
    <xf numFmtId="49" fontId="8" fillId="2" borderId="1" xfId="0" applyNumberFormat="1" applyFont="1" applyFill="1" applyBorder="1" applyAlignment="1">
      <alignment horizontal="left" vertical="center" wrapText="1" readingOrder="1"/>
    </xf>
    <xf numFmtId="0" fontId="8" fillId="2" borderId="1" xfId="0" applyFont="1" applyFill="1" applyBorder="1" applyAlignment="1">
      <alignment horizontal="center" vertical="center" wrapText="1" readingOrder="1"/>
    </xf>
    <xf numFmtId="49" fontId="8" fillId="11" borderId="1" xfId="0" applyNumberFormat="1" applyFont="1" applyFill="1" applyBorder="1" applyAlignment="1">
      <alignment horizontal="left" vertical="center" wrapText="1" readingOrder="1"/>
    </xf>
    <xf numFmtId="0" fontId="8" fillId="11" borderId="1" xfId="0" applyFont="1" applyFill="1" applyBorder="1" applyAlignment="1">
      <alignment horizontal="center" vertical="center" wrapText="1" readingOrder="1"/>
    </xf>
    <xf numFmtId="49" fontId="8" fillId="11" borderId="31" xfId="0" applyNumberFormat="1" applyFont="1" applyFill="1" applyBorder="1" applyAlignment="1">
      <alignment horizontal="left" vertical="center" wrapText="1" readingOrder="1"/>
    </xf>
    <xf numFmtId="0" fontId="8" fillId="11" borderId="31" xfId="0" applyFont="1" applyFill="1" applyBorder="1" applyAlignment="1">
      <alignment horizontal="center" vertical="center" wrapText="1" readingOrder="1"/>
    </xf>
    <xf numFmtId="0" fontId="0" fillId="0" borderId="32" xfId="0" applyBorder="1" applyAlignment="1">
      <alignment vertical="center" wrapText="1"/>
    </xf>
    <xf numFmtId="0" fontId="0" fillId="0" borderId="33" xfId="0" applyBorder="1"/>
    <xf numFmtId="0" fontId="0" fillId="0" borderId="0" xfId="0" applyAlignment="1">
      <alignment vertical="center" wrapText="1"/>
    </xf>
    <xf numFmtId="0" fontId="0" fillId="0" borderId="32" xfId="0" applyBorder="1"/>
    <xf numFmtId="0" fontId="6" fillId="0" borderId="32" xfId="1" applyNumberFormat="1" applyBorder="1"/>
    <xf numFmtId="0" fontId="9" fillId="4" borderId="0" xfId="0" applyFont="1" applyFill="1" applyAlignment="1">
      <alignment vertical="top"/>
    </xf>
    <xf numFmtId="0" fontId="9" fillId="6" borderId="0" xfId="0" applyFont="1" applyFill="1" applyAlignment="1">
      <alignment vertical="top"/>
    </xf>
    <xf numFmtId="0" fontId="10" fillId="0" borderId="32" xfId="0" applyFont="1" applyBorder="1" applyAlignment="1">
      <alignment vertical="center" wrapText="1"/>
    </xf>
    <xf numFmtId="0" fontId="0" fillId="10" borderId="29" xfId="0" applyFill="1" applyBorder="1"/>
    <xf numFmtId="0" fontId="0" fillId="10" borderId="0" xfId="0" applyFill="1"/>
    <xf numFmtId="0" fontId="0" fillId="10" borderId="28" xfId="0" applyFill="1" applyBorder="1"/>
    <xf numFmtId="0" fontId="0" fillId="10" borderId="30" xfId="0" applyFill="1" applyBorder="1"/>
    <xf numFmtId="0" fontId="0" fillId="0" borderId="34" xfId="0" applyBorder="1"/>
    <xf numFmtId="0" fontId="0" fillId="0" borderId="35" xfId="0" applyBorder="1"/>
    <xf numFmtId="22" fontId="0" fillId="0" borderId="34" xfId="0" applyNumberFormat="1" applyBorder="1"/>
  </cellXfs>
  <cellStyles count="2">
    <cellStyle name="Hyperlink" xfId="1" builtinId="8"/>
    <cellStyle name="Normal" xfId="0" builtinId="0"/>
  </cellStyles>
  <dxfs count="1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4" formatCode="#,##0.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4" formatCode="#,##0.00"/>
      <alignment horizontal="general" vertical="top" textRotation="0" wrapText="0" indent="0" justifyLastLine="0" shrinkToFit="0" readingOrder="0"/>
    </dxf>
    <dxf>
      <numFmt numFmtId="4" formatCode="#,##0.0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border outline="0">
        <bottom style="thick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ck">
          <color indexed="8"/>
        </left>
        <right style="thick">
          <color indexed="8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 style="thin">
          <color theme="9" tint="0.39997558519241921"/>
        </right>
        <top/>
        <bottom/>
        <vertical/>
        <horizontal/>
      </border>
    </dxf>
    <dxf>
      <numFmt numFmtId="0" formatCode="General"/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 tint="0.39997558519241921"/>
        </left>
        <right/>
        <top/>
        <bottom/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7" formatCode="d/mm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border outline="0">
        <top style="thin">
          <color rgb="FFA9A9A9"/>
        </top>
      </border>
    </dxf>
    <dxf>
      <border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imes New Roman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1"/>
    </dxf>
    <dxf>
      <border outline="0"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numFmt numFmtId="3" formatCode="#,##0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13" formatCode="0%"/>
    </dxf>
    <dxf>
      <numFmt numFmtId="3" formatCode="#,##0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13" formatCode="0%"/>
    </dxf>
    <dxf>
      <numFmt numFmtId="3" formatCode="#,##0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2060"/>
        </patternFill>
      </fill>
    </dxf>
  </dxfs>
  <tableStyles count="2" defaultTableStyle="TableStyleMedium2" defaultPivotStyle="PivotStyleLight16">
    <tableStyle name="Invisible" pivot="0" table="0" count="0" xr9:uid="{9B64028F-F4FC-4EE7-A3F8-00B834832DE2}"/>
    <tableStyle name="Table Style 1" pivot="0" count="3" xr9:uid="{D2398E7E-6C7A-455A-A178-EBF486B67DFD}">
      <tableStyleElement type="headerRow" dxfId="148"/>
      <tableStyleElement type="firstRowStripe" dxfId="147"/>
      <tableStyleElement type="secondRowStripe" dxfId="1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OVERALL PROGRESS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OVERALL PROGRESS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waterfall" uniqueId="{C09DEFE4-9BBA-4B24-BE35-14327BCAD46F}">
          <cx:spPr>
            <a:solidFill>
              <a:srgbClr val="002060"/>
            </a:solidFill>
          </cx:spPr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050000000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tickLabels/>
        <cx:spPr>
          <a:ln>
            <a:noFill/>
          </a:ln>
        </cx:spPr>
      </cx:axis>
    </cx:plotArea>
  </cx:chart>
  <cx:spPr>
    <a:ln w="88900">
      <a:solidFill>
        <a:srgbClr val="00206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6" fmlaLink="Calculation!$H$35" fmlaRange="Calculation!$A$29:$A$36" noThreeD="1" sel="7" val="0"/>
</file>

<file path=xl/ctrlProps/ctrlProp2.xml><?xml version="1.0" encoding="utf-8"?>
<formControlPr xmlns="http://schemas.microsoft.com/office/spreadsheetml/2009/9/main" objectType="Drop" dropStyle="combo" dx="26" fmlaLink="Calculation!$M$5" fmlaRange="Calculation!$I$2:$I$7" noThreeD="1" sel="1" val="0"/>
</file>

<file path=xl/ctrlProps/ctrlProp3.xml><?xml version="1.0" encoding="utf-8"?>
<formControlPr xmlns="http://schemas.microsoft.com/office/spreadsheetml/2009/9/main" objectType="Drop" dropStyle="combo" dx="26" fmlaLink="Calculation!$L$21" fmlaRange="Calculation!$G$21:$G$23" noThreeD="1" sel="1" val="0"/>
</file>

<file path=xl/ctrlProps/ctrlProp4.xml><?xml version="1.0" encoding="utf-8"?>
<formControlPr xmlns="http://schemas.microsoft.com/office/spreadsheetml/2009/9/main" objectType="Drop" dropStyle="combo" dx="26" fmlaLink="$E$29" fmlaRange="$A$29:$A$35" noThreeD="1" sel="7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mailNotification!A1"/><Relationship Id="rId2" Type="http://schemas.openxmlformats.org/officeDocument/2006/relationships/hyperlink" Target="#StowList!A1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64771</xdr:colOff>
      <xdr:row>0</xdr:row>
      <xdr:rowOff>60961</xdr:rowOff>
    </xdr:from>
    <xdr:to>
      <xdr:col>5</xdr:col>
      <xdr:colOff>4676</xdr:colOff>
      <xdr:row>16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6" y="57151"/>
              <a:ext cx="6763615" cy="28155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10</xdr:row>
          <xdr:rowOff>7620</xdr:rowOff>
        </xdr:from>
        <xdr:to>
          <xdr:col>6</xdr:col>
          <xdr:colOff>381000</xdr:colOff>
          <xdr:row>12</xdr:row>
          <xdr:rowOff>0</xdr:rowOff>
        </xdr:to>
        <xdr:sp macro="" textlink="">
          <xdr:nvSpPr>
            <xdr:cNvPr id="15365" name="Drop Dow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2</xdr:row>
          <xdr:rowOff>22860</xdr:rowOff>
        </xdr:from>
        <xdr:to>
          <xdr:col>6</xdr:col>
          <xdr:colOff>381000</xdr:colOff>
          <xdr:row>4</xdr:row>
          <xdr:rowOff>0</xdr:rowOff>
        </xdr:to>
        <xdr:sp macro="" textlink="">
          <xdr:nvSpPr>
            <xdr:cNvPr id="15368" name="Drop Dow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533400</xdr:colOff>
      <xdr:row>2</xdr:row>
      <xdr:rowOff>15240</xdr:rowOff>
    </xdr:from>
    <xdr:to>
      <xdr:col>7</xdr:col>
      <xdr:colOff>0</xdr:colOff>
      <xdr:row>4</xdr:row>
      <xdr:rowOff>0</xdr:rowOff>
    </xdr:to>
    <xdr:sp macro="[0]!Module2.CopyInfo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465820" y="312420"/>
          <a:ext cx="944880" cy="3505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 b="0"/>
            <a:t>Extract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6</xdr:row>
          <xdr:rowOff>22860</xdr:rowOff>
        </xdr:from>
        <xdr:to>
          <xdr:col>6</xdr:col>
          <xdr:colOff>342900</xdr:colOff>
          <xdr:row>8</xdr:row>
          <xdr:rowOff>76200</xdr:rowOff>
        </xdr:to>
        <xdr:sp macro="" textlink="">
          <xdr:nvSpPr>
            <xdr:cNvPr id="15369" name="Drop Dow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510540</xdr:colOff>
      <xdr:row>6</xdr:row>
      <xdr:rowOff>15240</xdr:rowOff>
    </xdr:from>
    <xdr:to>
      <xdr:col>6</xdr:col>
      <xdr:colOff>1470660</xdr:colOff>
      <xdr:row>8</xdr:row>
      <xdr:rowOff>7620</xdr:rowOff>
    </xdr:to>
    <xdr:sp macro="[0]!ImportLARARAWDA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442960" y="1043940"/>
          <a:ext cx="96012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/>
            <a:t>Extract Data</a:t>
          </a:r>
        </a:p>
      </xdr:txBody>
    </xdr:sp>
    <xdr:clientData/>
  </xdr:twoCellAnchor>
  <xdr:twoCellAnchor>
    <xdr:from>
      <xdr:col>5</xdr:col>
      <xdr:colOff>55245</xdr:colOff>
      <xdr:row>12</xdr:row>
      <xdr:rowOff>188595</xdr:rowOff>
    </xdr:from>
    <xdr:to>
      <xdr:col>6</xdr:col>
      <xdr:colOff>626745</xdr:colOff>
      <xdr:row>14</xdr:row>
      <xdr:rowOff>188595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675120" y="2398395"/>
          <a:ext cx="16573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/>
            <a:t>Create Special Stow List</a:t>
          </a:r>
        </a:p>
      </xdr:txBody>
    </xdr:sp>
    <xdr:clientData/>
  </xdr:twoCellAnchor>
  <xdr:twoCellAnchor>
    <xdr:from>
      <xdr:col>9</xdr:col>
      <xdr:colOff>38101</xdr:colOff>
      <xdr:row>13</xdr:row>
      <xdr:rowOff>38100</xdr:rowOff>
    </xdr:from>
    <xdr:to>
      <xdr:col>11</xdr:col>
      <xdr:colOff>133351</xdr:colOff>
      <xdr:row>15</xdr:row>
      <xdr:rowOff>114300</xdr:rowOff>
    </xdr:to>
    <xdr:sp macro="[0]!Universal.Universa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63201" y="2457450"/>
          <a:ext cx="127635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Sent notification(s)</a:t>
          </a:r>
          <a:r>
            <a:rPr lang="en-NZ" sz="1100" baseline="0"/>
            <a:t> </a:t>
          </a:r>
          <a:br>
            <a:rPr lang="en-NZ" sz="1100" baseline="0"/>
          </a:br>
          <a:r>
            <a:rPr lang="en-NZ" sz="1100" baseline="0"/>
            <a:t>    to customer(s)</a:t>
          </a:r>
          <a:endParaRPr lang="en-NZ" sz="1100"/>
        </a:p>
      </xdr:txBody>
    </xdr:sp>
    <xdr:clientData/>
  </xdr:twoCellAnchor>
  <xdr:twoCellAnchor>
    <xdr:from>
      <xdr:col>11</xdr:col>
      <xdr:colOff>348615</xdr:colOff>
      <xdr:row>13</xdr:row>
      <xdr:rowOff>38100</xdr:rowOff>
    </xdr:from>
    <xdr:to>
      <xdr:col>13</xdr:col>
      <xdr:colOff>729615</xdr:colOff>
      <xdr:row>15</xdr:row>
      <xdr:rowOff>160020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85295" y="2461260"/>
          <a:ext cx="1569720" cy="5029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Change text</a:t>
          </a:r>
          <a:r>
            <a:rPr lang="en-NZ" sz="1100" baseline="0"/>
            <a:t> /subject </a:t>
          </a:r>
          <a:br>
            <a:rPr lang="en-NZ" sz="1100" baseline="0"/>
          </a:br>
          <a:r>
            <a:rPr lang="en-NZ" sz="1100" baseline="0"/>
            <a:t>      of notifiactioin(s)</a:t>
          </a:r>
          <a:endParaRPr lang="en-NZ" sz="1100"/>
        </a:p>
      </xdr:txBody>
    </xdr:sp>
    <xdr:clientData/>
  </xdr:twoCellAnchor>
  <xdr:twoCellAnchor>
    <xdr:from>
      <xdr:col>9</xdr:col>
      <xdr:colOff>30480</xdr:colOff>
      <xdr:row>11</xdr:row>
      <xdr:rowOff>22860</xdr:rowOff>
    </xdr:from>
    <xdr:to>
      <xdr:col>11</xdr:col>
      <xdr:colOff>160020</xdr:colOff>
      <xdr:row>12</xdr:row>
      <xdr:rowOff>160020</xdr:rowOff>
    </xdr:to>
    <xdr:sp macro="[0]!CreateDraftNotification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660380" y="1988820"/>
          <a:ext cx="1348740" cy="32004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>
              <a:solidFill>
                <a:schemeClr val="bg1"/>
              </a:solidFill>
            </a:rPr>
            <a:t>Second reminder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259080</xdr:colOff>
      <xdr:row>0</xdr:row>
      <xdr:rowOff>7620</xdr:rowOff>
    </xdr:from>
    <xdr:to>
      <xdr:col>4</xdr:col>
      <xdr:colOff>341308</xdr:colOff>
      <xdr:row>5</xdr:row>
      <xdr:rowOff>0</xdr:rowOff>
    </xdr:to>
    <xdr:pic macro="[0]!RefreshSP">
      <xdr:nvPicPr>
        <xdr:cNvPr id="2" name="Graphic 1" descr="Repea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04360" y="7620"/>
          <a:ext cx="691828" cy="914400"/>
        </a:xfrm>
        <a:prstGeom prst="rect">
          <a:avLst/>
        </a:prstGeom>
      </xdr:spPr>
    </xdr:pic>
    <xdr:clientData/>
  </xdr:twoCellAnchor>
  <xdr:twoCellAnchor>
    <xdr:from>
      <xdr:col>6</xdr:col>
      <xdr:colOff>34379</xdr:colOff>
      <xdr:row>0</xdr:row>
      <xdr:rowOff>45720</xdr:rowOff>
    </xdr:from>
    <xdr:to>
      <xdr:col>10</xdr:col>
      <xdr:colOff>441961</xdr:colOff>
      <xdr:row>6</xdr:row>
      <xdr:rowOff>7620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6282779" y="47625"/>
          <a:ext cx="2851697" cy="1066800"/>
          <a:chOff x="7809442" y="129540"/>
          <a:chExt cx="4100618" cy="1074420"/>
        </a:xfrm>
      </xdr:grpSpPr>
      <xdr:sp macro="[0]!CreateNewWorkbookWithSheets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825740" y="129540"/>
            <a:ext cx="4084320" cy="1074420"/>
          </a:xfrm>
          <a:prstGeom prst="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pic macro="[0]!CreateNewWorkbookWithSheets">
        <xdr:nvPicPr>
          <xdr:cNvPr id="5" name="Graphic 4" descr="Document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09442" y="228600"/>
            <a:ext cx="873579" cy="815340"/>
          </a:xfrm>
          <a:prstGeom prst="rect">
            <a:avLst/>
          </a:prstGeom>
        </xdr:spPr>
      </xdr:pic>
      <xdr:sp macro="[0]!CreateNewWorkbookWithSheets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8694420" y="464820"/>
            <a:ext cx="2781300" cy="39624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100"/>
              <a:t>Create a Special Stow List report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3</xdr:row>
      <xdr:rowOff>22860</xdr:rowOff>
    </xdr:from>
    <xdr:to>
      <xdr:col>4</xdr:col>
      <xdr:colOff>601980</xdr:colOff>
      <xdr:row>5</xdr:row>
      <xdr:rowOff>83820</xdr:rowOff>
    </xdr:to>
    <xdr:sp macro="[0]!Module2.CopyInfo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09800" y="571500"/>
          <a:ext cx="830580" cy="4267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Push</a:t>
          </a:r>
        </a:p>
      </xdr:txBody>
    </xdr:sp>
    <xdr:clientData/>
  </xdr:twoCellAnchor>
  <xdr:twoCellAnchor>
    <xdr:from>
      <xdr:col>3</xdr:col>
      <xdr:colOff>579120</xdr:colOff>
      <xdr:row>17</xdr:row>
      <xdr:rowOff>121920</xdr:rowOff>
    </xdr:from>
    <xdr:to>
      <xdr:col>6</xdr:col>
      <xdr:colOff>167640</xdr:colOff>
      <xdr:row>20</xdr:row>
      <xdr:rowOff>15240</xdr:rowOff>
    </xdr:to>
    <xdr:sp macro="[0]!ImportLARARAWDATA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407920" y="3230880"/>
          <a:ext cx="1417320" cy="4419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Push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27</xdr:row>
          <xdr:rowOff>137160</xdr:rowOff>
        </xdr:from>
        <xdr:to>
          <xdr:col>8</xdr:col>
          <xdr:colOff>365760</xdr:colOff>
          <xdr:row>29</xdr:row>
          <xdr:rowOff>152400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B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C1A9436-217E-40E0-996F-FEB682E2E187}" autoFormatId="16" applyNumberFormats="0" applyBorderFormats="0" applyFontFormats="0" applyPatternFormats="0" applyAlignmentFormats="0" applyWidthHeightFormats="0">
  <queryTableRefresh nextId="5" unboundColumnsRight="1">
    <queryTableFields count="3">
      <queryTableField id="1" name="Commodity" tableColumnId="1"/>
      <queryTableField id="2" name="Reefer" tableColumnId="2"/>
      <queryTableField id="4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6" xr16:uid="{AC5F0227-B711-4840-8D43-947623C2A9C3}" autoFormatId="16" applyNumberFormats="0" applyBorderFormats="0" applyFontFormats="0" applyPatternFormats="0" applyAlignmentFormats="0" applyWidthHeightFormats="0">
  <queryTableRefresh nextId="4">
    <queryTableFields count="2">
      <queryTableField id="1" name="Full Name" tableColumnId="1"/>
      <queryTableField id="2" name="Cod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B2C2FBC6-2EF3-4001-86CC-AC5A67994EAF}" autoFormatId="16" applyNumberFormats="0" applyBorderFormats="0" applyFontFormats="0" applyPatternFormats="0" applyAlignmentFormats="0" applyWidthHeightFormats="0">
  <queryTableRefresh nextId="13345">
    <queryTableFields count="8">
      <queryTableField id="1" name="Container" tableColumnId="1"/>
      <queryTableField id="2" name="Booking" tableColumnId="2"/>
      <queryTableField id="13342" name="Stops" tableColumnId="238"/>
      <queryTableField id="13340" name="Location" tableColumnId="237"/>
      <queryTableField id="5" name="PT ref" tableColumnId="5"/>
      <queryTableField id="6" name="Booking Pt" tableColumnId="6"/>
      <queryTableField id="9" name="Email 1 " tableColumnId="9"/>
      <queryTableField id="10" name="Email 2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89C784DE-6EDB-4216-8776-D6CC24368609}" autoFormatId="16" applyNumberFormats="0" applyBorderFormats="0" applyFontFormats="0" applyPatternFormats="0" applyAlignmentFormats="0" applyWidthHeightFormats="0">
  <queryTableRefresh nextId="147">
    <queryTableFields count="11">
      <queryTableField id="76" name="Container" tableColumnId="76"/>
      <queryTableField id="83" name="Location" tableColumnId="83"/>
      <queryTableField id="84" name="ISO" tableColumnId="84"/>
      <queryTableField id="94" name="T" tableColumnId="94"/>
      <queryTableField id="95" name="Vent" tableColumnId="95"/>
      <queryTableField id="96" name="Humidity" tableColumnId="96"/>
      <queryTableField id="103" name="Haz" tableColumnId="103"/>
      <queryTableField id="145" name="OOG" tableColumnId="1"/>
      <queryTableField id="118" name="Booking" tableColumnId="118"/>
      <queryTableField id="129" name="Stops" tableColumnId="129"/>
      <queryTableField id="91" name="POD" tableColumnId="9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9" xr16:uid="{86A601BE-DE89-402D-AF80-95031C79FD99}" autoFormatId="16" applyNumberFormats="0" applyBorderFormats="0" applyFontFormats="0" applyPatternFormats="0" applyAlignmentFormats="0" applyWidthHeightFormats="0">
  <queryTableRefresh nextId="9">
    <queryTableFields count="7">
      <queryTableField id="1" name="Container" tableColumnId="1"/>
      <queryTableField id="2" name="Booking" tableColumnId="2"/>
      <queryTableField id="3" name="PT ref" tableColumnId="3"/>
      <queryTableField id="7" name="Booking Pt" tableColumnId="7"/>
      <queryTableField id="4" name="Location" tableColumnId="4"/>
      <queryTableField id="5" name="ISO" tableColumnId="5"/>
      <queryTableField id="6" name="PortData.ISO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79C24AE-7DC1-4358-9703-3D6F2A54F608}" autoFormatId="16" applyNumberFormats="0" applyBorderFormats="0" applyFontFormats="0" applyPatternFormats="0" applyAlignmentFormats="0" applyWidthHeightFormats="0">
  <queryTableRefresh nextId="14">
    <queryTableFields count="6">
      <queryTableField id="1" name="Container" tableColumnId="1"/>
      <queryTableField id="2" name="Booking" tableColumnId="2"/>
      <queryTableField id="10" name="Stops" tableColumnId="3"/>
      <queryTableField id="11" name="Location" tableColumnId="4"/>
      <queryTableField id="8" name="PT ref" tableColumnId="8"/>
      <queryTableField id="9" name="Booking Pt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8" xr16:uid="{1E562609-AE73-43BC-90F5-BCE6413995CD}" autoFormatId="16" applyNumberFormats="0" applyBorderFormats="0" applyFontFormats="0" applyPatternFormats="0" applyAlignmentFormats="0" applyWidthHeightFormats="0">
  <queryTableRefresh nextId="16">
    <queryTableFields count="11">
      <queryTableField id="1" name="Container" tableColumnId="1"/>
      <queryTableField id="9" name="PortData.Container" tableColumnId="7"/>
      <queryTableField id="2" name="Booking" tableColumnId="2"/>
      <queryTableField id="10" name="PortData.Booking" tableColumnId="9"/>
      <queryTableField id="3" name="PT ref" tableColumnId="3"/>
      <queryTableField id="14" name="Booking Pt" tableColumnId="11"/>
      <queryTableField id="4" name="Location" tableColumnId="4"/>
      <queryTableField id="5" name="Haz" tableColumnId="5"/>
      <queryTableField id="6" name="PortData.Haz" tableColumnId="6"/>
      <queryTableField id="8" name="OOG" tableColumnId="8"/>
      <queryTableField id="11" name="PortData.OOG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20" xr16:uid="{3365DDAF-E340-4A28-BFEA-4F5FBD1A69A2}" autoFormatId="16" applyNumberFormats="0" applyBorderFormats="0" applyFontFormats="0" applyPatternFormats="0" applyAlignmentFormats="0" applyWidthHeightFormats="0">
  <queryTableRefresh nextId="14">
    <queryTableFields count="11">
      <queryTableField id="1" name="Container" tableColumnId="1"/>
      <queryTableField id="2" name="Booking" tableColumnId="2"/>
      <queryTableField id="3" name="PT ref" tableColumnId="3"/>
      <queryTableField id="11" name="Booking Pt" tableColumnId="11"/>
      <queryTableField id="5" name="Location" tableColumnId="5"/>
      <queryTableField id="4" name="T" tableColumnId="4"/>
      <queryTableField id="6" name="PortData.T" tableColumnId="6"/>
      <queryTableField id="7" name="Vent" tableColumnId="7"/>
      <queryTableField id="8" name="PortData.Vent" tableColumnId="8"/>
      <queryTableField id="9" name="Humidity" tableColumnId="9"/>
      <queryTableField id="10" name="PortData.Humidit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4" xr16:uid="{F07042C2-C507-469F-BB82-47E6AD3AA6A0}" autoFormatId="16" applyNumberFormats="0" applyBorderFormats="0" applyFontFormats="0" applyPatternFormats="0" applyAlignmentFormats="0" applyWidthHeightFormats="0">
  <queryTableRefresh nextId="8">
    <queryTableFields count="7">
      <queryTableField id="1" name="Container" tableColumnId="1"/>
      <queryTableField id="2" name="Booking" tableColumnId="2"/>
      <queryTableField id="3" name="PortData.Location" tableColumnId="3"/>
      <queryTableField id="4" name="POD" tableColumnId="4"/>
      <queryTableField id="5" name="PortData.POD" tableColumnId="5"/>
      <queryTableField id="6" name="PT ref" tableColumnId="6"/>
      <queryTableField id="7" name="Booking Pt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1" xr16:uid="{DA7163DD-6912-4331-AF0A-6956DAA54662}" autoFormatId="16" applyNumberFormats="0" applyBorderFormats="0" applyFontFormats="0" applyPatternFormats="0" applyAlignmentFormats="0" applyWidthHeightFormats="0">
  <queryTableRefresh nextId="24">
    <queryTableFields count="10">
      <queryTableField id="16" name="Container" tableColumnId="1"/>
      <queryTableField id="2" name="PortData.Container" tableColumnId="2"/>
      <queryTableField id="4" name="PortData.Booking" tableColumnId="4"/>
      <queryTableField id="17" name="Booking" tableColumnId="3"/>
      <queryTableField id="7" name="PortData.ISO" tableColumnId="7"/>
      <queryTableField id="20" name="PT ref" tableColumnId="5"/>
      <queryTableField id="21" name="Booking Pt" tableColumnId="8"/>
      <queryTableField id="10" name="PortData.Location" tableColumnId="10"/>
      <queryTableField id="6" name="PortData.POD" tableColumnId="6"/>
      <queryTableField id="11" name="PortData.Stops" tableColumnId="1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" xr16:uid="{3EDCDA1A-6E65-451A-8283-FD3B17D0CA87}" autoFormatId="16" applyNumberFormats="0" applyBorderFormats="0" applyFontFormats="0" applyPatternFormats="0" applyAlignmentFormats="0" applyWidthHeightFormats="0">
  <queryTableRefresh nextId="12">
    <queryTableFields count="8">
      <queryTableField id="1" name="Container" tableColumnId="1"/>
      <queryTableField id="3" name="Booking" tableColumnId="3"/>
      <queryTableField id="10" name="PT ref" tableColumnId="10"/>
      <queryTableField id="5" name="Booking Pt" tableColumnId="5"/>
      <queryTableField id="6" name="Location" tableColumnId="6"/>
      <queryTableField id="7" name="T" tableColumnId="7"/>
      <queryTableField id="8" name="POD" tableColumnId="8"/>
      <queryTableField id="9" name="POL" tableColumnId="9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A9924D59-E863-4869-B397-3209D8861AFA}" autoFormatId="16" applyNumberFormats="0" applyBorderFormats="0" applyFontFormats="0" applyPatternFormats="0" applyAlignmentFormats="0" applyWidthHeightFormats="0">
  <queryTableRefresh nextId="12">
    <queryTableFields count="8">
      <queryTableField id="1" name="Container" tableColumnId="1"/>
      <queryTableField id="3" name="Booking" tableColumnId="3"/>
      <queryTableField id="10" name="PT ref" tableColumnId="10"/>
      <queryTableField id="5" name="Booking Pt" tableColumnId="5"/>
      <queryTableField id="6" name="ISO" tableColumnId="6"/>
      <queryTableField id="7" name="T" tableColumnId="7"/>
      <queryTableField id="8" name="POD" tableColumnId="8"/>
      <queryTableField id="9" name="POL" tableColumnId="9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FA6DAA49-E0AB-4F70-86A7-F43341902DC8}" autoFormatId="16" applyNumberFormats="0" applyBorderFormats="0" applyFontFormats="0" applyPatternFormats="0" applyAlignmentFormats="0" applyWidthHeightFormats="0">
  <queryTableRefresh nextId="38">
    <queryTableFields count="34">
      <queryTableField id="1" name="Container" tableColumnId="1"/>
      <queryTableField id="2" name="PortData.Container" tableColumnId="2"/>
      <queryTableField id="3" name="Container check" tableColumnId="3"/>
      <queryTableField id="4" name="Booking" tableColumnId="4"/>
      <queryTableField id="5" name="PortData.Booking" tableColumnId="5"/>
      <queryTableField id="6" name="Booking check" tableColumnId="6"/>
      <queryTableField id="7" name="T" tableColumnId="7"/>
      <queryTableField id="8" name="PortData.T" tableColumnId="8"/>
      <queryTableField id="9" name="Temp check" tableColumnId="9"/>
      <queryTableField id="10" name="POD" tableColumnId="10"/>
      <queryTableField id="11" name="PortData.POD" tableColumnId="11"/>
      <queryTableField id="12" name="POD check" tableColumnId="12"/>
      <queryTableField id="32" name="Commodity" tableColumnId="32"/>
      <queryTableField id="13" name="ISO" tableColumnId="13"/>
      <queryTableField id="14" name="PortData.ISO" tableColumnId="14"/>
      <queryTableField id="15" name="ISO check" tableColumnId="15"/>
      <queryTableField id="16" name="PT ref" tableColumnId="16"/>
      <queryTableField id="17" name="Booking Pt" tableColumnId="17"/>
      <queryTableField id="18" name="Location" tableColumnId="18"/>
      <queryTableField id="19" name="PortData.Location" tableColumnId="19"/>
      <queryTableField id="20" name="Haz" tableColumnId="20"/>
      <queryTableField id="21" name="PortData.Haz" tableColumnId="21"/>
      <queryTableField id="22" name="Haz check" tableColumnId="22"/>
      <queryTableField id="23" name="Vent" tableColumnId="23"/>
      <queryTableField id="24" name="PortData.Vent" tableColumnId="24"/>
      <queryTableField id="25" name="Vent check" tableColumnId="25"/>
      <queryTableField id="26" name="Humidity" tableColumnId="26"/>
      <queryTableField id="27" name="PortData.Humidity" tableColumnId="27"/>
      <queryTableField id="28" name="Humidity check" tableColumnId="28"/>
      <queryTableField id="29" name="OOG" tableColumnId="29"/>
      <queryTableField id="34" name="PortData.OOG" tableColumnId="33"/>
      <queryTableField id="35" name="OOG check" tableColumnId="34"/>
      <queryTableField id="30" name="PortData.Stops" tableColumnId="30"/>
      <queryTableField id="31" name="POL" tableColumnId="3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DB9F38AC-EA0B-433E-9A79-921B70EAD768}" autoFormatId="16" applyNumberFormats="0" applyBorderFormats="0" applyFontFormats="0" applyPatternFormats="0" applyAlignmentFormats="0" applyWidthHeightFormats="0">
  <queryTableRefresh nextId="26">
    <queryTableFields count="14">
      <queryTableField id="1" name="Container" tableColumnId="1"/>
      <queryTableField id="2" name="Booking" tableColumnId="2"/>
      <queryTableField id="4" name="PT ref" tableColumnId="4"/>
      <queryTableField id="5" name="Booking Pt" tableColumnId="5"/>
      <queryTableField id="6" name="Location" tableColumnId="6"/>
      <queryTableField id="7" name="POD" tableColumnId="7"/>
      <queryTableField id="8" name="OOG" tableColumnId="8"/>
      <queryTableField id="9" name="Haz" tableColumnId="9"/>
      <queryTableField id="10" name="Vent" tableColumnId="10"/>
      <queryTableField id="11" name="ISO" tableColumnId="11"/>
      <queryTableField id="12" name="Humidity" tableColumnId="12"/>
      <queryTableField id="22" name="POL" tableColumnId="13"/>
      <queryTableField id="24" name="Commodity" tableColumnId="14"/>
      <queryTableField id="3" name="T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2" xr16:uid="{12014591-D92A-449E-A332-073FDC764404}" autoFormatId="16" applyNumberFormats="0" applyBorderFormats="0" applyFontFormats="0" applyPatternFormats="0" applyAlignmentFormats="0" applyWidthHeightFormats="0">
  <queryTableRefresh nextId="13">
    <queryTableFields count="12">
      <queryTableField id="1" name="Position" tableColumnId="1"/>
      <queryTableField id="2" name="Container" tableColumnId="2"/>
      <queryTableField id="3" name="Booking" tableColumnId="3"/>
      <queryTableField id="4" name="Commodity" tableColumnId="4"/>
      <queryTableField id="5" name="POD" tableColumnId="5"/>
      <queryTableField id="6" name="OOG" tableColumnId="6"/>
      <queryTableField id="7" name="Haz" tableColumnId="7"/>
      <queryTableField id="8" name="Vent" tableColumnId="8"/>
      <queryTableField id="9" name="ISO" tableColumnId="9"/>
      <queryTableField id="10" name="Humidity" tableColumnId="10"/>
      <queryTableField id="11" name="POL" tableColumnId="11"/>
      <queryTableField id="12" name="T" tableColumnId="1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D2BF173B-54A2-485A-A468-6B0B920DD751}" autoFormatId="16" applyNumberFormats="0" applyBorderFormats="0" applyFontFormats="0" applyPatternFormats="0" applyAlignmentFormats="0" applyWidthHeightFormats="0">
  <queryTableRefresh nextId="13">
    <queryTableFields count="12">
      <queryTableField id="1" name="Position" tableColumnId="1"/>
      <queryTableField id="2" name="Container" tableColumnId="2"/>
      <queryTableField id="3" name="Booking" tableColumnId="3"/>
      <queryTableField id="4" name="Commodity" tableColumnId="4"/>
      <queryTableField id="5" name="POD" tableColumnId="5"/>
      <queryTableField id="6" name="OOG" tableColumnId="6"/>
      <queryTableField id="7" name="Haz" tableColumnId="7"/>
      <queryTableField id="8" name="Vent" tableColumnId="8"/>
      <queryTableField id="9" name="ISO" tableColumnId="9"/>
      <queryTableField id="10" name="Humidity" tableColumnId="10"/>
      <queryTableField id="11" name="POL" tableColumnId="11"/>
      <queryTableField id="12" name="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622C97F-32DC-422C-9BB1-C52699A57172}" name="Commodity" displayName="Commodity" ref="A1:C22" tableType="queryTable" totalsRowShown="0">
  <autoFilter ref="A1:C22" xr:uid="{B8F4F0FD-6C8A-4D42-BE95-E673B4E9BCC7}"/>
  <tableColumns count="3">
    <tableColumn id="1" xr3:uid="{6A89A6A1-2293-4825-A7DD-4BF0AB6E4B3D}" uniqueName="1" name="Commodity" queryTableFieldId="1" dataDxfId="145"/>
    <tableColumn id="2" xr3:uid="{5AF28AAC-1192-45A1-A90C-5BD08FDA48E7}" uniqueName="2" name="Reefer" queryTableFieldId="2" dataDxfId="144"/>
    <tableColumn id="11" xr3:uid="{8A5D5930-4F80-47D6-A9C5-87487EF56ECE}" uniqueName="11" name="Position" queryTableFieldId="4" dataDxfId="14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961D7A7-1F7E-4D57-9006-CF50FA967AAA}" name="EmailsData" displayName="EmailsData" ref="A1:C58" totalsRowShown="0">
  <autoFilter ref="A1:C58" xr:uid="{14816AB9-E443-4C81-8700-3B5A9EA2F8F9}"/>
  <sortState xmlns:xlrd2="http://schemas.microsoft.com/office/spreadsheetml/2017/richdata2" ref="A2:C55">
    <sortCondition ref="A1:A55"/>
  </sortState>
  <tableColumns count="3">
    <tableColumn id="1" xr3:uid="{D61FD8CE-B9DC-464E-B664-5E8B068BB2C0}" name="Shipper Name" dataDxfId="142"/>
    <tableColumn id="2" xr3:uid="{0BC3A9EF-1DE5-421F-8218-B86B81874AB6}" name="Email 1 " dataDxfId="141"/>
    <tableColumn id="3" xr3:uid="{36E80EA4-CAA5-4E90-B3EB-188BC35BD977}" name="Email 2" dataDxfId="14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97FA44-35DF-4FD8-8FA8-0CE1114B51B3}" name="PortConvert" displayName="PortConvert" ref="A1:B44" tableType="queryTable">
  <autoFilter ref="A1:B44" xr:uid="{989ADBC0-9E1F-4816-80EF-F41E6B729C79}"/>
  <tableColumns count="2">
    <tableColumn id="1" xr3:uid="{EC784FC8-DB68-4B04-8A54-051A248A213B}" uniqueName="1" name="Full Name" totalsRowLabel="Total" queryTableFieldId="1" dataDxfId="139"/>
    <tableColumn id="2" xr3:uid="{0371F640-23E6-456E-91F0-5437B745E2B5}" uniqueName="2" name="Code" totalsRowFunction="count" queryTableFieldId="2" dataDxfId="138"/>
  </tableColumns>
  <tableStyleInfo name="TableStyleMedium7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54294F-6BFA-45C7-8AC3-0BEC18F8305C}" name="AKL" displayName="AKL" ref="A1:BI762" totalsRowShown="0">
  <autoFilter ref="A1:BI762" xr:uid="{8954294F-6BFA-45C7-8AC3-0BEC18F8305C}"/>
  <tableColumns count="61">
    <tableColumn id="1" xr3:uid="{97F4D013-9E4B-4B29-B111-1F518181A20C}" name="Container"/>
    <tableColumn id="2" xr3:uid="{3DB3F2AB-5239-495A-9C18-7EDC86B2AA89}" name="Last update date/time" dataDxfId="137"/>
    <tableColumn id="3" xr3:uid="{FC9FD1EC-E150-4296-9373-250393EE3E99}" name="Port/Depot"/>
    <tableColumn id="4" xr3:uid="{AA71B9C8-E917-46CC-99F4-5FDDC3BC546C}" name="Category"/>
    <tableColumn id="5" xr3:uid="{EE937691-255F-4A4A-9B61-F2436BEC268B}" name="Direction"/>
    <tableColumn id="6" xr3:uid="{D0C33BD5-1161-42B6-9D65-AED462B0040A}" name="Vessel"/>
    <tableColumn id="7" xr3:uid="{82472A8F-0D59-4A0D-8719-DA73801FAE0C}" name="Voyage"/>
    <tableColumn id="8" xr3:uid="{C4C74F53-25FA-48C5-9AD3-3B5E72EABEED}" name="Location"/>
    <tableColumn id="9" xr3:uid="{A3107EAF-BDEA-42F6-960A-D4AD5E694F00}" name="ISO"/>
    <tableColumn id="10" xr3:uid="{F20CEFF7-6C47-4074-A435-B2B266E8877F}" name="Declared Weight (kg)" dataDxfId="136"/>
    <tableColumn id="11" xr3:uid="{D8ECB829-E412-4EE0-A303-3516041BC028}" name="VGM?"/>
    <tableColumn id="12" xr3:uid="{9E574A96-6F64-49D4-B177-205E169059F1}" name="Commodity"/>
    <tableColumn id="13" xr3:uid="{18E1019A-41F3-490E-AF1D-89F434080A29}" name="Status"/>
    <tableColumn id="14" xr3:uid="{F592F860-5ED0-4EE8-8627-B22F11F4045C}" name="Container Operator"/>
    <tableColumn id="15" xr3:uid="{8D95EE5D-1850-4CFE-B7A2-3939516A1E98}" name="POL"/>
    <tableColumn id="16" xr3:uid="{38F27132-F401-40A7-943F-7871FC45DFAD}" name="POD"/>
    <tableColumn id="17" xr3:uid="{F1BF8070-E469-4490-93EF-3CBD3C1A4D55}" name="Destination Port"/>
    <tableColumn id="18" xr3:uid="{D23CFCD3-6F33-48E1-9B9B-37EF74D91451}" name="OOG"/>
    <tableColumn id="19" xr3:uid="{6179DA43-6D08-4293-9E80-C164BD50A240}" name="T"/>
    <tableColumn id="20" xr3:uid="{2D2E5859-C019-477A-A391-06F7A906031D}" name="Vent"/>
    <tableColumn id="21" xr3:uid="{3A205316-BD57-4190-89E3-FAD428C624F7}" name="Humidity" dataDxfId="135"/>
    <tableColumn id="22" xr3:uid="{0D9724C7-FC9E-470D-BD67-91C9F57B3579}" name="O2Percent"/>
    <tableColumn id="23" xr3:uid="{3397EDF4-EC40-4418-B9F0-47D01517282E}" name="CO2Percent"/>
    <tableColumn id="24" xr3:uid="{1CB96251-9C33-4E2F-9A13-6C5C38CDF271}" name="PackedOffPower"/>
    <tableColumn id="25" xr3:uid="{926F4D82-B00F-4FCF-BE84-591D741D0063}" name="PackedOffPowerTemp"/>
    <tableColumn id="26" xr3:uid="{B8C69F07-FB87-447A-8E80-A7AA2BADC405}" name="MaxTimeOffPower"/>
    <tableColumn id="27" xr3:uid="{D0EA6139-4188-419E-8740-07834BC5CEC1}" name="Target Connect Date"/>
    <tableColumn id="28" xr3:uid="{F7FD75AA-F242-448B-8B08-C4246D8BC635}" name="Haz"/>
    <tableColumn id="29" xr3:uid="{6A2FD25A-6EEF-42F8-9DD4-4BEFDF1F3B08}" name="Delivery Group"/>
    <tableColumn id="30" xr3:uid="{2F8E50AC-26A9-4D73-A437-5C50196F415D}" name="Seals"/>
    <tableColumn id="31" xr3:uid="{B489CD26-5B11-4EB4-A668-585487F04D28}" name="Discharge Date"/>
    <tableColumn id="32" xr3:uid="{B441071E-4780-4CB5-AC70-6C4EB1DAD872}" name="Seaport Gate Out Date"/>
    <tableColumn id="33" xr3:uid="{E1898885-FB7E-4524-A0EF-FDE628C01996}" name="Inland Port Gate Out Date"/>
    <tableColumn id="34" xr3:uid="{83D9874D-8743-479C-A5AD-97524EF5A9BE}" name="Seaport Departure Mode"/>
    <tableColumn id="35" xr3:uid="{025F4A86-1CCC-4DF9-B176-ABA779707186}" name="Seaport Inbound/Outbound Carrier"/>
    <tableColumn id="36" xr3:uid="{BD6D5BF8-AB06-44C2-85D1-AF1136654467}" name="Inland Port Inbound/Outbound Carrier"/>
    <tableColumn id="37" xr3:uid="{07F4C62C-8298-4B4F-B8CB-822585499FC4}" name="Last Free Time"/>
    <tableColumn id="38" xr3:uid="{2ACE6FFC-8D5B-450F-9507-9FF811EE91F4}" name="Empty Return Depot"/>
    <tableColumn id="39" xr3:uid="{BB13D6C6-7F92-4588-A795-23C96E8CC218}" name="Security Check"/>
    <tableColumn id="40" xr3:uid="{C748EA88-1E2D-4327-8F4B-48475EE3DBF6}" name="MPI Release Date"/>
    <tableColumn id="41" xr3:uid="{1747B714-E59D-4223-8DBC-776CDF427BC0}" name="Customs Release Date"/>
    <tableColumn id="42" xr3:uid="{D900DBBD-6365-41C1-9452-9DF419D3463A}" name="Line Release Date"/>
    <tableColumn id="43" xr3:uid="{35296599-0715-4CB6-A23E-E556A8B6B15C}" name="Booking"/>
    <tableColumn id="44" xr3:uid="{2B581FC8-8D59-4F7F-9E6F-A666507F29A4}" name="Prev LOP"/>
    <tableColumn id="45" xr3:uid="{78B8A7CD-1E66-4D14-B2E6-8D5E946AF768}" name="Attached Equipment"/>
    <tableColumn id="46" xr3:uid="{4793605A-FDF0-44BD-BA61-B5A621DF3570}" name="Load Date" dataDxfId="134"/>
    <tableColumn id="47" xr3:uid="{DCAE341E-8B7C-4F95-A860-E51F0AE2D85C}" name="Inland Port Gate In Date"/>
    <tableColumn id="48" xr3:uid="{7E9FD3F6-7D56-4316-969A-9D99B6CEA9A5}" name="Seaport Gate In Date" dataDxfId="133"/>
    <tableColumn id="49" xr3:uid="{B0429C57-F0DA-43D9-A3B6-11EF4B80499A}" name="Vessel ETA/ATA" dataDxfId="132"/>
    <tableColumn id="50" xr3:uid="{264D3E13-62CC-4838-8C98-539D4F79C7FE}" name="Vessel ETD/ATD" dataDxfId="131"/>
    <tableColumn id="51" xr3:uid="{9D1223E7-7B11-4252-8CA9-DCC8EC4CB162}" name="Booking Discrepancies"/>
    <tableColumn id="52" xr3:uid="{4B758775-0B32-410D-8C3B-F8340E04A4E2}" name="Stops"/>
    <tableColumn id="53" xr3:uid="{9F3E1F36-1661-4849-BC31-2639E463FD3D}" name="CEDO Release Date" dataDxfId="130"/>
    <tableColumn id="54" xr3:uid="{DE1D29E4-05D7-4CBE-8096-E4EB5052DC6A}" name=" Port Stops"/>
    <tableColumn id="55" xr3:uid="{7542FB60-05EA-4798-A32A-1E7AFC1F89D0}" name="Shuttle Connect Priority"/>
    <tableColumn id="56" xr3:uid="{BDBF31DF-9814-42EE-9740-CD1D7849E950}" name="Activated Date" dataDxfId="129"/>
    <tableColumn id="57" xr3:uid="{D276818A-B095-448A-AADB-F6B1F5733268}" name="VBS Slot Date" dataDxfId="128"/>
    <tableColumn id="58" xr3:uid="{3A9FDB6A-AC63-43B3-8383-201A773FF73A}" name="Depot Gate In Date"/>
    <tableColumn id="59" xr3:uid="{7944D0DF-B3C7-44A5-9DFC-553DB7621ADB}" name="Depot Gate Out Date"/>
    <tableColumn id="60" xr3:uid="{522A10C2-78C7-45E1-957A-48B16ABB4EBC}" name="Depot Inbound Carrier"/>
    <tableColumn id="61" xr3:uid="{1C4B0F4D-1D1A-4515-AA70-EDDDD7E5CF0A}" name="Depot Outbound Carri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9A9C16-02CF-40FA-8BD7-D5257F663404}" name="TRG" displayName="TRG" ref="A1:BI1207" totalsRowShown="0">
  <autoFilter ref="A1:BI1207" xr:uid="{89326BA2-1876-4C9D-86D7-FD2F757B90EE}"/>
  <tableColumns count="61">
    <tableColumn id="1" xr3:uid="{567D46F0-62EF-4722-908B-BB485FE59FAC}" name="Container"/>
    <tableColumn id="2" xr3:uid="{AD00B4AD-25D7-4A88-B541-288F05CA2C49}" name="Last update date/time" dataDxfId="127"/>
    <tableColumn id="3" xr3:uid="{0223719B-1A58-4E35-966B-EE221DB14AE4}" name="Port/Depot"/>
    <tableColumn id="4" xr3:uid="{0E4EBEAB-C9A1-4CB3-8B65-2324DB67D4FA}" name="Category"/>
    <tableColumn id="5" xr3:uid="{8ABC5507-CF49-4CD5-B4FD-222FB2745DC7}" name="Direction"/>
    <tableColumn id="6" xr3:uid="{F4CC4B43-4452-4561-846D-3082CE8D0360}" name="Vessel"/>
    <tableColumn id="7" xr3:uid="{A3D4440B-3E93-4E72-93F9-0B4740B915A0}" name="Voyage"/>
    <tableColumn id="8" xr3:uid="{88510C2C-6B78-4C94-9ED0-D6CD9569C75F}" name="Location"/>
    <tableColumn id="9" xr3:uid="{E3116167-4A50-4D25-BE4B-F9D2531AA295}" name="ISO"/>
    <tableColumn id="10" xr3:uid="{B7246923-B83D-4CDF-B485-EFEDDE7C6D21}" name="Declared Weight (kg)" dataDxfId="126"/>
    <tableColumn id="11" xr3:uid="{8D0DFB6D-25FD-43CD-AAEE-D1E4320654EB}" name="VGM?"/>
    <tableColumn id="12" xr3:uid="{1423750E-2CFE-4644-AAB1-0267E7DDF1D6}" name="Commodity"/>
    <tableColumn id="13" xr3:uid="{400BB38F-0A14-404F-9C58-84AB56B7E52C}" name="Status"/>
    <tableColumn id="14" xr3:uid="{7AD05BA7-9282-4027-863C-1883B04198D0}" name="Container Operator"/>
    <tableColumn id="15" xr3:uid="{D36B45CE-C624-4C04-8C27-A2510C4BA267}" name="POL"/>
    <tableColumn id="16" xr3:uid="{B6526CB1-EBD3-4655-8EA2-95FDB4B47001}" name="POD"/>
    <tableColumn id="17" xr3:uid="{4026607B-4C80-4EB3-9BAD-616D85850AA6}" name="Destination Port"/>
    <tableColumn id="18" xr3:uid="{4CC45CD1-E5E0-4C15-A83C-94160154128F}" name="OOG"/>
    <tableColumn id="19" xr3:uid="{81632957-F662-48F5-9990-EA1E7A644C79}" name="T"/>
    <tableColumn id="20" xr3:uid="{7CD899A7-E4CB-448B-9F72-12DD6FF661E7}" name="Vent"/>
    <tableColumn id="21" xr3:uid="{537C517D-408F-493E-83D4-D9A92C021E7A}" name="Humidity" dataDxfId="125"/>
    <tableColumn id="22" xr3:uid="{630B99B1-A850-4CC1-8A9A-E8CF0AD8ACB7}" name="O2Percent"/>
    <tableColumn id="23" xr3:uid="{950A9DAD-2CCB-40D1-9E6F-FEEA950B5AE9}" name="CO2Percent"/>
    <tableColumn id="24" xr3:uid="{A609432A-FA5C-42EE-AB29-0CD4605619A2}" name="PackedOffPower"/>
    <tableColumn id="25" xr3:uid="{866E1EC5-CE18-4073-B10D-AA1B4938A855}" name="PackedOffPowerTemp"/>
    <tableColumn id="26" xr3:uid="{844112EA-735D-4EE2-A777-ADE6CC6390AF}" name="MaxTimeOffPower"/>
    <tableColumn id="27" xr3:uid="{4BF6CDD4-2500-4251-9CD7-2993260FA64B}" name="Target Connect Date"/>
    <tableColumn id="28" xr3:uid="{B7460F36-1CD3-4F36-BDAA-4E33549DBAF6}" name="Haz"/>
    <tableColumn id="29" xr3:uid="{CC956EBF-5AE5-43D8-8DDD-6A09AB3406EB}" name="Delivery Group"/>
    <tableColumn id="30" xr3:uid="{672268D2-8C68-42A8-8FD8-802C5BC38ACB}" name="Seals"/>
    <tableColumn id="31" xr3:uid="{AA601D5A-D843-47A2-BB9D-F8C8A7D598AE}" name="Discharge Date" dataDxfId="124"/>
    <tableColumn id="32" xr3:uid="{4FD80535-6B8D-4DBF-8E15-B674F4735C57}" name="Seaport Gate Out Date"/>
    <tableColumn id="33" xr3:uid="{79747B2A-B8AC-432D-A89B-49C4F9EDD6CB}" name="Inland Port Gate Out Date"/>
    <tableColumn id="34" xr3:uid="{6F75978C-1276-4261-9F2D-77DEF4515871}" name="Seaport Departure Mode"/>
    <tableColumn id="35" xr3:uid="{03ACC02C-F464-4243-97CB-11561E244D1B}" name="Seaport Inbound/Outbound Carrier"/>
    <tableColumn id="36" xr3:uid="{63D92B36-50EF-4D49-BF40-8EC219BE4C4A}" name="Inland Port Inbound/Outbound Carrier"/>
    <tableColumn id="37" xr3:uid="{1ABC7065-DEBF-4941-91BD-319EF57CE0FD}" name="Last Free Time" dataDxfId="123"/>
    <tableColumn id="38" xr3:uid="{6989FDE3-8DB1-4380-B915-F42BD99C5F27}" name="Empty Return Depot"/>
    <tableColumn id="39" xr3:uid="{3EF96A0D-9B0F-4ED2-8825-3776CD96DD31}" name="Security Check"/>
    <tableColumn id="40" xr3:uid="{2513FE96-4B37-4430-B3CE-2CE9E710391F}" name="MPI Release Date"/>
    <tableColumn id="41" xr3:uid="{6EABBDBC-84B0-4F90-84E5-83C358547573}" name="Customs Release Date"/>
    <tableColumn id="42" xr3:uid="{4354AE45-6433-40CE-B01D-D76AB3128A17}" name="Line Release Date"/>
    <tableColumn id="43" xr3:uid="{B77F3FD1-BA71-4264-AEDD-9B7B8F922586}" name="Booking"/>
    <tableColumn id="44" xr3:uid="{643EF51E-E990-4BFB-8F81-2CE3690CAA03}" name="Prev LOP"/>
    <tableColumn id="45" xr3:uid="{E25FE78C-D612-4247-94EE-A1267B110191}" name="Attached Equipment"/>
    <tableColumn id="46" xr3:uid="{3B5EB486-BC09-4D65-9600-43C8F60B100E}" name="Load Date"/>
    <tableColumn id="47" xr3:uid="{B9587A4B-E258-4C21-A53C-7492CE2E7F1A}" name="Inland Port Gate In Date"/>
    <tableColumn id="48" xr3:uid="{E1924597-0C5F-4756-8607-5733AAF75094}" name="Seaport Gate In Date" dataDxfId="122"/>
    <tableColumn id="49" xr3:uid="{4EAFC84F-12DB-4F15-9D51-2FED7151CD10}" name="Vessel ETA/ATA" dataDxfId="121"/>
    <tableColumn id="50" xr3:uid="{2FCDC7C6-4977-4209-AA2B-C4AB4C57163C}" name="Vessel ETD/ATD" dataDxfId="120"/>
    <tableColumn id="51" xr3:uid="{06C3B93F-E584-438D-AE84-8FB315DC588D}" name="Booking Discrepancies"/>
    <tableColumn id="52" xr3:uid="{EEE23A26-1212-4FC7-8FA1-C3B04E42FCC7}" name="Stops"/>
    <tableColumn id="53" xr3:uid="{E10164A3-7774-4513-8FF7-105FCA26D4ED}" name="CEDO Release Date" dataDxfId="119"/>
    <tableColumn id="54" xr3:uid="{DCC314EC-0066-4BBA-9D4F-C0EEE9A2B125}" name=" Port Stops"/>
    <tableColumn id="55" xr3:uid="{FD951F63-7AC3-417A-A867-2F3B1C4A5E42}" name="Shuttle Connect Priority"/>
    <tableColumn id="56" xr3:uid="{CD8338D2-6037-486C-8B81-F17F5724BAAD}" name="Activated Date" dataDxfId="118"/>
    <tableColumn id="57" xr3:uid="{1D5391EF-B848-4831-A482-D6E679ECD09A}" name="VBS Slot Date" dataDxfId="117"/>
    <tableColumn id="58" xr3:uid="{3B686B1A-7FFE-4C44-83B3-84A002B60662}" name="Depot Gate In Date"/>
    <tableColumn id="59" xr3:uid="{74BE828A-EB8E-4371-BD00-AA70D78C3C5C}" name="Depot Gate Out Date"/>
    <tableColumn id="60" xr3:uid="{06C7F78D-47C3-4C72-BBD5-7DECDCA2BE1E}" name="Depot Inbound Carrier"/>
    <tableColumn id="61" xr3:uid="{15040F67-B826-4671-8F51-7F525D00F343}" name="Depot Outbound Carri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C816B9-2071-4CAD-8977-F782063D7B91}" name="LYT" displayName="LYT" ref="A1:W442" totalsRowShown="0">
  <autoFilter ref="A1:W442" xr:uid="{B7151EDE-CDF7-40BB-8C68-B228D98AD88D}"/>
  <tableColumns count="23">
    <tableColumn id="1" xr3:uid="{3EC3A664-4881-42D7-8274-C3B2951CCACE}" name="Container"/>
    <tableColumn id="2" xr3:uid="{D2E10E44-AFF3-487B-918B-DDAC17DEA7C6}" name="Booking"/>
    <tableColumn id="3" xr3:uid="{24AF0A8C-0B4B-41C1-B17D-AB43ACCF73F7}" name="T"/>
    <tableColumn id="4" xr3:uid="{7F6BB178-6BFE-4AD7-93A9-BF8800E04824}" name="Last Move"/>
    <tableColumn id="5" xr3:uid="{66DA6C6B-82ED-4BF6-823B-7D56A9E755A0}" name="ISO"/>
    <tableColumn id="6" xr3:uid="{FCBDA019-4876-4162-BD67-2139E8045603}" name="Category"/>
    <tableColumn id="7" xr3:uid="{A687ED30-B6FD-4F13-AF98-DF519F3C188D}" name="Weight (kg)" dataDxfId="116"/>
    <tableColumn id="8" xr3:uid="{2F80EF81-136E-4DBF-935D-74C9A96317F6}" name="Frght Kind"/>
    <tableColumn id="9" xr3:uid="{F809C6CA-917B-47F2-B88C-4C3748243E00}" name="V-State"/>
    <tableColumn id="10" xr3:uid="{4AD16DBA-42FF-442A-A73A-66FA2204FCCC}" name="Location"/>
    <tableColumn id="11" xr3:uid="{88BBEB49-B220-443F-B558-3AE821633D92}" name="Position"/>
    <tableColumn id="12" xr3:uid="{2BF90110-067C-4F55-9219-7ED07A7618FD}" name="Line Op"/>
    <tableColumn id="13" xr3:uid="{24EA3537-CBA3-4859-ACE9-F36532CF4C02}" name="O/B Actual Visit"/>
    <tableColumn id="14" xr3:uid="{61244C82-59CD-464F-8651-B68778450A9E}" name="POD"/>
    <tableColumn id="15" xr3:uid="{ED2CEE89-CE49-41F4-9989-1E0CADEBB4D6}" name="Reqs Power"/>
    <tableColumn id="16" xr3:uid="{D4CEA96B-05B4-48B7-B1C5-3084E03164C1}" name="Stops"/>
    <tableColumn id="17" xr3:uid="{E21CAA8A-B40E-47C7-88B8-1D9E196D3AEF}" name="Stop-Rail"/>
    <tableColumn id="18" xr3:uid="{5E1B433E-CACE-4E0E-BFB1-599603E46CDA}" name="Stop-Road"/>
    <tableColumn id="19" xr3:uid="{60C37AA0-D8FF-4AB7-9991-7A1EABFA5E46}" name="I/B Actual Visit"/>
    <tableColumn id="20" xr3:uid="{52BF8262-5FF5-4F10-A6E9-F1F427BE2E75}" name="Haz"/>
    <tableColumn id="21" xr3:uid="{2C50C7A9-0DD0-40C3-9BEF-A09E36D0BC08}" name="Humidity"/>
    <tableColumn id="22" xr3:uid="{C097B9D8-920E-440A-82A1-45C898A04388}" name="Vent"/>
    <tableColumn id="23" xr3:uid="{7C9409C7-3402-47C3-ACDA-BD9F42DFE638}" name="OOG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81F3DD-DC28-4D7A-8019-1A366BB0789A}" name="NSN" displayName="NSN" ref="A1:O141" totalsRowShown="0" headerRowDxfId="115">
  <autoFilter ref="A1:O141" xr:uid="{27D04903-19EC-4C9C-A12E-A5B2E0F9018C}"/>
  <tableColumns count="15">
    <tableColumn id="1" xr3:uid="{95036912-2F22-41C5-907E-22343829AEB5}" name="Voyage"/>
    <tableColumn id="2" xr3:uid="{184A22A8-2FB1-4F38-B347-93B8447C4EFF}" name="Booking"/>
    <tableColumn id="3" xr3:uid="{EA909642-ECA9-4A3F-B40A-BB64FE84681C}" name="Place Recipt"/>
    <tableColumn id="4" xr3:uid="{6EEACE46-A002-41C0-A5B6-5AB808E99FF3}" name="POD"/>
    <tableColumn id="5" xr3:uid="{CAB1677E-F3A7-4A2F-BF65-2A54E8D93520}" name="FPOD"/>
    <tableColumn id="6" xr3:uid="{08A5440A-0150-4CFF-BF08-29A8AA1DE26D}" name="Container"/>
    <tableColumn id="7" xr3:uid="{59AA3F96-2E3F-490D-AEBE-5E079E385131}" name="ISO"/>
    <tableColumn id="8" xr3:uid="{0ED2C8E7-9685-47BA-B80F-622DEFDD2D4B}" name="Is Reefer"/>
    <tableColumn id="9" xr3:uid="{E37AD0F5-D6D9-4FD6-986E-4B035978B5E8}" name="T"/>
    <tableColumn id="10" xr3:uid="{38874131-F835-4A6C-9E22-246D329DED0E}" name="OOG "/>
    <tableColumn id="11" xr3:uid="{4F1D33CD-DE4A-4DD6-AA95-1493F8AB7F19}" name="Haz"/>
    <tableColumn id="12" xr3:uid="{73513327-5AE9-4709-8E6E-2E08A9E7800E}" name="Stops"/>
    <tableColumn id="13" xr3:uid="{B81FF4C2-F2EA-4131-B351-20F422B7BBBA}" name="Humidity"/>
    <tableColumn id="14" xr3:uid="{D75822A3-80C6-4343-BFBB-86AE71442117}" name="Vent"/>
    <tableColumn id="15" xr3:uid="{42233412-A8D6-4116-B455-FEA2267C0725}" name="Loca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11F467-3243-437D-8658-262373A2A2DD}" name="NPE" displayName="NPE" ref="A1:N251" totalsRowShown="0" headerRowDxfId="114" dataDxfId="112" headerRowBorderDxfId="113" tableBorderDxfId="111" totalsRowBorderDxfId="110">
  <autoFilter ref="A1:N251" xr:uid="{5C5626D1-67D3-41ED-8B73-DE3B44D3ABCC}"/>
  <tableColumns count="14">
    <tableColumn id="1" xr3:uid="{FAB1BC8C-F71C-4747-ADF5-79E5A3E1700F}" name="Container" dataDxfId="109"/>
    <tableColumn id="2" xr3:uid="{C641CFAD-2E45-4B88-A06E-2B24FFF9EE1D}" name="Line Op" dataDxfId="108"/>
    <tableColumn id="3" xr3:uid="{97B4DB64-8F26-4A4F-A90C-310204524D8C}" name="ISO" dataDxfId="107"/>
    <tableColumn id="4" xr3:uid="{7D9D27AC-FF45-44A6-8CDB-B2D9FC19B041}" name="Booking" dataDxfId="106"/>
    <tableColumn id="5" xr3:uid="{43B91DE1-AAD6-41CD-B63B-3FF45720C204}" name="Location" dataDxfId="105"/>
    <tableColumn id="6" xr3:uid="{76743685-700A-4223-A7E5-30A79279C25D}" name="Stops" dataDxfId="104"/>
    <tableColumn id="7" xr3:uid="{9C0EBFEA-BD83-4F40-93D0-D35565891EC1}" name="POD" dataDxfId="103"/>
    <tableColumn id="8" xr3:uid="{2AD4C987-8696-415D-99C6-A1B0BBD3988E}" name="Dest" dataDxfId="102"/>
    <tableColumn id="9" xr3:uid="{4F51989E-E372-4EF1-BA6C-03BB154FB096}" name="Commodity" dataDxfId="101"/>
    <tableColumn id="10" xr3:uid="{5F121098-2653-4191-82DF-C7CC6FB5462F}" name="T" dataDxfId="100"/>
    <tableColumn id="11" xr3:uid="{A6D198BE-1619-4E4B-B323-F21569B7222A}" name="Vent" dataDxfId="99"/>
    <tableColumn id="12" xr3:uid="{D52E22BD-2E66-462E-A8B4-92D884E513A5}" name="Humidity" dataDxfId="98"/>
    <tableColumn id="13" xr3:uid="{9CDE12A0-DCE1-4097-91AE-8B7A58A34DE6}" name="OOG" dataDxfId="97"/>
    <tableColumn id="14" xr3:uid="{F8D3656E-827C-4508-B895-7967A055C85F}" name="Haz" dataDxfId="9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0CBF7B-89E6-4875-B567-133625BD06BC}" name="WLG" displayName="WLG" ref="A1:AV202" totalsRowShown="0">
  <autoFilter ref="A1:AV202" xr:uid="{145ABA0E-741A-436A-BC75-EAC283BA5B27}"/>
  <tableColumns count="48">
    <tableColumn id="1" xr3:uid="{37DD1B16-1AD4-429D-9899-1D360E2745AF}" name="Freight Forwarder"/>
    <tableColumn id="2" xr3:uid="{7F7DEB3C-7F56-42B0-BD59-D8B526B1B040}" name="Container"/>
    <tableColumn id="3" xr3:uid="{F30B206C-2987-4A90-B662-FBBAE31DDD01}" name="Booking"/>
    <tableColumn id="4" xr3:uid="{45F92C94-CA7E-444E-ACB9-05F32154552F}" name="Voyage Code"/>
    <tableColumn id="5" xr3:uid="{C5D5B049-F2D8-4FA6-9EE9-0D067230B322}" name="IMEX Status"/>
    <tableColumn id="6" xr3:uid="{95A881EC-4F2A-439A-AC01-55BB4A5AB11E}" name="Operator Stop"/>
    <tableColumn id="7" xr3:uid="{5496C50A-688C-459C-B4B5-A91661933B30}" name="Port Stops"/>
    <tableColumn id="8" xr3:uid="{3FD0A6BB-E162-44ED-AFAB-B927B9E1A80D}" name="Has Tasks"/>
    <tableColumn id="9" xr3:uid="{4B227F50-894E-4357-A037-ACD6FD3E9630}" name="Freight Forwarder Stop"/>
    <tableColumn id="10" xr3:uid="{A178A2E4-788E-403F-83C2-05D7DAC68A2D}" name="Location"/>
    <tableColumn id="11" xr3:uid="{A1836EE8-63E7-4C58-9DEB-B4F95E788C58}" name="ISO"/>
    <tableColumn id="12" xr3:uid="{2098564F-1650-4A74-A85E-0A3F4D485443}" name="Length/Width/Height"/>
    <tableColumn id="13" xr3:uid="{30DAD4BE-97F0-495E-84FF-F8AA8A92DBBD}" name="Is Reefer"/>
    <tableColumn id="14" xr3:uid="{8CAEE5A5-1442-4499-9CC4-E173F7191D7C}" name="OOG"/>
    <tableColumn id="15" xr3:uid="{D8E7B9B0-DA2C-45B8-9B77-94E24FCDB04F}" name="Haz"/>
    <tableColumn id="16" xr3:uid="{7126EBC2-1C92-4001-8DE6-7F88BCE25030}" name="Last Day Of Free Storage"/>
    <tableColumn id="17" xr3:uid="{EB2C818A-0A96-4118-872B-D02B2F6E259F}" name="Optimal Pick Up"/>
    <tableColumn id="18" xr3:uid="{52F97303-59AD-42BD-98E5-DFD025492691}" name="PIN"/>
    <tableColumn id="19" xr3:uid="{B6E94813-6DE8-4BCD-84BC-5071F8267955}" name="Carrier Remarks"/>
    <tableColumn id="20" xr3:uid="{5B03D119-AA8E-4591-AAF6-FA7C4A81E89A}" name="Release Carrier"/>
    <tableColumn id="21" xr3:uid="{05A4C320-DEE5-4727-BF19-E1DAC4720E14}" name="Vessel"/>
    <tableColumn id="22" xr3:uid="{AEAFA34C-B81F-48F3-84C8-1A9E3FA33AA0}" name="Operator"/>
    <tableColumn id="23" xr3:uid="{5A15C927-3405-4EDA-AA1A-1323183361E8}" name="Receive Date" dataDxfId="95"/>
    <tableColumn id="24" xr3:uid="{7B561326-A251-4E6E-9AE0-9F9B93E5AC51}" name="Receive Mode"/>
    <tableColumn id="25" xr3:uid="{847B5A22-9BFD-400D-BBAC-506FA1979D78}" name="Release Date"/>
    <tableColumn id="26" xr3:uid="{634F78F7-8F82-4C06-A3E3-4F8BED0C7CC6}" name="Release Mode"/>
    <tableColumn id="27" xr3:uid="{CD380CC0-A35A-49A0-A2C4-BE2B5DBB672E}" name="Available For Delivery Date"/>
    <tableColumn id="28" xr3:uid="{0C48C53E-9E6E-427B-834A-853A766E599F}" name="Stops"/>
    <tableColumn id="29" xr3:uid="{7C972CAF-7422-454F-BB68-37B30001C99A}" name="Commodity"/>
    <tableColumn id="30" xr3:uid="{1A9AFD61-BC9A-427A-8615-8B3102512E5D}" name="Consignee"/>
    <tableColumn id="31" xr3:uid="{8D5095D2-0103-4A39-84E9-3850C710FADC}" name="Consignor"/>
    <tableColumn id="32" xr3:uid="{BF7D069A-1EE1-43D4-935E-6A46E192B9BD}" name="Customs Entry Number"/>
    <tableColumn id="33" xr3:uid="{EE6FCB9A-6774-453F-83EA-51A5967F6673}" name="Has Been Unpacked"/>
    <tableColumn id="34" xr3:uid="{22E19FA4-86A6-4375-BC35-00D1145DF3C5}" name="Receive Carrier"/>
    <tableColumn id="35" xr3:uid="{D8C2A21A-8A98-4BFC-99EB-1BE92421CCA9}" name="Receive Vehicle"/>
    <tableColumn id="36" xr3:uid="{337F1978-FF1E-40E8-8C08-365FAAD8095E}" name="Release Vehicle"/>
    <tableColumn id="37" xr3:uid="{7E16B08A-F263-46A8-9650-049E3F585CD4}" name="Seal"/>
    <tableColumn id="38" xr3:uid="{8B076BB5-C51C-46C1-9298-EEECDD74FFAF}" name="T"/>
    <tableColumn id="39" xr3:uid="{B7BFE647-E7DE-4BD9-92D2-3B863AEEE9DF}" name="Load Port"/>
    <tableColumn id="40" xr3:uid="{DC3CF776-2690-441E-973D-948090EA9BF3}" name="POD"/>
    <tableColumn id="41" xr3:uid="{5401B99D-340B-4556-A8D2-7E23785A6949}" name="Connected Date"/>
    <tableColumn id="42" xr3:uid="{89617B9F-7B7A-4877-B687-633BA14B3C15}" name="Weight"/>
    <tableColumn id="43" xr3:uid="{7E3E24FA-74FE-492C-908C-C7E450F6F18B}" name="Destination Port"/>
    <tableColumn id="44" xr3:uid="{C1D9C0E8-FA3B-479C-9C41-5B8B9383974A}" name="Is Transhipment"/>
    <tableColumn id="45" xr3:uid="{B20EEC56-9BC7-4230-BC35-A8EAE58905D5}" name="Yard Location"/>
    <tableColumn id="46" xr3:uid="{09ADE3DA-AAD2-4B8C-9388-0E8399DCD656}" name="VGM"/>
    <tableColumn id="47" xr3:uid="{49E3B12C-F5F7-403A-AB8F-304522DA1A9D}" name="Humidity"/>
    <tableColumn id="48" xr3:uid="{79C78FF7-BD48-4796-9C52-AADB5D35C502}" name="Ven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CE6D2B-20EE-4F40-B779-B964F90141EB}" name="Table7" displayName="Table7" ref="L1:M7" totalsRowShown="0" headerRowDxfId="94" dataDxfId="93">
  <autoFilter ref="L1:M7" xr:uid="{ACA951D2-0D25-428E-8873-3767B07E55DC}"/>
  <tableColumns count="2">
    <tableColumn id="1" xr3:uid="{9D99827F-B129-4578-B932-CC6446869840}" name="port" dataDxfId="92"/>
    <tableColumn id="2" xr3:uid="{17C11EC3-EECC-42C8-AD2C-435DC6C0A1AF}" name="Column1" dataDxfId="9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CC3473-7701-4D86-AD00-C75A7BAAEAF2}" name="Table10" displayName="Table10" ref="L14:L15" totalsRowShown="0" headerRowDxfId="90" dataDxfId="89">
  <autoFilter ref="L14:L15" xr:uid="{33C91772-30E6-4276-B036-7ED549D693CA}"/>
  <tableColumns count="1">
    <tableColumn id="1" xr3:uid="{7A4B30DF-EFD1-426F-87DE-EECA3C564939}" name="Column1" dataDxfId="88">
      <calculatedColumnFormula array="1">INDEX(Table7[port],M5)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8944024-34CE-4CEB-B75F-1A5B442D7384}" name="Table29" displayName="Table29" ref="M21:M22" totalsRowShown="0" headerRowDxfId="87" headerRowBorderDxfId="86" tableBorderDxfId="85" totalsRowBorderDxfId="84">
  <autoFilter ref="M21:M22" xr:uid="{B18E1F7C-1084-4B7D-917F-FBE9FC8DEBF3}"/>
  <tableColumns count="1">
    <tableColumn id="2" xr3:uid="{2EC2774B-2A79-4996-A567-BC1DAD72DFAA}" name="Column1" dataDxfId="83">
      <calculatedColumnFormula array="1">INDEX(I21:I23,L21)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FC7D5F0-5636-4DF9-89CD-B8B4BFB06D85}" name="Table16" displayName="Table16" ref="V36:V37" totalsRowShown="0">
  <autoFilter ref="V36:V37" xr:uid="{6021A986-474D-4FEC-BC45-6044C6716E6E}"/>
  <tableColumns count="1">
    <tableColumn id="1" xr3:uid="{91491833-7C1E-4999-921E-C8E461445708}" name="Column1">
      <calculatedColumnFormula array="1">INDEX(L32:L39,H35)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2AA93B4-1721-4AAD-ACE7-1129E0F5C0EB}" name="ForCorrespondance" displayName="ForCorrespondance" ref="A1:H37" tableType="queryTable" totalsRowShown="0">
  <autoFilter ref="A1:H37" xr:uid="{35D6AB32-188B-4A39-85CC-C8DE490A67CD}"/>
  <tableColumns count="8">
    <tableColumn id="1" xr3:uid="{4C4436D4-FA8C-4376-A718-2667180967F7}" uniqueName="1" name="Container" queryTableFieldId="1" dataDxfId="82"/>
    <tableColumn id="2" xr3:uid="{B76AEACA-7216-4615-AC7F-6FFFC795209D}" uniqueName="2" name="Booking" queryTableFieldId="2" dataDxfId="81"/>
    <tableColumn id="238" xr3:uid="{F375096A-7906-47F0-8660-4E67C45F76C6}" uniqueName="238" name="Stops" queryTableFieldId="13342"/>
    <tableColumn id="237" xr3:uid="{5C1494D0-F0C0-44B6-AA59-DCC2BC1ACFA2}" uniqueName="237" name="Location" queryTableFieldId="13340"/>
    <tableColumn id="5" xr3:uid="{8B189AD9-8CF9-4745-AC1F-CE18CC2079A8}" uniqueName="5" name="PT ref" queryTableFieldId="5" dataDxfId="80"/>
    <tableColumn id="6" xr3:uid="{0CCBA5C6-9313-4BE8-93DF-2609B0AF027B}" uniqueName="6" name="Booking Pt" queryTableFieldId="6" dataDxfId="79"/>
    <tableColumn id="9" xr3:uid="{B83E747A-B06E-455F-9AC5-45FD36894664}" uniqueName="9" name="Email 1 " queryTableFieldId="9" dataDxfId="78"/>
    <tableColumn id="10" xr3:uid="{297F011F-D582-460E-8FDD-651F122B26B9}" uniqueName="10" name="Email 2" queryTableFieldId="10" dataDxfId="7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224B84-18BC-4067-9293-7534A2D9BA21}" name="PortData" displayName="PortData" ref="A1:K244" tableType="queryTable" totalsRowShown="0">
  <autoFilter ref="A1:K244" xr:uid="{F5DA2D25-F5CE-4F53-90E2-1B409B2C7144}"/>
  <tableColumns count="11">
    <tableColumn id="76" xr3:uid="{8F49C5FF-7042-4279-B723-322B4F6D923C}" uniqueName="76" name="Container" queryTableFieldId="76" dataDxfId="76"/>
    <tableColumn id="83" xr3:uid="{5FF9BCE1-7BE0-4090-9582-DCBB959D4A61}" uniqueName="83" name="Location" queryTableFieldId="83" dataDxfId="75"/>
    <tableColumn id="84" xr3:uid="{FE7C7CE8-E509-4550-86D8-7432D2E80C5C}" uniqueName="84" name="ISO" queryTableFieldId="84" dataDxfId="74"/>
    <tableColumn id="94" xr3:uid="{BA3B0530-5BD1-472C-AEB9-AEE90F0DF12B}" uniqueName="94" name="T" queryTableFieldId="94" dataDxfId="73"/>
    <tableColumn id="95" xr3:uid="{5D5AFD52-4997-4F58-A18E-91B191221CF3}" uniqueName="95" name="Vent" queryTableFieldId="95" dataDxfId="72"/>
    <tableColumn id="96" xr3:uid="{6FAD7DCB-038E-4498-9E20-4FD0DE5D2E0F}" uniqueName="96" name="Humidity" queryTableFieldId="96" dataDxfId="71"/>
    <tableColumn id="103" xr3:uid="{DA02E411-6C07-4B3B-A43E-B09361B6573E}" uniqueName="103" name="Haz" queryTableFieldId="103" dataDxfId="70"/>
    <tableColumn id="1" xr3:uid="{AA0E9E6D-12EE-4344-9483-3A5EA5A742DD}" uniqueName="1" name="OOG" queryTableFieldId="145" dataDxfId="69"/>
    <tableColumn id="118" xr3:uid="{5FEE052F-473A-4DCA-B9B9-F8FD693A72B4}" uniqueName="118" name="Booking" queryTableFieldId="118" dataDxfId="68"/>
    <tableColumn id="129" xr3:uid="{8319B285-E65F-4DFA-BD27-1CDAE0A5CDF2}" uniqueName="129" name="Stops" queryTableFieldId="129" dataDxfId="67"/>
    <tableColumn id="91" xr3:uid="{C2FE8009-8BBB-45CB-AD1E-5396D8C7D723}" uniqueName="91" name="POD" queryTableFieldId="91" dataDxfId="6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9CC9296-882E-4D27-9DC9-1440C2F017D6}" name="ISO" displayName="ISO" ref="A1:G2" tableType="queryTable" insertRow="1" totalsRowShown="0">
  <autoFilter ref="A1:G2" xr:uid="{66084095-8B1C-49A1-AE19-CFB4E5436ECE}"/>
  <tableColumns count="7">
    <tableColumn id="1" xr3:uid="{C6557E94-E272-443B-901A-9BA41FDB757D}" uniqueName="1" name="Container" queryTableFieldId="1"/>
    <tableColumn id="2" xr3:uid="{88995882-787D-4930-A503-ADACA0C17703}" uniqueName="2" name="Booking" queryTableFieldId="2"/>
    <tableColumn id="3" xr3:uid="{C2828ADC-DD51-42B1-B038-50A83B1890E0}" uniqueName="3" name="PT ref" queryTableFieldId="3"/>
    <tableColumn id="7" xr3:uid="{08A0CE84-EE42-4FF7-B492-E6D1C11EB6C6}" uniqueName="7" name="Booking Pt" queryTableFieldId="7"/>
    <tableColumn id="4" xr3:uid="{13F9B265-8538-4EF9-AB13-AFBAAA434EDC}" uniqueName="4" name="Location" queryTableFieldId="4"/>
    <tableColumn id="5" xr3:uid="{6307F990-BDAD-4CA7-94F8-8C0FB07D85DB}" uniqueName="5" name="ISO" queryTableFieldId="5"/>
    <tableColumn id="6" xr3:uid="{884AF1F8-95A0-4705-A21E-C1231E4E4F54}" uniqueName="6" name="PortData.ISO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1CAC432-3899-4E04-8569-3F373F64F3E0}" name="CEDO" displayName="CEDO" ref="A1:F37" tableType="queryTable" totalsRowShown="0">
  <autoFilter ref="A1:F37" xr:uid="{2D0DB1B8-0314-4045-A0CD-42E4F1F8301D}"/>
  <sortState xmlns:xlrd2="http://schemas.microsoft.com/office/spreadsheetml/2017/richdata2" ref="A2:F37">
    <sortCondition ref="F1:F37"/>
  </sortState>
  <tableColumns count="6">
    <tableColumn id="1" xr3:uid="{68F1D31B-086B-4875-BF00-4BAC2518BBBE}" uniqueName="1" name="Container" queryTableFieldId="1"/>
    <tableColumn id="2" xr3:uid="{B461B5D4-2A8B-489F-98FB-F4CB1065A1F7}" uniqueName="2" name="Booking" queryTableFieldId="2"/>
    <tableColumn id="3" xr3:uid="{475BD089-DE20-4B76-AA78-57E8BEFAFB31}" uniqueName="3" name="Stops" queryTableFieldId="10"/>
    <tableColumn id="4" xr3:uid="{424AD6E1-AFAD-4016-BB11-32ADF02738CB}" uniqueName="4" name="Location" queryTableFieldId="11"/>
    <tableColumn id="8" xr3:uid="{54372792-9861-4592-B9A9-99CEF9E12887}" uniqueName="8" name="PT ref" queryTableFieldId="8"/>
    <tableColumn id="9" xr3:uid="{ACEDE26C-6136-4244-9404-06A313AC1CB4}" uniqueName="9" name="Booking Pt" queryTableFieldId="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0B73A43-B76E-4211-9C6E-3AD59C2917F1}" name="HAZ_OOG" displayName="HAZ_OOG" ref="A1:K6" tableType="queryTable" totalsRowShown="0">
  <autoFilter ref="A1:K6" xr:uid="{4FC1C9FE-F3B2-4A2F-BF93-462EA34EBD71}"/>
  <sortState xmlns:xlrd2="http://schemas.microsoft.com/office/spreadsheetml/2017/richdata2" ref="A2:K6">
    <sortCondition ref="F1:F6"/>
  </sortState>
  <tableColumns count="11">
    <tableColumn id="1" xr3:uid="{53CCD2FE-3A2F-4B69-9007-72C06CD36A69}" uniqueName="1" name="Container" queryTableFieldId="1"/>
    <tableColumn id="7" xr3:uid="{319469DF-EB75-49F0-9DA2-AF4C884246D4}" uniqueName="7" name="PortData.Container" queryTableFieldId="9"/>
    <tableColumn id="2" xr3:uid="{75EA9D47-1949-4523-9467-BA3605459E9E}" uniqueName="2" name="Booking" queryTableFieldId="2"/>
    <tableColumn id="9" xr3:uid="{726D71FB-FBB4-4339-9F12-9652434F6C39}" uniqueName="9" name="PortData.Booking" queryTableFieldId="10"/>
    <tableColumn id="3" xr3:uid="{747FA8F5-108C-49B0-AF0B-755D7F8BED98}" uniqueName="3" name="PT ref" queryTableFieldId="3"/>
    <tableColumn id="11" xr3:uid="{009DF78B-96CB-46C6-BEBD-47C68EB69D7D}" uniqueName="11" name="Booking Pt" queryTableFieldId="14"/>
    <tableColumn id="4" xr3:uid="{65EE2332-4BEF-4269-8313-8565FB81B310}" uniqueName="4" name="Location" queryTableFieldId="4"/>
    <tableColumn id="5" xr3:uid="{5BE2C902-450A-4751-83A8-4A3291BFF4A7}" uniqueName="5" name="Haz" queryTableFieldId="5"/>
    <tableColumn id="6" xr3:uid="{C81CECC9-4E08-4EBF-9B2C-831929394060}" uniqueName="6" name="PortData.Haz" queryTableFieldId="6"/>
    <tableColumn id="8" xr3:uid="{F2867092-492A-4011-9A69-6A3738DB2CCA}" uniqueName="8" name="OOG" queryTableFieldId="8"/>
    <tableColumn id="10" xr3:uid="{5FF2E3FE-576C-4D33-B5B1-22713BD98934}" uniqueName="10" name="PortData.OOG" queryTableFieldId="1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F8E6E64-0A7D-4DC7-88BD-DDD6AFB99691}" name="TEMP_VENT_HUM" displayName="TEMP_VENT_HUM" ref="A1:K2" tableType="queryTable" insertRow="1" totalsRowShown="0">
  <autoFilter ref="A1:K2" xr:uid="{BFD4CB14-5B2B-44A2-8461-F006C3D5155C}"/>
  <tableColumns count="11">
    <tableColumn id="1" xr3:uid="{E348FFD2-F1AE-487E-B878-37CE4589ADBA}" uniqueName="1" name="Container" queryTableFieldId="1"/>
    <tableColumn id="2" xr3:uid="{663FDB2C-518D-4E68-8B6F-A06867E417E9}" uniqueName="2" name="Booking" queryTableFieldId="2"/>
    <tableColumn id="3" xr3:uid="{DB56EAE2-3AE0-4E4E-8BFB-518C60A7AED4}" uniqueName="3" name="PT ref" queryTableFieldId="3"/>
    <tableColumn id="11" xr3:uid="{A8A8AA85-2324-47F6-A3F0-14A7FC5BC9E3}" uniqueName="11" name="Booking Pt" queryTableFieldId="11"/>
    <tableColumn id="5" xr3:uid="{9591A249-2EF5-44C3-81BD-C13F048EF285}" uniqueName="5" name="Location" queryTableFieldId="5"/>
    <tableColumn id="4" xr3:uid="{228F78B8-102C-4ECE-B6A1-D796658863F9}" uniqueName="4" name="T" queryTableFieldId="4"/>
    <tableColumn id="6" xr3:uid="{F7290121-436B-4754-A792-65632EAE5415}" uniqueName="6" name="PortData.T" queryTableFieldId="6"/>
    <tableColumn id="7" xr3:uid="{AAA07A10-D89E-4923-99A0-C7C043587F34}" uniqueName="7" name="Vent" queryTableFieldId="7"/>
    <tableColumn id="8" xr3:uid="{998859F5-7412-4E78-B6BC-2AA5EB2AF901}" uniqueName="8" name="PortData.Vent" queryTableFieldId="8"/>
    <tableColumn id="9" xr3:uid="{683EA859-D614-44B3-AF54-C87EFB9E0DE3}" uniqueName="9" name="Humidity" queryTableFieldId="9"/>
    <tableColumn id="10" xr3:uid="{38DCA044-A21A-4B57-B7BB-FE6B2F46A760}" uniqueName="10" name="PortData.Humidity" queryTableFieldId="1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D8B8344-4C49-46EA-B554-8A826437BE8D}" name="POD_FPOD" displayName="POD_FPOD" ref="A1:G2" tableType="queryTable" insertRow="1" totalsRowShown="0">
  <autoFilter ref="A1:G2" xr:uid="{5A987F4A-0D43-43B8-916C-5A48E76BA747}"/>
  <tableColumns count="7">
    <tableColumn id="1" xr3:uid="{3AEF8782-C4AB-4FBD-9623-B2061B7D4A75}" uniqueName="1" name="Container" queryTableFieldId="1"/>
    <tableColumn id="2" xr3:uid="{72B10BDB-A247-42CF-8A5E-34D48FD43A5B}" uniqueName="2" name="Booking" queryTableFieldId="2"/>
    <tableColumn id="3" xr3:uid="{027B7628-7545-48D9-BD91-04CD4C09CBD2}" uniqueName="3" name="PortData.Location" queryTableFieldId="3"/>
    <tableColumn id="4" xr3:uid="{A3D9EE3D-85E5-4FA3-A67C-C91FEF3C82AE}" uniqueName="4" name="POD" queryTableFieldId="4"/>
    <tableColumn id="5" xr3:uid="{1C6954F0-6ABE-4A4C-AD0D-5C2DDE6481CB}" uniqueName="5" name="PortData.POD" queryTableFieldId="5"/>
    <tableColumn id="6" xr3:uid="{E6926237-652B-45B8-AC93-DBED7798870B}" uniqueName="6" name="PT ref" queryTableFieldId="6"/>
    <tableColumn id="7" xr3:uid="{52AFD6BA-E5BB-4713-9884-50BC49CF9328}" uniqueName="7" name="Booking Pt" queryTableFieldId="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F149EF0-6FA1-4D0E-B694-F9F58002288D}" name="Not_Linked_Mis" displayName="Not_Linked_Mis" ref="A1:J55" tableType="queryTable" totalsRowShown="0">
  <autoFilter ref="A1:J55" xr:uid="{09C39B3F-6B1A-49FF-8EED-083265783A10}"/>
  <tableColumns count="10">
    <tableColumn id="1" xr3:uid="{244719A0-254F-480B-B770-5743F5212FD8}" uniqueName="1" name="Container" queryTableFieldId="16"/>
    <tableColumn id="2" xr3:uid="{BA4D506D-1346-4907-89EF-F890437ADF07}" uniqueName="2" name="PortData.Container" queryTableFieldId="2"/>
    <tableColumn id="4" xr3:uid="{6875DC2F-758A-451D-8BAE-FBF422012B23}" uniqueName="4" name="PortData.Booking" queryTableFieldId="4"/>
    <tableColumn id="3" xr3:uid="{1643B004-F2B4-4C2E-8B6E-061BD2383FE9}" uniqueName="3" name="Booking" queryTableFieldId="17"/>
    <tableColumn id="7" xr3:uid="{7B9043AF-722F-4AE7-ADD6-60CABFF0EF0C}" uniqueName="7" name="PortData.ISO" queryTableFieldId="7"/>
    <tableColumn id="5" xr3:uid="{F21CECC9-85B4-483D-B22A-FD794AF128B1}" uniqueName="5" name="PT ref" queryTableFieldId="20"/>
    <tableColumn id="8" xr3:uid="{77ACEB23-6EDD-4E62-B26D-3DDFAF7AA86F}" uniqueName="8" name="Booking Pt" queryTableFieldId="21"/>
    <tableColumn id="10" xr3:uid="{0C7C7356-1466-4142-A35D-91CD595B6338}" uniqueName="10" name="PortData.Location" queryTableFieldId="10"/>
    <tableColumn id="6" xr3:uid="{15A3A62E-171D-4D48-888D-CB388BD7E073}" uniqueName="6" name="PortData.POD" queryTableFieldId="6"/>
    <tableColumn id="11" xr3:uid="{45798607-D2D1-43EB-8539-7364A843912D}" uniqueName="11" name="PortData.Stops" queryTableFieldId="11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4E5301F-B2A0-4FE6-94E9-62D8F5E28B9F}" name="Container_s__Not_Pre_advised" displayName="Container_s__Not_Pre_advised" ref="A1:H2" tableType="queryTable" totalsRowShown="0">
  <autoFilter ref="A1:H2" xr:uid="{E29F7FBF-C08B-4B51-B481-C84774149D92}"/>
  <sortState xmlns:xlrd2="http://schemas.microsoft.com/office/spreadsheetml/2017/richdata2" ref="A2:H2">
    <sortCondition ref="D1:D2"/>
  </sortState>
  <tableColumns count="8">
    <tableColumn id="1" xr3:uid="{C775C8C8-4A52-49C3-B74C-72B7F5135506}" uniqueName="1" name="Container" queryTableFieldId="1"/>
    <tableColumn id="3" xr3:uid="{08C75794-2C1C-45B1-BCE0-A9A173925621}" uniqueName="3" name="Booking" queryTableFieldId="3"/>
    <tableColumn id="10" xr3:uid="{33A59BAA-B9E3-44C2-B4F0-ACE528061EE3}" uniqueName="10" name="PT ref" queryTableFieldId="10"/>
    <tableColumn id="5" xr3:uid="{505E7195-A273-40CF-8E45-DB70A7693D0A}" uniqueName="5" name="Booking Pt" queryTableFieldId="5"/>
    <tableColumn id="6" xr3:uid="{740818DF-9506-438E-9FC8-BB4CE86B20A0}" uniqueName="6" name="Location" queryTableFieldId="6"/>
    <tableColumn id="7" xr3:uid="{A926BF07-CB34-438C-83A5-D5428F9ECEA7}" uniqueName="7" name="T" queryTableFieldId="7"/>
    <tableColumn id="8" xr3:uid="{BDF99735-0853-486C-B94D-2957A88A7724}" uniqueName="8" name="POD" queryTableFieldId="8"/>
    <tableColumn id="9" xr3:uid="{8817B9FE-9E17-4716-89ED-F1EC497CCB32}" uniqueName="9" name="POL" queryTableFieldId="9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95EA03E-8D32-454B-B083-456CCC002B75}" name="Empty_Bookings" displayName="Empty_Bookings" ref="A1:H5" tableType="queryTable" totalsRowShown="0">
  <autoFilter ref="A1:H5" xr:uid="{D78CB58C-3589-4777-8116-68C9CF072DA4}"/>
  <sortState xmlns:xlrd2="http://schemas.microsoft.com/office/spreadsheetml/2017/richdata2" ref="A2:H5">
    <sortCondition ref="D1:D5"/>
  </sortState>
  <tableColumns count="8">
    <tableColumn id="1" xr3:uid="{03AF8E4F-159A-4E68-85FA-44660B96658B}" uniqueName="1" name="Container" queryTableFieldId="1"/>
    <tableColumn id="3" xr3:uid="{9BBB72BA-C2C0-4DD7-8493-B2C3FDE2977A}" uniqueName="3" name="Booking" queryTableFieldId="3"/>
    <tableColumn id="10" xr3:uid="{6E274C6A-4312-40C5-91F8-8FFA1B09E9DE}" uniqueName="10" name="PT ref" queryTableFieldId="10"/>
    <tableColumn id="5" xr3:uid="{F60951CD-08CF-47C5-B78F-6979E7C81D5B}" uniqueName="5" name="Booking Pt" queryTableFieldId="5"/>
    <tableColumn id="6" xr3:uid="{575B99EC-6134-4415-A2F0-894B33965100}" uniqueName="6" name="ISO" queryTableFieldId="6"/>
    <tableColumn id="7" xr3:uid="{4202B6EA-C9BC-4D09-A2A8-F44D30348D7B}" uniqueName="7" name="T" queryTableFieldId="7"/>
    <tableColumn id="8" xr3:uid="{BED3C1AB-0FE4-4794-8D0A-2CC2A1CA3A81}" uniqueName="8" name="POD" queryTableFieldId="8"/>
    <tableColumn id="9" xr3:uid="{BC86721D-F47D-4582-A38D-2E77C7FB4C65}" uniqueName="9" name="POL" queryTableFieldId="9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E574D0E-8C6C-427F-80CC-8D4F68354F98}" name="Merge1" displayName="Merge1" ref="A1:AH249" tableType="queryTable" totalsRowShown="0">
  <autoFilter ref="A1:AH249" xr:uid="{7407E420-AE32-4734-8F39-38D7C8B165DF}"/>
  <tableColumns count="34">
    <tableColumn id="1" xr3:uid="{0B997A82-EB61-460A-8926-9D54906D592F}" uniqueName="1" name="Container" queryTableFieldId="1" dataDxfId="65"/>
    <tableColumn id="2" xr3:uid="{A1C497D4-1FCE-41C9-971F-C6130E88F1D1}" uniqueName="2" name="PortData.Container" queryTableFieldId="2" dataDxfId="64"/>
    <tableColumn id="3" xr3:uid="{F6E8E6EC-8C99-4ACE-A370-04DC59F20290}" uniqueName="3" name="Container check" queryTableFieldId="3"/>
    <tableColumn id="4" xr3:uid="{034B6332-FD0A-4618-9680-60228FE8F5C5}" uniqueName="4" name="Booking" queryTableFieldId="4" dataDxfId="63"/>
    <tableColumn id="5" xr3:uid="{2EB61782-5597-44AB-A5A5-CE25A94CC060}" uniqueName="5" name="PortData.Booking" queryTableFieldId="5" dataDxfId="62"/>
    <tableColumn id="6" xr3:uid="{51B649F6-105F-4EA5-AD7E-9088E216D822}" uniqueName="6" name="Booking check" queryTableFieldId="6"/>
    <tableColumn id="7" xr3:uid="{15149707-537B-4A39-AA81-1CCF7551A7E3}" uniqueName="7" name="T" queryTableFieldId="7"/>
    <tableColumn id="8" xr3:uid="{4B9529D5-F560-476E-931B-02F467FB696C}" uniqueName="8" name="PortData.T" queryTableFieldId="8"/>
    <tableColumn id="9" xr3:uid="{A2EEF436-D27B-4365-9116-21E3D2E63BAD}" uniqueName="9" name="Temp check" queryTableFieldId="9"/>
    <tableColumn id="10" xr3:uid="{0089BCC4-E230-4C8A-A322-554617B45AFB}" uniqueName="10" name="POD" queryTableFieldId="10" dataDxfId="61"/>
    <tableColumn id="11" xr3:uid="{DAF6A82E-687F-4AD9-BF64-280FB02EC983}" uniqueName="11" name="PortData.POD" queryTableFieldId="11" dataDxfId="60"/>
    <tableColumn id="12" xr3:uid="{A325450C-8196-4A9D-8BF9-FE2A088B8437}" uniqueName="12" name="POD check" queryTableFieldId="12"/>
    <tableColumn id="32" xr3:uid="{79B413FA-BFD7-4AB7-B06E-F9CEFD207AAE}" uniqueName="32" name="Commodity" queryTableFieldId="32" dataDxfId="59"/>
    <tableColumn id="13" xr3:uid="{A00614FB-FE53-4FE8-AC4E-678141D88B17}" uniqueName="13" name="ISO" queryTableFieldId="13" dataDxfId="58"/>
    <tableColumn id="14" xr3:uid="{75D33841-75ED-4EBD-B13C-A4406E69F4A6}" uniqueName="14" name="PortData.ISO" queryTableFieldId="14" dataDxfId="57"/>
    <tableColumn id="15" xr3:uid="{6E71BD18-32EF-4FF1-BAAE-AC52D9479EAC}" uniqueName="15" name="ISO check" queryTableFieldId="15"/>
    <tableColumn id="16" xr3:uid="{53695FA2-0B4F-458C-A5FF-EA02FA1A0B7C}" uniqueName="16" name="PT ref" queryTableFieldId="16" dataDxfId="56"/>
    <tableColumn id="17" xr3:uid="{4EFCBC49-C64F-4851-9218-D31AD3D9C37C}" uniqueName="17" name="Booking Pt" queryTableFieldId="17" dataDxfId="55"/>
    <tableColumn id="18" xr3:uid="{DA5F069B-1AA6-4540-93C8-DD71DFE3E41A}" uniqueName="18" name="Location" queryTableFieldId="18" dataDxfId="54"/>
    <tableColumn id="19" xr3:uid="{777CC00C-E45F-43C4-9649-99F7AD6EC3DC}" uniqueName="19" name="PortData.Location" queryTableFieldId="19" dataDxfId="53"/>
    <tableColumn id="20" xr3:uid="{27A51069-34C5-4306-82EE-9A3A1CC5B7E5}" uniqueName="20" name="Haz" queryTableFieldId="20" dataDxfId="52"/>
    <tableColumn id="21" xr3:uid="{41487B6E-1CD9-478F-A556-3A2C5411C0D0}" uniqueName="21" name="PortData.Haz" queryTableFieldId="21" dataDxfId="51"/>
    <tableColumn id="22" xr3:uid="{1B8665DF-A878-4594-A2FD-4055AEBA5E22}" uniqueName="22" name="Haz check" queryTableFieldId="22"/>
    <tableColumn id="23" xr3:uid="{339FCFCB-1F2A-4D43-BCDE-4023928F7AF0}" uniqueName="23" name="Vent" queryTableFieldId="23"/>
    <tableColumn id="24" xr3:uid="{0CC565E4-7C51-46B9-AF56-E767312C357A}" uniqueName="24" name="PortData.Vent" queryTableFieldId="24"/>
    <tableColumn id="25" xr3:uid="{FD76B769-50FD-4949-94AA-9C8B239ADE2A}" uniqueName="25" name="Vent check" queryTableFieldId="25"/>
    <tableColumn id="26" xr3:uid="{10DA01C8-E6F6-4C14-955A-11459B16DE03}" uniqueName="26" name="Humidity" queryTableFieldId="26"/>
    <tableColumn id="27" xr3:uid="{AADCFEC2-CB63-48A9-8E4F-3209A855B836}" uniqueName="27" name="PortData.Humidity" queryTableFieldId="27"/>
    <tableColumn id="28" xr3:uid="{DC04E916-2CD1-46FE-90C2-3E935A51E76A}" uniqueName="28" name="Humidity check" queryTableFieldId="28"/>
    <tableColumn id="29" xr3:uid="{E7F126B6-E7E7-4242-BB7B-CF605ACAAE31}" uniqueName="29" name="OOG" queryTableFieldId="29" dataDxfId="50"/>
    <tableColumn id="33" xr3:uid="{16E4FA68-0A34-492E-B6C5-7FE882035582}" uniqueName="33" name="PortData.OOG" queryTableFieldId="34" dataDxfId="49"/>
    <tableColumn id="34" xr3:uid="{736DFFA4-5DCC-426A-8AF4-B9F4F1065489}" uniqueName="34" name="OOG check" queryTableFieldId="35"/>
    <tableColumn id="30" xr3:uid="{D36927EC-2FEA-402D-885F-9A14A6801CEE}" uniqueName="30" name="PortData.Stops" queryTableFieldId="30" dataDxfId="48"/>
    <tableColumn id="31" xr3:uid="{72D1DE15-6776-4ECD-A055-3B62902491C7}" uniqueName="31" name="POL" queryTableFieldId="31" dataDxfId="47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9C573C2-DF1A-47FF-A19F-FBE952302E6B}" name="DSR" displayName="DSR" ref="A1:BZ1117" totalsRowShown="0">
  <autoFilter ref="A1:BZ1117" xr:uid="{058785F9-FC04-4728-93D2-D6809FB60BBC}"/>
  <tableColumns count="78">
    <tableColumn id="1" xr3:uid="{6E61B930-C36B-4E70-81B8-D34FF98BCA32}" name="Container"/>
    <tableColumn id="2" xr3:uid="{754C419C-02A2-43A4-9082-316458196F35}" name="Booking"/>
    <tableColumn id="3" xr3:uid="{D77306AC-4D89-4E8C-81B5-9A3CEF285C13}" name="POD"/>
    <tableColumn id="4" xr3:uid="{8084D464-6152-4C90-8ADB-7B2D7FD97DB2}" name="T"/>
    <tableColumn id="5" xr3:uid="{9A8AE182-7842-4A0E-8C58-26DDDDE70B92}" name="PT ref"/>
    <tableColumn id="6" xr3:uid="{0656E888-E57C-4216-A702-632EA3064AF2}" name="Booking Pt"/>
    <tableColumn id="7" xr3:uid="{570778A2-DB6F-4243-96BA-6E6B976E3D69}" name="Commodity"/>
    <tableColumn id="8" xr3:uid="{83BA8A9F-B5AC-4908-BADA-F984DC69024C}" name="Pack"/>
    <tableColumn id="9" xr3:uid="{C67C7195-CA9F-4FDB-A198-C100B96C0D15}" name="Location"/>
    <tableColumn id="10" xr3:uid="{727E7587-853E-428F-9CBA-B23521A8F23A}" name="POL"/>
    <tableColumn id="11" xr3:uid="{4C3C8EF8-FE79-4D8C-A571-E2004FEA0EB3}" name="Loading Port"/>
    <tableColumn id="12" xr3:uid="{F168441D-F01C-4448-83AE-BA8195FDD99C}" name="Transhipment Port"/>
    <tableColumn id="13" xr3:uid="{4FDD5FF4-E227-44DA-8FE5-F949198EB8D0}" name="FPOD"/>
    <tableColumn id="14" xr3:uid="{D487CC57-9FDE-4D78-A029-96E98DF0C8E6}" name="OOG"/>
    <tableColumn id="15" xr3:uid="{82EC88C4-044A-4A0C-8258-AFD0222B101E}" name="Haz"/>
    <tableColumn id="16" xr3:uid="{33FEEEAD-A04E-47F3-A674-B0E000469007}" name="Teu"/>
    <tableColumn id="17" xr3:uid="{8A6DAC83-A25D-47C9-B03E-FE6EE02FA651}" name="Vent"/>
    <tableColumn id="18" xr3:uid="{7DE50410-4F27-45E1-A575-D5DBDE7086E9}" name="ISO"/>
    <tableColumn id="19" xr3:uid="{AC5D889E-0BA0-442A-B79C-408AD2D9D1E1}" name="Humidity"/>
    <tableColumn id="20" xr3:uid="{BB588402-2913-4EAD-9410-1E61A2E6AE7C}" name="Column1"/>
    <tableColumn id="21" xr3:uid="{B387901D-88AC-42AA-8B32-F552C2924435}" name="Column2"/>
    <tableColumn id="22" xr3:uid="{0FB10D91-59CB-4DE7-AC1E-9421FD54891B}" name="Column3"/>
    <tableColumn id="23" xr3:uid="{8BC6090B-5AB6-4D52-8767-CCC5C8E0911C}" name="Column4"/>
    <tableColumn id="24" xr3:uid="{FB6A8559-A7FF-432C-B702-91AD08731EE7}" name="Column5"/>
    <tableColumn id="25" xr3:uid="{2A6A7998-63AD-4669-8A85-97124B0DDC3D}" name="Column6"/>
    <tableColumn id="26" xr3:uid="{7F63F8F2-46E5-436F-9A8C-4A79EFCA58F0}" name="Column7"/>
    <tableColumn id="27" xr3:uid="{EF0C10EB-24D4-4049-BB5A-BBE5FD474E01}" name="Column8"/>
    <tableColumn id="28" xr3:uid="{FAE2FA19-CE17-41CF-86B0-DC641448D5E2}" name="Column9"/>
    <tableColumn id="29" xr3:uid="{D2A45772-A6F0-49F5-A5E6-134CBA4AA310}" name="Column10"/>
    <tableColumn id="30" xr3:uid="{B26B8E2C-9B62-41CC-BFAC-F51F2A90D96F}" name="Column11"/>
    <tableColumn id="31" xr3:uid="{F48510F8-AD54-4869-98CB-85CF98F6452D}" name="Column12"/>
    <tableColumn id="32" xr3:uid="{F8E0E19F-D356-4CEA-ABCA-DC44A93289A9}" name="Column13"/>
    <tableColumn id="33" xr3:uid="{49C4E16E-6CFD-49E8-8E8F-9AB70A8E60E8}" name="Column14"/>
    <tableColumn id="34" xr3:uid="{6A32F70A-62B7-4709-B523-291662A20780}" name="Column15"/>
    <tableColumn id="35" xr3:uid="{2DDF8095-EE84-4062-8836-E70C64F55018}" name="Column16"/>
    <tableColumn id="36" xr3:uid="{CE90ED0F-F1BE-431A-A790-F89AC95F8B25}" name="Column17"/>
    <tableColumn id="37" xr3:uid="{A23B1784-A067-4888-B525-A08288AB3E00}" name="Column18"/>
    <tableColumn id="38" xr3:uid="{2628A774-8DFD-4EB0-BDC8-CEB55A090C34}" name="Column19"/>
    <tableColumn id="39" xr3:uid="{5BD020B5-F1CF-439B-90A2-9B6FAA3D71A8}" name="Column20"/>
    <tableColumn id="40" xr3:uid="{6D834930-6F53-48DD-B46B-389AEE3F84DA}" name="Column21"/>
    <tableColumn id="41" xr3:uid="{E0D843A3-F011-44F2-95B5-4DF6269F6737}" name="Column22"/>
    <tableColumn id="42" xr3:uid="{4ACDCDE1-F955-4A0E-9A79-421583F34184}" name="Column23"/>
    <tableColumn id="43" xr3:uid="{A4E729B1-EA3A-4D3A-87CE-E6B6F33A1F6C}" name="Column24"/>
    <tableColumn id="44" xr3:uid="{6504B696-C003-471B-9A87-8EE52F724AFB}" name="Column25"/>
    <tableColumn id="45" xr3:uid="{C8152494-05BD-40E0-BAC5-9827EAE693F5}" name="Column26"/>
    <tableColumn id="46" xr3:uid="{D7FD15DB-1096-4A9F-9DF2-12164F9080A6}" name="Column27"/>
    <tableColumn id="47" xr3:uid="{2ECCA5C7-52D0-4D66-87C6-DCC44D75DE4F}" name="Column28"/>
    <tableColumn id="48" xr3:uid="{5C3620A4-FCEB-4C00-8ADA-F452C29622E6}" name="Column29"/>
    <tableColumn id="49" xr3:uid="{77A789F4-6BB6-4924-B803-6712A73518CF}" name="Column30"/>
    <tableColumn id="50" xr3:uid="{B83F288C-A4A4-4C9E-9621-C91A4444B376}" name="Column31"/>
    <tableColumn id="51" xr3:uid="{20C05D29-7CDF-47C4-B647-4B877B3DD25F}" name="Column32"/>
    <tableColumn id="52" xr3:uid="{DE1E43ED-ACFB-4CB3-B194-4125782110A4}" name="Column33"/>
    <tableColumn id="53" xr3:uid="{0B43DAD1-1DA4-4AE7-91AE-6DA77FDD4E60}" name="Column34"/>
    <tableColumn id="54" xr3:uid="{7F8C9126-3112-4B07-9DBB-6FDDA56711D0}" name="Column35"/>
    <tableColumn id="55" xr3:uid="{C97D9C5B-8E5D-45B7-BCC8-8E0A7B0F0610}" name="Column36"/>
    <tableColumn id="56" xr3:uid="{F7F70A46-7FA1-45EF-96CB-AAB54B327FF6}" name="Column37"/>
    <tableColumn id="57" xr3:uid="{E149215F-26F6-433C-86FB-D68892CEB11F}" name="Column38"/>
    <tableColumn id="58" xr3:uid="{8376E9C7-87CC-4ABF-9FA0-DFB56BEDD48F}" name="Column39"/>
    <tableColumn id="59" xr3:uid="{147F4C4C-CEFB-453C-81D1-F69A3635E787}" name="Column40"/>
    <tableColumn id="60" xr3:uid="{B7DBF671-4B00-419D-8442-0790BB4473AA}" name="Column41"/>
    <tableColumn id="61" xr3:uid="{CA924B4A-8B28-49CF-9D2D-664028EFE365}" name="Column42"/>
    <tableColumn id="62" xr3:uid="{4EC686FC-94DF-4EB0-A3EC-C1882FCCCF8A}" name="Column43"/>
    <tableColumn id="63" xr3:uid="{0989F45E-E5C2-4B22-8373-B70C0731681D}" name="Column44"/>
    <tableColumn id="64" xr3:uid="{3E19437F-1153-4B8B-8C2D-5EF811D4AAF7}" name="Column45"/>
    <tableColumn id="65" xr3:uid="{42D1116B-A0EA-4F41-8BDE-C5F747771C84}" name="Column46"/>
    <tableColumn id="66" xr3:uid="{46E6C7AA-D82F-47B7-A7CD-42A662E56717}" name="Column47"/>
    <tableColumn id="67" xr3:uid="{29894696-8082-4049-B871-817BC963D1B3}" name="Column48"/>
    <tableColumn id="68" xr3:uid="{FAB54A68-9A8E-4AEC-B0D2-BA992561AC62}" name="Column49"/>
    <tableColumn id="69" xr3:uid="{5902C9AC-DA2B-4959-B2B0-0DA65A8F4253}" name="Column50"/>
    <tableColumn id="70" xr3:uid="{415D99C5-2C9C-489A-95EB-140A2C07EE61}" name="Column51"/>
    <tableColumn id="71" xr3:uid="{C4090CD5-2F98-4D1B-A776-3EE8462B9ACD}" name="Column52"/>
    <tableColumn id="72" xr3:uid="{FB997A0B-2B17-4B18-8443-7D4CA923E494}" name="Column53"/>
    <tableColumn id="73" xr3:uid="{D6F794B2-679A-4506-A6AC-73B4B4482D9C}" name="Column54"/>
    <tableColumn id="74" xr3:uid="{6B984AE2-5E50-4D14-8E80-162C7A3506F2}" name="Column55"/>
    <tableColumn id="75" xr3:uid="{4AE924C2-80E8-4C22-8B9E-D4B97A3D78C3}" name="Column56"/>
    <tableColumn id="76" xr3:uid="{E4EC7C80-1ACE-42F4-B0A7-A3357ADADE01}" name="Column57"/>
    <tableColumn id="77" xr3:uid="{BA726039-D4BE-46FC-9960-57841AFDEFB5}" name="Column58"/>
    <tableColumn id="78" xr3:uid="{A08F90FD-799F-4465-9E46-A1254D2F6752}" name="Column5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61FF857-0275-4C7D-9483-5EE020DF05F6}" name="CARGO" displayName="CARGO" ref="A1:CC692" totalsRowShown="0" headerRowDxfId="46" headerRowBorderDxfId="45">
  <autoFilter ref="A1:CC692" xr:uid="{5223F0AC-1CA9-422B-8817-EA66D8292CE7}"/>
  <tableColumns count="81">
    <tableColumn id="1" xr3:uid="{64367AFC-1105-4352-89AF-E881CA2519AD}" name="Count"/>
    <tableColumn id="2" xr3:uid="{2D6BB941-71C6-4C4D-8C31-5C808F84A3AF}" name="Container"/>
    <tableColumn id="3" xr3:uid="{461CBA42-E557-4B8C-8234-B4DA633F7B43}" name="ISO"/>
    <tableColumn id="4" xr3:uid="{E7719C68-8996-484F-8EEE-0EA8446BB339}" name="Operator"/>
    <tableColumn id="5" xr3:uid="{AF5F7C80-7FE1-45C7-A70D-C27B5420C11B}" name="Trade Operator"/>
    <tableColumn id="6" xr3:uid="{12D88D36-5228-490C-A9C9-A22D8EFB5C82}" name="Idle time"/>
    <tableColumn id="7" xr3:uid="{6DF1A523-2D5F-42A8-8046-7CFE19D5445E}" name="Custom"/>
    <tableColumn id="8" xr3:uid="{9AE6522B-4A17-4F43-8794-0EA159BF99B8}" name="Nomination"/>
    <tableColumn id="9" xr3:uid="{DA7A64C0-2647-4F5A-8EEE-511EB88E0092}" name="Location"/>
    <tableColumn id="10" xr3:uid="{1463691E-1B6A-42D0-B221-0DC2CBC1ADEF}" name="Stack"/>
    <tableColumn id="11" xr3:uid="{A2B1032F-402D-44E2-9DB4-B6310F88AA36}" name="RF"/>
    <tableColumn id="12" xr3:uid="{8F7A1E59-25B3-4E5D-A6D6-A9FA1EC95A78}" name="NOR"/>
    <tableColumn id="13" xr3:uid="{43996F54-F16F-49A6-ACE2-A0266BE5238B}" name="NO ROLL"/>
    <tableColumn id="14" xr3:uid="{FA341747-58AB-4C58-BFC5-43D5AF704E39}" name="High Priority"/>
    <tableColumn id="15" xr3:uid="{D9A607C1-0DD8-4368-A831-ECAFA34AE195}" name="MTY"/>
    <tableColumn id="16" xr3:uid="{B3702FF5-5C7B-4AB7-9F08-8DB4C3FE21C2}" name="Haz"/>
    <tableColumn id="17" xr3:uid="{5DE679D3-B748-41B2-A7E3-BA3C39DB45A5}" name="FX"/>
    <tableColumn id="18" xr3:uid="{DABD4A81-DB71-4A31-A27F-584A9A4F1FDD}" name="T"/>
    <tableColumn id="19" xr3:uid="{E2A6D4BE-0567-4125-A2A5-6D7EBAD792F0}" name="T-"/>
    <tableColumn id="20" xr3:uid="{E276FB4C-65D4-4FA0-BA59-1F3B01BB418E}" name="T+"/>
    <tableColumn id="21" xr3:uid="{77181A3E-834E-45FD-9C86-2A490F848424}" name="OOG"/>
    <tableColumn id="22" xr3:uid="{04060299-AB3E-4228-9A05-863FF2840EA1}" name="OH"/>
    <tableColumn id="23" xr3:uid="{043B1B14-A329-4AB1-A59B-C0102F8E0AEE}" name="OWR"/>
    <tableColumn id="24" xr3:uid="{F9E5C4DC-8B6C-4D28-88CB-A9648BB68B22}" name="OWL"/>
    <tableColumn id="25" xr3:uid="{18F6ED1E-16BA-4FA9-BCFF-D1574F5B3E78}" name="OLF"/>
    <tableColumn id="26" xr3:uid="{9E4B30FE-AA07-4676-A1D5-0FEE7265299B}" name="OLR"/>
    <tableColumn id="27" xr3:uid="{EDB5C0AF-045F-4272-949A-AF5355B95933}" name="OPT"/>
    <tableColumn id="28" xr3:uid="{C1041481-FCD0-4E51-AEAE-EB193DE1BE23}" name="BB"/>
    <tableColumn id="29" xr3:uid="{0BDCFB5A-1D93-413F-8753-1BEC596143E9}" name="PDT RANK"/>
    <tableColumn id="30" xr3:uid="{7F06A544-55B7-414A-8438-C805622307C2}" name="DETAIL RANK"/>
    <tableColumn id="31" xr3:uid="{A6CADE0A-2FB1-4B9A-8BC1-9F3AB676635D}" name="TTL Teus"/>
    <tableColumn id="32" xr3:uid="{43B4B0C3-AC29-4CB6-9C55-91651305A109}" name="TEU"/>
    <tableColumn id="33" xr3:uid="{45EBA4DE-C2B0-4D9D-B9F3-BDC45DE4D6D9}" name="Lost"/>
    <tableColumn id="34" xr3:uid="{B1DDF27A-0C62-4F1D-827A-FA0D26C2A64C}" name="Weight"/>
    <tableColumn id="35" xr3:uid="{52B00645-4242-4F36-9922-0F12A7820407}" name="VGM"/>
    <tableColumn id="36" xr3:uid="{052C2CF4-863A-4761-84B7-4BFD6718F087}" name="SQ"/>
    <tableColumn id="37" xr3:uid="{9CEBED73-8FC4-4ABC-9037-293F7461D966}" name="Cust. Type"/>
    <tableColumn id="38" xr3:uid="{A88F0A77-8D64-4C4F-B8A5-F19DA7650376}" name="Decidee"/>
    <tableColumn id="39" xr3:uid="{F7D7FF22-828F-403C-99D9-DC4A000241A3}" name="Named Account"/>
    <tableColumn id="40" xr3:uid="{5BD4557F-0EA5-4126-BCA1-8A97ACAB82C9}" name="Consignee"/>
    <tableColumn id="41" xr3:uid="{C429FED1-C0EE-42B9-8320-CA4C9A7CBFFE}" name="Commodity"/>
    <tableColumn id="42" xr3:uid="{D8478CE3-A2D3-4924-A75B-D9E35633BF7B}" name="Booking"/>
    <tableColumn id="43" xr3:uid="{3AD3C4F8-D52A-460A-AB9A-189131194DC0}" name="Status"/>
    <tableColumn id="44" xr3:uid="{D1830041-A2E5-418C-8929-AA6AF18960C6}" name="BL"/>
    <tableColumn id="45" xr3:uid="{BDEE830D-029E-4692-9EAA-B6885EF78467}" name="Bkg.Agt"/>
    <tableColumn id="46" xr3:uid="{BEA061B6-5DE9-42E6-8EA0-D39D57E24E9D}" name="Booking Pt"/>
    <tableColumn id="47" xr3:uid="{E4C11D76-7879-4FF3-9A43-AE146A436A51}" name="Bkg.Date"/>
    <tableColumn id="48" xr3:uid="{BF0951D4-6004-428D-B510-CBB1DAE69415}" name="POO"/>
    <tableColumn id="49" xr3:uid="{18FBB341-4336-413B-930C-CB7991F91319}" name="Alt Base Port POL"/>
    <tableColumn id="50" xr3:uid="{689FFBE9-1B71-4E92-AD2E-5F0343B153F7}" name="POL"/>
    <tableColumn id="51" xr3:uid="{4C8129FE-09DF-4D6E-B513-013450D18E91}" name="POD"/>
    <tableColumn id="52" xr3:uid="{DBD53EC1-1BCB-4D4C-9050-8AD2BF987867}" name="Alt Base Port POD"/>
    <tableColumn id="53" xr3:uid="{D8A9BA23-FD92-493B-91ED-F40DE3DF2016}" name="POD TERMINAL"/>
    <tableColumn id="54" xr3:uid="{13001B27-F506-4F63-85F5-13177843F999}" name="Disch. Inst."/>
    <tableColumn id="55" xr3:uid="{3BB242FB-B7D4-4EBC-A5D8-FED95BFA9005}" name="FPD"/>
    <tableColumn id="56" xr3:uid="{9F8416E2-9F40-46B5-8342-0F40D473E8B8}" name="SO"/>
    <tableColumn id="57" xr3:uid="{77352E17-2473-4424-AA2C-9E76E86BFA35}" name="Cut"/>
    <tableColumn id="58" xr3:uid="{F2009AEC-CF40-4DBF-ADD6-E061A1F1BF25}" name="Source"/>
    <tableColumn id="59" xr3:uid="{9F449DEC-0CAB-4E72-95E6-5A09B81DD3AF}" name="ETA Prev Leg"/>
    <tableColumn id="60" xr3:uid="{1ECF96EA-57FB-4EE8-A614-EF84CB3814E9}" name="POL2"/>
    <tableColumn id="61" xr3:uid="{5300A348-34B3-43DF-BEA0-78283A9AEBFE}" name="Service"/>
    <tableColumn id="62" xr3:uid="{5BB8E6C9-BC78-46E1-8DBB-F6426A6EB599}" name="Vessel"/>
    <tableColumn id="63" xr3:uid="{476B9213-F502-4F51-AE0B-F446D6899436}" name="Voyage"/>
    <tableColumn id="64" xr3:uid="{5A19A3E5-530C-44FB-A5C9-27DD00FB3CD7}" name="ETA Current Leg"/>
    <tableColumn id="65" xr3:uid="{24A05D7D-9DDC-4B1C-867E-79C3E08C0E34}" name="Service3"/>
    <tableColumn id="66" xr3:uid="{BD94957E-9D8D-4D89-9297-0CC0E59DCBB0}" name="Vessel4"/>
    <tableColumn id="67" xr3:uid="{937A54B9-8784-4BB2-9FD6-8D34ADF4356D}" name="Voyage5"/>
    <tableColumn id="68" xr3:uid="{8434D71E-BF54-48FB-AB8B-4CC0F111A94A}" name="POL TERMINAL"/>
    <tableColumn id="69" xr3:uid="{CFE641E9-A6F0-40F6-946C-6B44DEEC0F00}" name="POD6"/>
    <tableColumn id="70" xr3:uid="{4121C0BE-5F90-42C5-9A0C-150D702F0668}" name="POD TERMINAL7"/>
    <tableColumn id="71" xr3:uid="{9C4A3F48-D9B9-4526-A1B5-30B5987292D2}" name="Disch. Inst.8"/>
    <tableColumn id="72" xr3:uid="{2DBAF0B8-815F-4BC3-AAB9-6E7B07D756BE}" name="Service9"/>
    <tableColumn id="73" xr3:uid="{C0EA2A26-4D27-4E2D-B3B4-27EF93EADE16}" name="Vessel10"/>
    <tableColumn id="74" xr3:uid="{407248F7-6B5A-4ADA-B602-8D61A127F1B0}" name="Voyage11"/>
    <tableColumn id="75" xr3:uid="{09102657-A405-4550-A329-95A2C736FE3A}" name="LARA"/>
    <tableColumn id="76" xr3:uid="{6A61EC26-3630-4A38-AB31-ED41DA18778D}" name="From"/>
    <tableColumn id="77" xr3:uid="{87D5482F-921C-46CA-8994-B5A19DF9C660}" name="Comments"/>
    <tableColumn id="78" xr3:uid="{9297DA5E-5AC0-467D-B317-B252C97D507D}" name="Comment Type"/>
    <tableColumn id="79" xr3:uid="{5AFE3408-78CF-4CCE-A2C7-6B383B59AE69}" name="PT ref"/>
    <tableColumn id="80" xr3:uid="{3F140242-179D-4310-A800-C351FA276DEB}" name="Vent"/>
    <tableColumn id="81" xr3:uid="{2D9C3545-315F-42BA-AB95-8872BA495EB6}" name="Humidity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2330530-E540-47F4-8155-139679699151}" name="LISA" displayName="LISA" ref="A1:AC399" totalsRowShown="0" headerRowDxfId="44" dataDxfId="43">
  <autoFilter ref="A1:AC399" xr:uid="{CC27B03F-D385-40F9-B267-DBC2249EFD02}"/>
  <tableColumns count="29">
    <tableColumn id="1" xr3:uid="{FF244504-B108-4EC0-A369-C54DDD4E8E0F}" name="Booking" dataDxfId="42"/>
    <tableColumn id="2" xr3:uid="{1D07467B-57D1-4B4A-8EB4-E706C50CFDFB}" name="Container" dataDxfId="41"/>
    <tableColumn id="3" xr3:uid="{7422F4B3-F730-4536-B090-71F5D67BC690}" name="Booking Pt" dataDxfId="40"/>
    <tableColumn id="4" xr3:uid="{AD8A6232-3875-4DDB-9944-0B7B24C60A4E}" name="POL" dataDxfId="39"/>
    <tableColumn id="5" xr3:uid="{81CEA2E8-DAFF-4B31-9F51-E2DC9BD571A7}" name="Location" dataDxfId="38"/>
    <tableColumn id="6" xr3:uid="{9452DAF6-B512-4D75-9027-B73BD0DD3FFB}" name="POD" dataDxfId="37"/>
    <tableColumn id="7" xr3:uid="{3ED9F187-EE2C-4329-8335-D1C70C0A5E73}" name="Destination Location Role" dataDxfId="36"/>
    <tableColumn id="8" xr3:uid="{01D0FC9B-58BF-4D97-89BD-9AB2F4D5440B}" name="Commodity" dataDxfId="35"/>
    <tableColumn id="9" xr3:uid="{E4B46E74-C883-40B1-9E31-739FBF4D073F}" name="Gross Weight" dataDxfId="34"/>
    <tableColumn id="10" xr3:uid="{A82D9229-6347-48E6-8371-3F0559B8631A}" name="TEU" dataDxfId="33"/>
    <tableColumn id="11" xr3:uid="{FCAD0532-FFE3-4E75-9F8C-37CE05A7A7C0}" name="Equip.Type" dataDxfId="32"/>
    <tableColumn id="12" xr3:uid="{6FBFA088-FF81-4BA2-B7B9-174AB2282E23}" name="Final Place of Delivery" dataDxfId="31"/>
    <tableColumn id="13" xr3:uid="{9F54BE47-BE89-4BA9-826A-B7C457EC0D33}" name="ISO" dataDxfId="30"/>
    <tableColumn id="14" xr3:uid="{2EA7BFBF-518A-410E-9D33-EE3B3B18881E}" name="Previous Vessel Name" dataDxfId="29"/>
    <tableColumn id="15" xr3:uid="{E505E1B2-DB12-42C8-BF30-D36C9183BF0A}" name="Previous Export CVN" dataDxfId="28"/>
    <tableColumn id="16" xr3:uid="{5DBD1F5E-A343-4925-A405-8B175AD5F6BB}" name="Previous Stage Line ID" dataDxfId="27"/>
    <tableColumn id="17" xr3:uid="{193C3B07-F06C-4D00-B8CD-356912641F4E}" name="Previous Voyage ID" dataDxfId="26"/>
    <tableColumn id="18" xr3:uid="{F0E67806-386D-4705-A97F-E5174282ECB5}" name="Current Export CVN" dataDxfId="25"/>
    <tableColumn id="19" xr3:uid="{887F926C-572C-4FFB-9D89-9A6863F3E300}" name="Current Vessel Name" dataDxfId="24"/>
    <tableColumn id="20" xr3:uid="{FC74D944-B366-41D3-BBD0-0F9870037489}" name="OOG" dataDxfId="23"/>
    <tableColumn id="21" xr3:uid="{E0C28DFE-3A51-456F-ADBA-AC38229D610F}" name="Haz" dataDxfId="22"/>
    <tableColumn id="22" xr3:uid="{73025DA7-0550-4D38-B4E7-94A49E28E017}" name="Vent" dataDxfId="21"/>
    <tableColumn id="23" xr3:uid="{316C8D55-7E94-4E8B-B40A-645CDAB91448}" name="T" dataDxfId="20"/>
    <tableColumn id="24" xr3:uid="{0CFE8956-9EB8-404A-A3C1-FB649E431835}" name="Control Atmosphere" dataDxfId="19"/>
    <tableColumn id="25" xr3:uid="{7893649E-EA4D-4227-B343-4A9946D4EFA7}" name="Humidity" dataDxfId="18"/>
    <tableColumn id="26" xr3:uid="{36DD3F58-5DAD-46E9-B84F-FC549A2BB341}" name="Place of Receipt" dataDxfId="17"/>
    <tableColumn id="27" xr3:uid="{E21FD987-EA93-4565-BC52-FA62603394A5}" name="Previous Vessel ID" dataDxfId="16"/>
    <tableColumn id="28" xr3:uid="{E413AFFA-7D65-4B3B-87C7-C77D0AF8817B}" name="Place of Delivery" dataDxfId="15"/>
    <tableColumn id="29" xr3:uid="{2FDCAE48-0D4F-4B36-80D1-8C6D6961C55A}" name="PT ref" dataDxfId="1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87778AE-B94F-4820-8FE6-2B8C0CD3DBC0}" name="OurDATA" displayName="OurDATA" ref="A1:N326" tableType="queryTable" totalsRowShown="0">
  <autoFilter ref="A1:N326" xr:uid="{C72BD633-1926-4EA0-8A06-6B9A9B596F12}"/>
  <tableColumns count="14">
    <tableColumn id="1" xr3:uid="{6ED5069E-C88A-4530-8A8D-3831994E9A19}" uniqueName="1" name="Container" queryTableFieldId="1" dataDxfId="13"/>
    <tableColumn id="2" xr3:uid="{3B3020DF-121F-4CC0-A25B-A0C67567C02F}" uniqueName="2" name="Booking" queryTableFieldId="2" dataDxfId="12"/>
    <tableColumn id="4" xr3:uid="{8C234C60-1C68-4321-95E1-E98100060EED}" uniqueName="4" name="PT ref" queryTableFieldId="4" dataDxfId="11"/>
    <tableColumn id="5" xr3:uid="{3176F709-D83E-44BE-A85C-11474C82F90C}" uniqueName="5" name="Booking Pt" queryTableFieldId="5" dataDxfId="10"/>
    <tableColumn id="6" xr3:uid="{9D8F73A8-2435-4A9D-BC44-2D46DC156B0D}" uniqueName="6" name="Location" queryTableFieldId="6" dataDxfId="9"/>
    <tableColumn id="7" xr3:uid="{48F7E37E-4DF2-4B39-BA6C-160C4BE72478}" uniqueName="7" name="POD" queryTableFieldId="7" dataDxfId="8"/>
    <tableColumn id="8" xr3:uid="{654D7141-CE80-4293-AACB-D7F2ECB447D9}" uniqueName="8" name="OOG" queryTableFieldId="8" dataDxfId="7"/>
    <tableColumn id="9" xr3:uid="{D2C929E2-B16E-46BD-9E86-1C7332999AB0}" uniqueName="9" name="Haz" queryTableFieldId="9" dataDxfId="6"/>
    <tableColumn id="10" xr3:uid="{801DA930-EE9B-453D-AE30-94E18BB3CF92}" uniqueName="10" name="Vent" queryTableFieldId="10" dataDxfId="5"/>
    <tableColumn id="11" xr3:uid="{0C0A0068-67F6-4ED8-A5A9-36F34D20E305}" uniqueName="11" name="ISO" queryTableFieldId="11" dataDxfId="4"/>
    <tableColumn id="12" xr3:uid="{AAF52B0D-382A-432E-8DE9-846D779FE76E}" uniqueName="12" name="Humidity" queryTableFieldId="12" dataDxfId="3"/>
    <tableColumn id="13" xr3:uid="{C939B436-2B14-4B09-867F-38DDBC39BF60}" uniqueName="13" name="POL" queryTableFieldId="22" dataDxfId="2"/>
    <tableColumn id="14" xr3:uid="{4E2C5AA6-C72A-4EDB-9092-863447C29F38}" uniqueName="14" name="Commodity" queryTableFieldId="24" dataDxfId="1"/>
    <tableColumn id="3" xr3:uid="{D2D6A870-1C57-4854-9059-75C21313B9FB}" uniqueName="3" name="T" queryTableFieldId="3" dataDxfId="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20C37CD-745B-43FD-B7DA-49752C1EA692}" name="OnDeck" displayName="OnDeck" ref="A3:L4" tableType="queryTable" insertRow="1" totalsRowShown="0">
  <autoFilter ref="A3:L4" xr:uid="{FB4827D2-2768-47DC-A19A-EFD318D6B556}"/>
  <tableColumns count="12">
    <tableColumn id="1" xr3:uid="{643DF408-6409-4AB8-A44F-91F7A7832ADD}" uniqueName="1" name="Position" queryTableFieldId="1"/>
    <tableColumn id="2" xr3:uid="{97C5606F-1819-40EF-9423-B2789837A881}" uniqueName="2" name="Container" queryTableFieldId="2"/>
    <tableColumn id="3" xr3:uid="{DB2BC5C5-30B1-42F0-9189-76450EF394E6}" uniqueName="3" name="Booking" queryTableFieldId="3"/>
    <tableColumn id="4" xr3:uid="{6E020261-3D6F-4554-8372-9C43D28A995D}" uniqueName="4" name="Commodity" queryTableFieldId="4"/>
    <tableColumn id="5" xr3:uid="{64D08021-B8DC-439A-9951-4FA17C72FD0A}" uniqueName="5" name="POD" queryTableFieldId="5"/>
    <tableColumn id="6" xr3:uid="{582D4C5C-FDCE-4D3A-A228-657A552841DB}" uniqueName="6" name="OOG" queryTableFieldId="6"/>
    <tableColumn id="7" xr3:uid="{80A25EAF-4D88-4ADC-B0B5-20CD755DE633}" uniqueName="7" name="Haz" queryTableFieldId="7"/>
    <tableColumn id="8" xr3:uid="{0F61B764-5B01-4EFC-8CD3-7B3A4F24013A}" uniqueName="8" name="Vent" queryTableFieldId="8"/>
    <tableColumn id="9" xr3:uid="{83E2E82E-F5F4-4385-A705-DF324E6CED55}" uniqueName="9" name="ISO" queryTableFieldId="9"/>
    <tableColumn id="10" xr3:uid="{212E7ADB-CB91-4B86-956B-E5A4B1710BDD}" uniqueName="10" name="Humidity" queryTableFieldId="10"/>
    <tableColumn id="11" xr3:uid="{F62092E4-1277-4991-8038-605EE862F26A}" uniqueName="11" name="POL" queryTableFieldId="11"/>
    <tableColumn id="12" xr3:uid="{46DE85C0-2C60-49D7-8407-289DB8686AB3}" uniqueName="12" name="T" queryTableFieldId="1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DA876E8-8A42-4CA9-B622-AAB9415E3E6E}" name="UnderDeck" displayName="UnderDeck" ref="A3:L4" tableType="queryTable" totalsRowShown="0">
  <autoFilter ref="A3:L4" xr:uid="{D091E019-AE35-457F-BF18-02C287412A34}"/>
  <tableColumns count="12">
    <tableColumn id="1" xr3:uid="{55DC5EF7-BB59-4774-A6F6-27305353CC02}" uniqueName="1" name="Position" queryTableFieldId="1"/>
    <tableColumn id="2" xr3:uid="{5A9DFCB6-070E-4576-A7BE-9DB848965AA4}" uniqueName="2" name="Container" queryTableFieldId="2"/>
    <tableColumn id="3" xr3:uid="{F718EAC0-F7AE-4B9F-AB65-74D78F01E1E0}" uniqueName="3" name="Booking" queryTableFieldId="3"/>
    <tableColumn id="4" xr3:uid="{CC409767-3FEF-42CC-9260-68F446D154ED}" uniqueName="4" name="Commodity" queryTableFieldId="4"/>
    <tableColumn id="5" xr3:uid="{432ADFB2-FC30-4F3C-9562-F795F7D421F6}" uniqueName="5" name="POD" queryTableFieldId="5"/>
    <tableColumn id="6" xr3:uid="{AAA48063-DA51-4F73-A2DE-5DDA739D5E3A}" uniqueName="6" name="OOG" queryTableFieldId="6"/>
    <tableColumn id="7" xr3:uid="{5B59CFC7-F23B-4E86-AE25-E37FDFEC6E02}" uniqueName="7" name="Haz" queryTableFieldId="7"/>
    <tableColumn id="8" xr3:uid="{068B0F86-1BB9-4676-9763-EF17C7CDB65B}" uniqueName="8" name="Vent" queryTableFieldId="8"/>
    <tableColumn id="9" xr3:uid="{56597104-4BA8-49E0-9639-522DF4EBE164}" uniqueName="9" name="ISO" queryTableFieldId="9"/>
    <tableColumn id="10" xr3:uid="{A1DBFC2A-B33B-4215-9188-DFFF0E829850}" uniqueName="10" name="Humidity" queryTableFieldId="10"/>
    <tableColumn id="11" xr3:uid="{931257AF-0892-4B76-A42B-D70BB846D684}" uniqueName="11" name="POL" queryTableFieldId="11"/>
    <tableColumn id="12" xr3:uid="{267D127A-2F77-428C-82C1-F1BFE67403C4}" uniqueName="12" name="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KD.VPLYUSNIN@cma-cgm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504C-82DB-4153-8B29-691B1B9401FB}">
  <sheetPr codeName="Sheet19">
    <tabColor rgb="FF7030A0"/>
  </sheetPr>
  <dimension ref="A1:P191"/>
  <sheetViews>
    <sheetView topLeftCell="A28" zoomScaleNormal="100" workbookViewId="0">
      <selection activeCell="C50" sqref="C50"/>
    </sheetView>
  </sheetViews>
  <sheetFormatPr defaultColWidth="0" defaultRowHeight="14.4" x14ac:dyDescent="0.3"/>
  <cols>
    <col min="1" max="1" width="1.6640625" customWidth="1"/>
    <col min="2" max="2" width="16.33203125" bestFit="1" customWidth="1"/>
    <col min="3" max="4" width="27.33203125" bestFit="1" customWidth="1"/>
    <col min="5" max="5" width="26.6640625" bestFit="1" customWidth="1"/>
    <col min="6" max="6" width="16.33203125" bestFit="1" customWidth="1"/>
    <col min="7" max="7" width="21.5546875" bestFit="1" customWidth="1"/>
    <col min="8" max="13" width="8.88671875" customWidth="1"/>
    <col min="14" max="14" width="14.5546875" customWidth="1"/>
    <col min="15" max="15" width="1.6640625" customWidth="1"/>
    <col min="16" max="16" width="0" hidden="1" customWidth="1"/>
    <col min="17" max="16384" width="8.88671875" hidden="1"/>
  </cols>
  <sheetData>
    <row r="1" spans="1:15" ht="9" customHeight="1" x14ac:dyDescent="0.3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5" ht="15" thickBot="1" x14ac:dyDescent="0.35">
      <c r="A2" s="29"/>
      <c r="F2" t="s">
        <v>325</v>
      </c>
      <c r="J2" s="46" t="s">
        <v>384</v>
      </c>
      <c r="O2" s="29"/>
    </row>
    <row r="3" spans="1:15" x14ac:dyDescent="0.3">
      <c r="A3" s="29"/>
      <c r="J3" s="49" t="s">
        <v>359</v>
      </c>
      <c r="K3" s="47"/>
      <c r="L3" s="73" t="s">
        <v>392</v>
      </c>
      <c r="M3" s="47"/>
      <c r="N3" s="47"/>
      <c r="O3" s="29"/>
    </row>
    <row r="4" spans="1:15" x14ac:dyDescent="0.3">
      <c r="A4" s="29"/>
      <c r="J4" s="46" t="s">
        <v>360</v>
      </c>
      <c r="L4" s="72" t="s">
        <v>685</v>
      </c>
      <c r="O4" s="29"/>
    </row>
    <row r="5" spans="1:15" x14ac:dyDescent="0.3">
      <c r="A5" s="29"/>
      <c r="J5" s="46" t="s">
        <v>362</v>
      </c>
      <c r="L5" s="74">
        <v>45484.708333333336</v>
      </c>
      <c r="O5" s="29"/>
    </row>
    <row r="6" spans="1:15" x14ac:dyDescent="0.3">
      <c r="A6" s="29"/>
      <c r="F6" t="s">
        <v>327</v>
      </c>
      <c r="J6" s="46" t="s">
        <v>363</v>
      </c>
      <c r="L6" s="74">
        <v>45483.708333333336</v>
      </c>
      <c r="O6" s="29"/>
    </row>
    <row r="7" spans="1:15" ht="15" thickBot="1" x14ac:dyDescent="0.35">
      <c r="A7" s="29"/>
      <c r="J7" s="50" t="s">
        <v>357</v>
      </c>
      <c r="K7" s="48"/>
      <c r="L7" s="74">
        <v>45484.625</v>
      </c>
      <c r="M7" s="48"/>
      <c r="N7" s="48"/>
      <c r="O7" s="29"/>
    </row>
    <row r="8" spans="1:15" x14ac:dyDescent="0.3">
      <c r="A8" s="29"/>
      <c r="J8" s="46" t="s">
        <v>385</v>
      </c>
      <c r="O8" s="29"/>
    </row>
    <row r="9" spans="1:15" x14ac:dyDescent="0.3">
      <c r="A9" s="29"/>
      <c r="J9" s="46" t="s">
        <v>370</v>
      </c>
      <c r="K9" s="38" t="s">
        <v>371</v>
      </c>
      <c r="O9" s="29"/>
    </row>
    <row r="10" spans="1:15" x14ac:dyDescent="0.3">
      <c r="A10" s="29"/>
      <c r="F10" t="s">
        <v>326</v>
      </c>
      <c r="J10" s="46" t="s">
        <v>386</v>
      </c>
      <c r="K10" s="40" t="s">
        <v>376</v>
      </c>
      <c r="O10" s="29"/>
    </row>
    <row r="11" spans="1:15" ht="15" thickBot="1" x14ac:dyDescent="0.35">
      <c r="A11" s="29"/>
      <c r="J11" s="50" t="s">
        <v>373</v>
      </c>
      <c r="K11" s="51" t="s">
        <v>374</v>
      </c>
      <c r="L11" s="48"/>
      <c r="M11" s="48"/>
      <c r="N11" s="48"/>
      <c r="O11" s="29"/>
    </row>
    <row r="12" spans="1:15" x14ac:dyDescent="0.3">
      <c r="A12" s="29"/>
      <c r="J12" s="31"/>
      <c r="O12" s="29"/>
    </row>
    <row r="13" spans="1:15" x14ac:dyDescent="0.3">
      <c r="A13" s="29"/>
      <c r="J13" s="31"/>
      <c r="O13" s="29"/>
    </row>
    <row r="14" spans="1:15" x14ac:dyDescent="0.3">
      <c r="A14" s="29"/>
      <c r="J14" s="46"/>
      <c r="O14" s="29"/>
    </row>
    <row r="15" spans="1:15" x14ac:dyDescent="0.3">
      <c r="A15" s="29"/>
      <c r="J15" s="46"/>
      <c r="O15" s="29"/>
    </row>
    <row r="16" spans="1:15" x14ac:dyDescent="0.3">
      <c r="A16" s="29"/>
      <c r="J16" s="46"/>
      <c r="O16" s="29"/>
    </row>
    <row r="17" spans="1:15" ht="9" customHeight="1" x14ac:dyDescent="0.3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x14ac:dyDescent="0.3">
      <c r="A18" s="29"/>
      <c r="B18" t="str" cm="1">
        <f t="array" ref="B18:G54">_xlfn.IFS(Calculation!H35 = 1, Empty_Bookings[#All], Calculation!H35 =2, Container_s__Not_Pre_advised[#All], Calculation!H35 =3, Not_Linked_Mis[#All],Calculation!H35 = 4, POD_FPOD[#All],Calculation!H35 =5,TEMP_VENT_HUM[#All],Calculation!H35 =6,HAZ_OOG[#All],Calculation!H35 = 7, CEDO[#All],Calculation!H35 = 8,ISO[#All])</f>
        <v>Container</v>
      </c>
      <c r="C18" t="str">
        <v>Booking</v>
      </c>
      <c r="D18" t="str">
        <v>Stops</v>
      </c>
      <c r="E18" t="str">
        <v>Location</v>
      </c>
      <c r="F18" t="str">
        <v>PT ref</v>
      </c>
      <c r="G18" t="str">
        <v>Booking Pt</v>
      </c>
      <c r="O18" s="29"/>
    </row>
    <row r="19" spans="1:15" x14ac:dyDescent="0.3">
      <c r="A19" s="29"/>
      <c r="B19" t="str">
        <v>CMAU0487300</v>
      </c>
      <c r="C19" t="str">
        <v>ACD0763201</v>
      </c>
      <c r="D19">
        <v>0</v>
      </c>
      <c r="E19" t="str">
        <v>Fergusson</v>
      </c>
      <c r="F19">
        <v>0</v>
      </c>
      <c r="G19" t="str">
        <v>CEVA LOGISTICS NZ LTD</v>
      </c>
      <c r="O19" s="29"/>
    </row>
    <row r="20" spans="1:15" x14ac:dyDescent="0.3">
      <c r="A20" s="29"/>
      <c r="B20" t="str">
        <v>CMAU0806048</v>
      </c>
      <c r="C20" t="str">
        <v>ACD0763209</v>
      </c>
      <c r="D20">
        <v>0</v>
      </c>
      <c r="E20" t="str">
        <v>Fergusson</v>
      </c>
      <c r="F20">
        <v>0</v>
      </c>
      <c r="G20" t="str">
        <v>CEVA LOGISTICS NZ LTD</v>
      </c>
      <c r="O20" s="29"/>
    </row>
    <row r="21" spans="1:15" x14ac:dyDescent="0.3">
      <c r="A21" s="29"/>
      <c r="B21" t="str">
        <v>APZU3400437</v>
      </c>
      <c r="C21" t="str">
        <v>ACD0763201</v>
      </c>
      <c r="D21">
        <v>0</v>
      </c>
      <c r="E21" t="str">
        <v>Fergusson</v>
      </c>
      <c r="F21">
        <v>0</v>
      </c>
      <c r="G21" t="str">
        <v>CEVA LOGISTICS NZ LTD</v>
      </c>
      <c r="O21" s="29"/>
    </row>
    <row r="22" spans="1:15" x14ac:dyDescent="0.3">
      <c r="A22" s="29"/>
      <c r="B22" t="str">
        <v>TRHU3071440</v>
      </c>
      <c r="C22" t="str">
        <v>ACD0763209</v>
      </c>
      <c r="D22">
        <v>0</v>
      </c>
      <c r="E22" t="str">
        <v>Fergusson</v>
      </c>
      <c r="F22">
        <v>0</v>
      </c>
      <c r="G22" t="str">
        <v>CEVA LOGISTICS NZ LTD</v>
      </c>
      <c r="O22" s="29"/>
    </row>
    <row r="23" spans="1:15" x14ac:dyDescent="0.3">
      <c r="A23" s="29"/>
      <c r="B23" t="str">
        <v>UETU2154666</v>
      </c>
      <c r="C23" t="str">
        <v>ACD0763201</v>
      </c>
      <c r="D23">
        <v>0</v>
      </c>
      <c r="E23" t="str">
        <v>Fergusson</v>
      </c>
      <c r="F23">
        <v>0</v>
      </c>
      <c r="G23" t="str">
        <v>CEVA LOGISTICS NZ LTD</v>
      </c>
      <c r="O23" s="29"/>
    </row>
    <row r="24" spans="1:15" x14ac:dyDescent="0.3">
      <c r="A24" s="29"/>
      <c r="B24" t="str">
        <v>TEMU5082244</v>
      </c>
      <c r="C24" t="str">
        <v>ACD0763201</v>
      </c>
      <c r="D24">
        <v>0</v>
      </c>
      <c r="E24" t="str">
        <v>Fergusson</v>
      </c>
      <c r="F24">
        <v>0</v>
      </c>
      <c r="G24" t="str">
        <v>CEVA LOGISTICS NZ LTD</v>
      </c>
      <c r="O24" s="29"/>
    </row>
    <row r="25" spans="1:15" x14ac:dyDescent="0.3">
      <c r="A25" s="29"/>
      <c r="B25" t="str">
        <v>GLDU9915431</v>
      </c>
      <c r="C25" t="str">
        <v>ACD0763209</v>
      </c>
      <c r="D25">
        <v>0</v>
      </c>
      <c r="E25" t="str">
        <v>Fergusson</v>
      </c>
      <c r="F25">
        <v>0</v>
      </c>
      <c r="G25" t="str">
        <v>CEVA LOGISTICS NZ LTD</v>
      </c>
      <c r="O25" s="29"/>
    </row>
    <row r="26" spans="1:15" x14ac:dyDescent="0.3">
      <c r="A26" s="29"/>
      <c r="B26" t="str">
        <v>CMAU6598912</v>
      </c>
      <c r="C26" t="str">
        <v>ACD0763206</v>
      </c>
      <c r="D26">
        <v>0</v>
      </c>
      <c r="E26" t="str">
        <v>Fergusson</v>
      </c>
      <c r="F26">
        <v>0</v>
      </c>
      <c r="G26" t="str">
        <v>CEVA LOGISTICS NZ LTD</v>
      </c>
      <c r="O26" s="29"/>
    </row>
    <row r="27" spans="1:15" x14ac:dyDescent="0.3">
      <c r="A27" s="29"/>
      <c r="B27" t="str">
        <v>GLDU3517560</v>
      </c>
      <c r="C27" t="str">
        <v>ACD0763209</v>
      </c>
      <c r="D27">
        <v>0</v>
      </c>
      <c r="E27" t="str">
        <v>Fergusson</v>
      </c>
      <c r="F27">
        <v>0</v>
      </c>
      <c r="G27" t="str">
        <v>CEVA LOGISTICS NZ LTD</v>
      </c>
      <c r="O27" s="29"/>
    </row>
    <row r="28" spans="1:15" x14ac:dyDescent="0.3">
      <c r="A28" s="29"/>
      <c r="B28" t="str">
        <v>TLLU2007510</v>
      </c>
      <c r="C28" t="str">
        <v>ACD0763209</v>
      </c>
      <c r="D28">
        <v>0</v>
      </c>
      <c r="E28" t="str">
        <v>Fergusson</v>
      </c>
      <c r="F28">
        <v>0</v>
      </c>
      <c r="G28" t="str">
        <v>CEVA LOGISTICS NZ LTD</v>
      </c>
      <c r="O28" s="29"/>
    </row>
    <row r="29" spans="1:15" x14ac:dyDescent="0.3">
      <c r="A29" s="29"/>
      <c r="B29" t="str">
        <v>CMAU0947977</v>
      </c>
      <c r="C29" t="str">
        <v>ACD0763209</v>
      </c>
      <c r="D29">
        <v>0</v>
      </c>
      <c r="E29" t="str">
        <v>Fergusson</v>
      </c>
      <c r="F29">
        <v>0</v>
      </c>
      <c r="G29" t="str">
        <v>CEVA LOGISTICS NZ LTD</v>
      </c>
      <c r="O29" s="29"/>
    </row>
    <row r="30" spans="1:15" x14ac:dyDescent="0.3">
      <c r="A30" s="29"/>
      <c r="B30" t="str">
        <v>TRHU6062483</v>
      </c>
      <c r="C30" t="str">
        <v>ACD0763391</v>
      </c>
      <c r="D30">
        <v>0</v>
      </c>
      <c r="E30" t="str">
        <v>Fergusson</v>
      </c>
      <c r="F30">
        <v>0</v>
      </c>
      <c r="G30" t="str">
        <v>CEVA LOGISTICS NZ LTD</v>
      </c>
      <c r="O30" s="29"/>
    </row>
    <row r="31" spans="1:15" x14ac:dyDescent="0.3">
      <c r="A31" s="29"/>
      <c r="B31" t="str">
        <v>CMAU5727810</v>
      </c>
      <c r="C31" t="str">
        <v>ACD0763391</v>
      </c>
      <c r="D31">
        <v>0</v>
      </c>
      <c r="E31" t="str">
        <v>Fergusson</v>
      </c>
      <c r="F31">
        <v>0</v>
      </c>
      <c r="G31" t="str">
        <v>CEVA LOGISTICS NZ LTD</v>
      </c>
      <c r="O31" s="29"/>
    </row>
    <row r="32" spans="1:15" x14ac:dyDescent="0.3">
      <c r="A32" s="29"/>
      <c r="B32" t="str">
        <v>BSIU2768000</v>
      </c>
      <c r="C32" t="str">
        <v>ACD0763201</v>
      </c>
      <c r="D32">
        <v>0</v>
      </c>
      <c r="E32" t="str">
        <v>Fergusson</v>
      </c>
      <c r="F32">
        <v>0</v>
      </c>
      <c r="G32" t="str">
        <v>CEVA LOGISTICS NZ LTD</v>
      </c>
      <c r="O32" s="29"/>
    </row>
    <row r="33" spans="1:15" x14ac:dyDescent="0.3">
      <c r="A33" s="29"/>
      <c r="B33" t="str">
        <v>BEAU2234983</v>
      </c>
      <c r="C33" t="str">
        <v>ACD0763201</v>
      </c>
      <c r="D33">
        <v>0</v>
      </c>
      <c r="E33" t="str">
        <v>Fergusson</v>
      </c>
      <c r="F33">
        <v>0</v>
      </c>
      <c r="G33" t="str">
        <v>CEVA LOGISTICS NZ LTD</v>
      </c>
      <c r="O33" s="29"/>
    </row>
    <row r="34" spans="1:15" x14ac:dyDescent="0.3">
      <c r="A34" s="29"/>
      <c r="B34" t="str">
        <v>GESU1242370</v>
      </c>
      <c r="C34" t="str">
        <v>ACD0763209</v>
      </c>
      <c r="D34">
        <v>0</v>
      </c>
      <c r="E34" t="str">
        <v>Fergusson</v>
      </c>
      <c r="F34">
        <v>0</v>
      </c>
      <c r="G34" t="str">
        <v>CEVA LOGISTICS NZ LTD</v>
      </c>
      <c r="O34" s="29"/>
    </row>
    <row r="35" spans="1:15" x14ac:dyDescent="0.3">
      <c r="A35" s="29"/>
      <c r="B35" t="str">
        <v>TRHU5164243</v>
      </c>
      <c r="C35" t="str">
        <v>ACD0763391</v>
      </c>
      <c r="D35">
        <v>0</v>
      </c>
      <c r="E35" t="str">
        <v>Fergusson</v>
      </c>
      <c r="F35">
        <v>0</v>
      </c>
      <c r="G35" t="str">
        <v>CEVA LOGISTICS NZ LTD</v>
      </c>
      <c r="O35" s="29"/>
    </row>
    <row r="36" spans="1:15" x14ac:dyDescent="0.3">
      <c r="A36" s="29"/>
      <c r="B36" t="str">
        <v>CMAU7908740</v>
      </c>
      <c r="C36" t="str">
        <v>ACD0763206</v>
      </c>
      <c r="D36">
        <v>0</v>
      </c>
      <c r="E36" t="str">
        <v>Fergusson</v>
      </c>
      <c r="F36">
        <v>0</v>
      </c>
      <c r="G36" t="str">
        <v>CEVA LOGISTICS NZ LTD</v>
      </c>
      <c r="O36" s="29"/>
    </row>
    <row r="37" spans="1:15" x14ac:dyDescent="0.3">
      <c r="A37" s="29"/>
      <c r="B37" t="str">
        <v>CMAU6896347</v>
      </c>
      <c r="C37" t="str">
        <v>ACD0763206</v>
      </c>
      <c r="D37">
        <v>0</v>
      </c>
      <c r="E37" t="str">
        <v>Fergusson</v>
      </c>
      <c r="F37">
        <v>0</v>
      </c>
      <c r="G37" t="str">
        <v>CEVA LOGISTICS NZ LTD</v>
      </c>
      <c r="O37" s="29"/>
    </row>
    <row r="38" spans="1:15" x14ac:dyDescent="0.3">
      <c r="A38" s="29"/>
      <c r="B38" t="str">
        <v>GESU1441073</v>
      </c>
      <c r="C38" t="str">
        <v>ACD0763209</v>
      </c>
      <c r="D38">
        <v>0</v>
      </c>
      <c r="E38" t="str">
        <v>Fergusson</v>
      </c>
      <c r="F38">
        <v>0</v>
      </c>
      <c r="G38" t="str">
        <v>CEVA LOGISTICS NZ LTD</v>
      </c>
      <c r="O38" s="29"/>
    </row>
    <row r="39" spans="1:15" x14ac:dyDescent="0.3">
      <c r="A39" s="29"/>
      <c r="B39" t="str">
        <v>TCLU2676461</v>
      </c>
      <c r="C39" t="str">
        <v>ACD0763209</v>
      </c>
      <c r="D39">
        <v>0</v>
      </c>
      <c r="E39" t="str">
        <v>Fergusson</v>
      </c>
      <c r="F39">
        <v>0</v>
      </c>
      <c r="G39" t="str">
        <v>CEVA LOGISTICS NZ LTD</v>
      </c>
      <c r="O39" s="29"/>
    </row>
    <row r="40" spans="1:15" x14ac:dyDescent="0.3">
      <c r="A40" s="29"/>
      <c r="B40" t="str">
        <v>TCNU2633718</v>
      </c>
      <c r="C40" t="str">
        <v>ACD0763391</v>
      </c>
      <c r="D40">
        <v>0</v>
      </c>
      <c r="E40" t="str">
        <v>Fergusson</v>
      </c>
      <c r="F40">
        <v>0</v>
      </c>
      <c r="G40" t="str">
        <v>CEVA LOGISTICS NZ LTD</v>
      </c>
      <c r="O40" s="29"/>
    </row>
    <row r="41" spans="1:15" x14ac:dyDescent="0.3">
      <c r="A41" s="29"/>
      <c r="B41" t="str">
        <v>DRYU2131487</v>
      </c>
      <c r="C41" t="str">
        <v>ACD0763201</v>
      </c>
      <c r="D41">
        <v>0</v>
      </c>
      <c r="E41" t="str">
        <v>Fergusson</v>
      </c>
      <c r="F41">
        <v>0</v>
      </c>
      <c r="G41" t="str">
        <v>CEVA LOGISTICS NZ LTD</v>
      </c>
      <c r="O41" s="29"/>
    </row>
    <row r="42" spans="1:15" x14ac:dyDescent="0.3">
      <c r="A42" s="29"/>
      <c r="B42" t="str">
        <v>CMAU4918806</v>
      </c>
      <c r="C42" t="str">
        <v>ACD0763206</v>
      </c>
      <c r="D42">
        <v>0</v>
      </c>
      <c r="E42" t="str">
        <v>Fergusson</v>
      </c>
      <c r="F42">
        <v>0</v>
      </c>
      <c r="G42" t="str">
        <v>CEVA LOGISTICS NZ LTD</v>
      </c>
      <c r="O42" s="29"/>
    </row>
    <row r="43" spans="1:15" x14ac:dyDescent="0.3">
      <c r="A43" s="29"/>
      <c r="B43" t="str">
        <v>TRHU1128356</v>
      </c>
      <c r="C43" t="str">
        <v>ACD0763209</v>
      </c>
      <c r="D43">
        <v>0</v>
      </c>
      <c r="E43" t="str">
        <v>Fergusson</v>
      </c>
      <c r="F43">
        <v>0</v>
      </c>
      <c r="G43" t="str">
        <v>CEVA LOGISTICS NZ LTD</v>
      </c>
      <c r="O43" s="29"/>
    </row>
    <row r="44" spans="1:15" x14ac:dyDescent="0.3">
      <c r="A44" s="29"/>
      <c r="B44" t="str">
        <v>UETU2564906</v>
      </c>
      <c r="C44" t="str">
        <v>ACD0763201</v>
      </c>
      <c r="D44">
        <v>0</v>
      </c>
      <c r="E44" t="str">
        <v>Fergusson</v>
      </c>
      <c r="F44">
        <v>0</v>
      </c>
      <c r="G44" t="str">
        <v>CEVA LOGISTICS NZ LTD</v>
      </c>
      <c r="O44" s="29"/>
    </row>
    <row r="45" spans="1:15" x14ac:dyDescent="0.3">
      <c r="A45" s="29"/>
      <c r="B45" t="str">
        <v>TRHU2587278</v>
      </c>
      <c r="C45" t="str">
        <v>ACD0763201</v>
      </c>
      <c r="D45">
        <v>0</v>
      </c>
      <c r="E45" t="str">
        <v>Fergusson</v>
      </c>
      <c r="F45">
        <v>0</v>
      </c>
      <c r="G45" t="str">
        <v>CEVA LOGISTICS NZ LTD</v>
      </c>
      <c r="O45" s="29"/>
    </row>
    <row r="46" spans="1:15" x14ac:dyDescent="0.3">
      <c r="A46" s="29"/>
      <c r="B46" t="str">
        <v>CMAU2025023</v>
      </c>
      <c r="C46" t="str">
        <v>ACD0763209</v>
      </c>
      <c r="D46">
        <v>0</v>
      </c>
      <c r="E46" t="str">
        <v>Fergusson</v>
      </c>
      <c r="F46">
        <v>0</v>
      </c>
      <c r="G46" t="str">
        <v>CEVA LOGISTICS NZ LTD</v>
      </c>
      <c r="O46" s="29"/>
    </row>
    <row r="47" spans="1:15" x14ac:dyDescent="0.3">
      <c r="A47" s="29"/>
      <c r="B47" t="str">
        <v>TRHU3790377</v>
      </c>
      <c r="C47" t="str">
        <v>ACD0763201</v>
      </c>
      <c r="D47">
        <v>0</v>
      </c>
      <c r="E47" t="str">
        <v>Fergusson</v>
      </c>
      <c r="F47">
        <v>0</v>
      </c>
      <c r="G47" t="str">
        <v>CEVA LOGISTICS NZ LTD</v>
      </c>
      <c r="O47" s="29"/>
    </row>
    <row r="48" spans="1:15" x14ac:dyDescent="0.3">
      <c r="A48" s="29"/>
      <c r="B48" t="str">
        <v>APZU3675100</v>
      </c>
      <c r="C48" t="str">
        <v>ACD0763201</v>
      </c>
      <c r="D48">
        <v>0</v>
      </c>
      <c r="E48" t="str">
        <v>Fergusson</v>
      </c>
      <c r="F48">
        <v>0</v>
      </c>
      <c r="G48" t="str">
        <v>CEVA LOGISTICS NZ LTD</v>
      </c>
      <c r="O48" s="29"/>
    </row>
    <row r="49" spans="1:15" x14ac:dyDescent="0.3">
      <c r="A49" s="29"/>
      <c r="B49" t="str">
        <v>CMAU1255551</v>
      </c>
      <c r="C49" t="str">
        <v>ACD0763209</v>
      </c>
      <c r="D49">
        <v>0</v>
      </c>
      <c r="E49" t="str">
        <v>Fergusson</v>
      </c>
      <c r="F49">
        <v>0</v>
      </c>
      <c r="G49" t="str">
        <v>CEVA LOGISTICS NZ LTD</v>
      </c>
      <c r="O49" s="29"/>
    </row>
    <row r="50" spans="1:15" x14ac:dyDescent="0.3">
      <c r="A50" s="29"/>
      <c r="B50" t="str">
        <v>TEMU5329340</v>
      </c>
      <c r="C50" t="str">
        <v>ACD0763209</v>
      </c>
      <c r="D50">
        <v>0</v>
      </c>
      <c r="E50" t="str">
        <v>Fergusson</v>
      </c>
      <c r="F50">
        <v>0</v>
      </c>
      <c r="G50" t="str">
        <v>CEVA LOGISTICS NZ LTD</v>
      </c>
      <c r="O50" s="29"/>
    </row>
    <row r="51" spans="1:15" x14ac:dyDescent="0.3">
      <c r="A51" s="29"/>
      <c r="B51" t="str">
        <v>UCLU9130154</v>
      </c>
      <c r="C51" t="str">
        <v>ACD0770776</v>
      </c>
      <c r="D51">
        <v>0</v>
      </c>
      <c r="E51" t="str">
        <v>Community</v>
      </c>
      <c r="F51" t="str">
        <v>CLSAKL45506</v>
      </c>
      <c r="G51" t="str">
        <v>KNCOOLTAINER</v>
      </c>
      <c r="O51" s="29"/>
    </row>
    <row r="52" spans="1:15" x14ac:dyDescent="0.3">
      <c r="A52" s="29"/>
      <c r="B52" t="str">
        <v>BMOU9618096</v>
      </c>
      <c r="C52" t="str">
        <v>ACD0758674</v>
      </c>
      <c r="D52">
        <v>0</v>
      </c>
      <c r="E52" t="str">
        <v>Community</v>
      </c>
      <c r="F52" t="str">
        <v>980831071</v>
      </c>
      <c r="G52" t="str">
        <v>KOTAHI LOGISTICS LP LIMITED</v>
      </c>
      <c r="O52" s="29"/>
    </row>
    <row r="53" spans="1:15" x14ac:dyDescent="0.3">
      <c r="A53" s="29"/>
      <c r="B53" t="str">
        <v>CAAU6231198</v>
      </c>
      <c r="C53" t="str">
        <v>ACD0766444</v>
      </c>
      <c r="D53">
        <v>0</v>
      </c>
      <c r="E53" t="str">
        <v>Fergusson</v>
      </c>
      <c r="F53" t="str">
        <v>1060040484</v>
      </c>
      <c r="G53" t="str">
        <v>KUEHNE + NAGEL LTD</v>
      </c>
      <c r="O53" s="29"/>
    </row>
    <row r="54" spans="1:15" x14ac:dyDescent="0.3">
      <c r="A54" s="29"/>
      <c r="B54" t="str">
        <v>CTAU4180320</v>
      </c>
      <c r="C54" t="str">
        <v>ACD0770950</v>
      </c>
      <c r="D54">
        <v>0</v>
      </c>
      <c r="E54" t="str">
        <v>Fergusson</v>
      </c>
      <c r="F54" t="str">
        <v>CLSAKL45578</v>
      </c>
      <c r="G54" t="str">
        <v>KUEHNE + NAGEL NZ LTD</v>
      </c>
      <c r="O54" s="29"/>
    </row>
    <row r="55" spans="1:15" x14ac:dyDescent="0.3">
      <c r="A55" s="29"/>
      <c r="O55" s="29"/>
    </row>
    <row r="56" spans="1:15" x14ac:dyDescent="0.3">
      <c r="A56" s="29"/>
      <c r="O56" s="29"/>
    </row>
    <row r="57" spans="1:15" x14ac:dyDescent="0.3">
      <c r="A57" s="29"/>
      <c r="O57" s="29"/>
    </row>
    <row r="58" spans="1:15" x14ac:dyDescent="0.3">
      <c r="A58" s="29"/>
      <c r="O58" s="29"/>
    </row>
    <row r="59" spans="1:15" x14ac:dyDescent="0.3">
      <c r="A59" s="29"/>
      <c r="O59" s="29"/>
    </row>
    <row r="60" spans="1:15" x14ac:dyDescent="0.3">
      <c r="A60" s="29"/>
      <c r="O60" s="29"/>
    </row>
    <row r="61" spans="1:15" x14ac:dyDescent="0.3">
      <c r="A61" s="29"/>
      <c r="O61" s="29"/>
    </row>
    <row r="62" spans="1:15" x14ac:dyDescent="0.3">
      <c r="A62" s="29"/>
      <c r="O62" s="29"/>
    </row>
    <row r="63" spans="1:15" x14ac:dyDescent="0.3">
      <c r="A63" s="29"/>
      <c r="O63" s="29"/>
    </row>
    <row r="64" spans="1:15" x14ac:dyDescent="0.3">
      <c r="A64" s="29"/>
      <c r="O64" s="29"/>
    </row>
    <row r="65" spans="1:15" x14ac:dyDescent="0.3">
      <c r="A65" s="29"/>
      <c r="O65" s="29"/>
    </row>
    <row r="66" spans="1:15" x14ac:dyDescent="0.3">
      <c r="A66" s="29"/>
      <c r="O66" s="29"/>
    </row>
    <row r="67" spans="1:15" x14ac:dyDescent="0.3">
      <c r="A67" s="29"/>
      <c r="O67" s="29"/>
    </row>
    <row r="68" spans="1:15" x14ac:dyDescent="0.3">
      <c r="A68" s="29"/>
      <c r="O68" s="29"/>
    </row>
    <row r="69" spans="1:15" x14ac:dyDescent="0.3">
      <c r="A69" s="29"/>
      <c r="O69" s="29"/>
    </row>
    <row r="70" spans="1:15" x14ac:dyDescent="0.3">
      <c r="A70" s="29"/>
      <c r="O70" s="29"/>
    </row>
    <row r="71" spans="1:15" x14ac:dyDescent="0.3">
      <c r="A71" s="29"/>
      <c r="O71" s="29"/>
    </row>
    <row r="72" spans="1:15" x14ac:dyDescent="0.3">
      <c r="A72" s="29"/>
      <c r="O72" s="29"/>
    </row>
    <row r="73" spans="1:15" x14ac:dyDescent="0.3">
      <c r="A73" s="29"/>
      <c r="O73" s="29"/>
    </row>
    <row r="74" spans="1:15" x14ac:dyDescent="0.3">
      <c r="A74" s="29"/>
      <c r="O74" s="29"/>
    </row>
    <row r="75" spans="1:15" x14ac:dyDescent="0.3">
      <c r="A75" s="29"/>
      <c r="O75" s="29"/>
    </row>
    <row r="76" spans="1:15" x14ac:dyDescent="0.3">
      <c r="A76" s="29"/>
      <c r="O76" s="29"/>
    </row>
    <row r="77" spans="1:15" x14ac:dyDescent="0.3">
      <c r="A77" s="29"/>
      <c r="O77" s="29"/>
    </row>
    <row r="78" spans="1:15" x14ac:dyDescent="0.3">
      <c r="A78" s="29"/>
      <c r="O78" s="29"/>
    </row>
    <row r="79" spans="1:15" x14ac:dyDescent="0.3">
      <c r="A79" s="29"/>
      <c r="O79" s="29"/>
    </row>
    <row r="80" spans="1:15" x14ac:dyDescent="0.3">
      <c r="A80" s="29"/>
      <c r="O80" s="29"/>
    </row>
    <row r="81" spans="1:15" x14ac:dyDescent="0.3">
      <c r="A81" s="29"/>
      <c r="O81" s="29"/>
    </row>
    <row r="82" spans="1:15" x14ac:dyDescent="0.3">
      <c r="A82" s="29"/>
      <c r="O82" s="29"/>
    </row>
    <row r="83" spans="1:15" x14ac:dyDescent="0.3">
      <c r="A83" s="29"/>
      <c r="O83" s="29"/>
    </row>
    <row r="84" spans="1:15" x14ac:dyDescent="0.3">
      <c r="A84" s="29"/>
      <c r="O84" s="29"/>
    </row>
    <row r="85" spans="1:15" x14ac:dyDescent="0.3">
      <c r="A85" s="29"/>
      <c r="O85" s="29"/>
    </row>
    <row r="86" spans="1:15" x14ac:dyDescent="0.3">
      <c r="A86" s="29"/>
      <c r="O86" s="29"/>
    </row>
    <row r="87" spans="1:15" x14ac:dyDescent="0.3">
      <c r="A87" s="29"/>
      <c r="O87" s="29"/>
    </row>
    <row r="88" spans="1:15" x14ac:dyDescent="0.3">
      <c r="A88" s="29"/>
      <c r="O88" s="29"/>
    </row>
    <row r="89" spans="1:15" x14ac:dyDescent="0.3">
      <c r="A89" s="29"/>
      <c r="O89" s="29"/>
    </row>
    <row r="90" spans="1:15" x14ac:dyDescent="0.3">
      <c r="A90" s="29"/>
      <c r="O90" s="29"/>
    </row>
    <row r="91" spans="1:15" x14ac:dyDescent="0.3">
      <c r="A91" s="29"/>
      <c r="O91" s="29"/>
    </row>
    <row r="92" spans="1:15" x14ac:dyDescent="0.3">
      <c r="A92" s="29"/>
      <c r="O92" s="29"/>
    </row>
    <row r="93" spans="1:15" x14ac:dyDescent="0.3">
      <c r="A93" s="29"/>
      <c r="O93" s="29"/>
    </row>
    <row r="94" spans="1:15" x14ac:dyDescent="0.3">
      <c r="A94" s="29"/>
      <c r="O94" s="29"/>
    </row>
    <row r="95" spans="1:15" x14ac:dyDescent="0.3">
      <c r="A95" s="29"/>
      <c r="O95" s="29"/>
    </row>
    <row r="96" spans="1:15" x14ac:dyDescent="0.3">
      <c r="A96" s="29"/>
      <c r="O96" s="29"/>
    </row>
    <row r="97" spans="1:15" x14ac:dyDescent="0.3">
      <c r="A97" s="29"/>
      <c r="O97" s="29"/>
    </row>
    <row r="98" spans="1:15" x14ac:dyDescent="0.3">
      <c r="A98" s="29"/>
      <c r="O98" s="29"/>
    </row>
    <row r="99" spans="1:15" x14ac:dyDescent="0.3">
      <c r="A99" s="29"/>
      <c r="O99" s="29"/>
    </row>
    <row r="100" spans="1:15" x14ac:dyDescent="0.3">
      <c r="A100" s="29"/>
      <c r="O100" s="29"/>
    </row>
    <row r="101" spans="1:15" x14ac:dyDescent="0.3">
      <c r="A101" s="29"/>
      <c r="O101" s="29"/>
    </row>
    <row r="102" spans="1:15" x14ac:dyDescent="0.3">
      <c r="A102" s="29"/>
      <c r="O102" s="29"/>
    </row>
    <row r="103" spans="1:15" x14ac:dyDescent="0.3">
      <c r="A103" s="29"/>
      <c r="O103" s="29"/>
    </row>
    <row r="104" spans="1:15" x14ac:dyDescent="0.3">
      <c r="A104" s="29"/>
      <c r="O104" s="29"/>
    </row>
    <row r="105" spans="1:15" x14ac:dyDescent="0.3">
      <c r="A105" s="29"/>
      <c r="O105" s="29"/>
    </row>
    <row r="106" spans="1:15" x14ac:dyDescent="0.3">
      <c r="A106" s="29"/>
      <c r="O106" s="29"/>
    </row>
    <row r="107" spans="1:15" x14ac:dyDescent="0.3">
      <c r="A107" s="29"/>
      <c r="O107" s="29"/>
    </row>
    <row r="108" spans="1:15" x14ac:dyDescent="0.3">
      <c r="A108" s="29"/>
      <c r="O108" s="29"/>
    </row>
    <row r="109" spans="1:15" x14ac:dyDescent="0.3">
      <c r="A109" s="29"/>
      <c r="O109" s="29"/>
    </row>
    <row r="110" spans="1:15" x14ac:dyDescent="0.3">
      <c r="A110" s="29"/>
      <c r="O110" s="29"/>
    </row>
    <row r="111" spans="1:15" x14ac:dyDescent="0.3">
      <c r="A111" s="29"/>
      <c r="O111" s="29"/>
    </row>
    <row r="112" spans="1:15" x14ac:dyDescent="0.3">
      <c r="A112" s="29"/>
      <c r="O112" s="29"/>
    </row>
    <row r="113" spans="1:15" x14ac:dyDescent="0.3">
      <c r="A113" s="29"/>
      <c r="O113" s="29"/>
    </row>
    <row r="114" spans="1:15" x14ac:dyDescent="0.3">
      <c r="A114" s="29"/>
      <c r="O114" s="29"/>
    </row>
    <row r="115" spans="1:15" x14ac:dyDescent="0.3">
      <c r="A115" s="29"/>
      <c r="O115" s="29"/>
    </row>
    <row r="116" spans="1:15" x14ac:dyDescent="0.3">
      <c r="A116" s="29"/>
      <c r="O116" s="29"/>
    </row>
    <row r="117" spans="1:15" x14ac:dyDescent="0.3">
      <c r="A117" s="29"/>
      <c r="O117" s="29"/>
    </row>
    <row r="118" spans="1:15" x14ac:dyDescent="0.3">
      <c r="A118" s="29"/>
      <c r="O118" s="29"/>
    </row>
    <row r="119" spans="1:15" x14ac:dyDescent="0.3">
      <c r="A119" s="29"/>
      <c r="O119" s="29"/>
    </row>
    <row r="120" spans="1:15" x14ac:dyDescent="0.3">
      <c r="A120" s="29"/>
      <c r="O120" s="29"/>
    </row>
    <row r="121" spans="1:15" x14ac:dyDescent="0.3">
      <c r="A121" s="29"/>
      <c r="O121" s="29"/>
    </row>
    <row r="122" spans="1:15" x14ac:dyDescent="0.3">
      <c r="A122" s="29"/>
      <c r="O122" s="29"/>
    </row>
    <row r="123" spans="1:15" x14ac:dyDescent="0.3">
      <c r="A123" s="29"/>
      <c r="O123" s="29"/>
    </row>
    <row r="124" spans="1:15" x14ac:dyDescent="0.3">
      <c r="A124" s="29"/>
      <c r="O124" s="29"/>
    </row>
    <row r="125" spans="1:15" x14ac:dyDescent="0.3">
      <c r="A125" s="29"/>
      <c r="O125" s="29"/>
    </row>
    <row r="126" spans="1:15" x14ac:dyDescent="0.3">
      <c r="A126" s="29"/>
      <c r="O126" s="29"/>
    </row>
    <row r="127" spans="1:15" x14ac:dyDescent="0.3">
      <c r="A127" s="29"/>
      <c r="O127" s="29"/>
    </row>
    <row r="128" spans="1:15" x14ac:dyDescent="0.3">
      <c r="A128" s="29"/>
      <c r="O128" s="29"/>
    </row>
    <row r="129" spans="1:15" x14ac:dyDescent="0.3">
      <c r="A129" s="29"/>
      <c r="O129" s="29"/>
    </row>
    <row r="130" spans="1:15" x14ac:dyDescent="0.3">
      <c r="A130" s="29"/>
      <c r="O130" s="29"/>
    </row>
    <row r="131" spans="1:15" x14ac:dyDescent="0.3">
      <c r="A131" s="29"/>
      <c r="O131" s="29"/>
    </row>
    <row r="132" spans="1:15" x14ac:dyDescent="0.3">
      <c r="A132" s="29"/>
      <c r="O132" s="29"/>
    </row>
    <row r="133" spans="1:15" x14ac:dyDescent="0.3">
      <c r="A133" s="29"/>
      <c r="O133" s="29"/>
    </row>
    <row r="134" spans="1:15" x14ac:dyDescent="0.3">
      <c r="A134" s="29"/>
      <c r="O134" s="29"/>
    </row>
    <row r="135" spans="1:15" x14ac:dyDescent="0.3">
      <c r="A135" s="29"/>
      <c r="O135" s="29"/>
    </row>
    <row r="136" spans="1:15" x14ac:dyDescent="0.3">
      <c r="A136" s="29"/>
      <c r="O136" s="29"/>
    </row>
    <row r="137" spans="1:15" x14ac:dyDescent="0.3">
      <c r="A137" s="29"/>
      <c r="O137" s="29"/>
    </row>
    <row r="138" spans="1:15" x14ac:dyDescent="0.3">
      <c r="A138" s="29"/>
      <c r="O138" s="29"/>
    </row>
    <row r="139" spans="1:15" x14ac:dyDescent="0.3">
      <c r="A139" s="29"/>
      <c r="O139" s="29"/>
    </row>
    <row r="140" spans="1:15" x14ac:dyDescent="0.3">
      <c r="A140" s="29"/>
      <c r="O140" s="29"/>
    </row>
    <row r="141" spans="1:15" x14ac:dyDescent="0.3">
      <c r="A141" s="29"/>
      <c r="O141" s="29"/>
    </row>
    <row r="142" spans="1:15" x14ac:dyDescent="0.3">
      <c r="A142" s="29"/>
      <c r="O142" s="29"/>
    </row>
    <row r="143" spans="1:15" x14ac:dyDescent="0.3">
      <c r="A143" s="29"/>
      <c r="O143" s="29"/>
    </row>
    <row r="144" spans="1:15" x14ac:dyDescent="0.3">
      <c r="A144" s="29"/>
      <c r="O144" s="29"/>
    </row>
    <row r="145" spans="1:15" x14ac:dyDescent="0.3">
      <c r="A145" s="29"/>
      <c r="O145" s="29"/>
    </row>
    <row r="146" spans="1:15" x14ac:dyDescent="0.3">
      <c r="A146" s="29"/>
      <c r="O146" s="29"/>
    </row>
    <row r="147" spans="1:15" x14ac:dyDescent="0.3">
      <c r="A147" s="29"/>
      <c r="O147" s="29"/>
    </row>
    <row r="148" spans="1:15" x14ac:dyDescent="0.3">
      <c r="A148" s="29"/>
      <c r="O148" s="29"/>
    </row>
    <row r="149" spans="1:15" x14ac:dyDescent="0.3">
      <c r="A149" s="29"/>
      <c r="O149" s="29"/>
    </row>
    <row r="150" spans="1:15" x14ac:dyDescent="0.3">
      <c r="A150" s="29"/>
      <c r="O150" s="29"/>
    </row>
    <row r="151" spans="1:15" x14ac:dyDescent="0.3">
      <c r="A151" s="29"/>
      <c r="O151" s="29"/>
    </row>
    <row r="152" spans="1:15" x14ac:dyDescent="0.3">
      <c r="A152" s="29"/>
      <c r="O152" s="29"/>
    </row>
    <row r="153" spans="1:15" x14ac:dyDescent="0.3">
      <c r="A153" s="29"/>
      <c r="O153" s="29"/>
    </row>
    <row r="154" spans="1:15" x14ac:dyDescent="0.3">
      <c r="A154" s="29"/>
      <c r="O154" s="29"/>
    </row>
    <row r="155" spans="1:15" x14ac:dyDescent="0.3">
      <c r="A155" s="29"/>
      <c r="O155" s="29"/>
    </row>
    <row r="156" spans="1:15" x14ac:dyDescent="0.3">
      <c r="A156" s="29"/>
      <c r="O156" s="29"/>
    </row>
    <row r="157" spans="1:15" x14ac:dyDescent="0.3">
      <c r="A157" s="29"/>
      <c r="O157" s="29"/>
    </row>
    <row r="158" spans="1:15" x14ac:dyDescent="0.3">
      <c r="A158" s="29"/>
      <c r="O158" s="29"/>
    </row>
    <row r="159" spans="1:15" x14ac:dyDescent="0.3">
      <c r="A159" s="29"/>
      <c r="O159" s="29"/>
    </row>
    <row r="160" spans="1:15" x14ac:dyDescent="0.3">
      <c r="A160" s="29"/>
      <c r="O160" s="29"/>
    </row>
    <row r="161" spans="1:15" x14ac:dyDescent="0.3">
      <c r="A161" s="29"/>
      <c r="O161" s="29"/>
    </row>
    <row r="162" spans="1:15" x14ac:dyDescent="0.3">
      <c r="A162" s="29"/>
      <c r="O162" s="29"/>
    </row>
    <row r="163" spans="1:15" x14ac:dyDescent="0.3">
      <c r="A163" s="29"/>
      <c r="O163" s="29"/>
    </row>
    <row r="164" spans="1:15" x14ac:dyDescent="0.3">
      <c r="A164" s="29"/>
      <c r="O164" s="29"/>
    </row>
    <row r="165" spans="1:15" x14ac:dyDescent="0.3">
      <c r="A165" s="29"/>
      <c r="O165" s="29"/>
    </row>
    <row r="166" spans="1:15" x14ac:dyDescent="0.3">
      <c r="A166" s="29"/>
      <c r="O166" s="29"/>
    </row>
    <row r="167" spans="1:15" x14ac:dyDescent="0.3">
      <c r="A167" s="29"/>
      <c r="O167" s="29"/>
    </row>
    <row r="168" spans="1:15" x14ac:dyDescent="0.3">
      <c r="A168" s="29"/>
      <c r="O168" s="29"/>
    </row>
    <row r="169" spans="1:15" x14ac:dyDescent="0.3">
      <c r="A169" s="29"/>
      <c r="O169" s="29"/>
    </row>
    <row r="170" spans="1:15" x14ac:dyDescent="0.3">
      <c r="A170" s="29"/>
      <c r="O170" s="29"/>
    </row>
    <row r="171" spans="1:15" x14ac:dyDescent="0.3">
      <c r="A171" s="29"/>
      <c r="O171" s="29"/>
    </row>
    <row r="172" spans="1:15" x14ac:dyDescent="0.3">
      <c r="A172" s="29"/>
      <c r="O172" s="29"/>
    </row>
    <row r="173" spans="1:15" x14ac:dyDescent="0.3">
      <c r="A173" s="29"/>
      <c r="O173" s="29"/>
    </row>
    <row r="174" spans="1:15" x14ac:dyDescent="0.3">
      <c r="A174" s="29"/>
      <c r="O174" s="29"/>
    </row>
    <row r="175" spans="1:15" x14ac:dyDescent="0.3">
      <c r="A175" s="29"/>
      <c r="O175" s="29"/>
    </row>
    <row r="176" spans="1:15" x14ac:dyDescent="0.3">
      <c r="A176" s="29"/>
      <c r="O176" s="29"/>
    </row>
    <row r="177" spans="1:15" x14ac:dyDescent="0.3">
      <c r="A177" s="29"/>
      <c r="O177" s="29"/>
    </row>
    <row r="178" spans="1:15" x14ac:dyDescent="0.3">
      <c r="A178" s="29"/>
      <c r="O178" s="29"/>
    </row>
    <row r="179" spans="1:15" x14ac:dyDescent="0.3">
      <c r="A179" s="29"/>
      <c r="O179" s="29"/>
    </row>
    <row r="180" spans="1:15" x14ac:dyDescent="0.3">
      <c r="A180" s="29"/>
      <c r="O180" s="29"/>
    </row>
    <row r="181" spans="1:15" x14ac:dyDescent="0.3">
      <c r="A181" s="29"/>
      <c r="O181" s="29"/>
    </row>
    <row r="182" spans="1:15" x14ac:dyDescent="0.3">
      <c r="A182" s="29"/>
      <c r="O182" s="29"/>
    </row>
    <row r="183" spans="1:15" x14ac:dyDescent="0.3">
      <c r="A183" s="29"/>
      <c r="O183" s="29"/>
    </row>
    <row r="184" spans="1:15" x14ac:dyDescent="0.3">
      <c r="A184" s="29"/>
      <c r="O184" s="29"/>
    </row>
    <row r="185" spans="1:15" x14ac:dyDescent="0.3">
      <c r="A185" s="29"/>
      <c r="O185" s="29"/>
    </row>
    <row r="186" spans="1:15" x14ac:dyDescent="0.3">
      <c r="A186" s="29"/>
      <c r="O186" s="29"/>
    </row>
    <row r="187" spans="1:15" x14ac:dyDescent="0.3">
      <c r="A187" s="29"/>
      <c r="O187" s="29"/>
    </row>
    <row r="188" spans="1:15" x14ac:dyDescent="0.3">
      <c r="A188" s="29"/>
      <c r="O188" s="29"/>
    </row>
    <row r="189" spans="1:15" x14ac:dyDescent="0.3">
      <c r="A189" s="29"/>
      <c r="O189" s="29"/>
    </row>
    <row r="190" spans="1:15" x14ac:dyDescent="0.3">
      <c r="A190" s="29"/>
      <c r="O190" s="29"/>
    </row>
    <row r="191" spans="1:15" ht="15" customHeight="1" x14ac:dyDescent="0.3">
      <c r="A191" s="29"/>
      <c r="O191" s="29"/>
    </row>
  </sheetData>
  <autoFilter ref="B18:L523" xr:uid="{90CC504C-82DB-4153-8B29-691B1B9401FB}"/>
  <hyperlinks>
    <hyperlink ref="K11" r:id="rId1" xr:uid="{763A2930-7C79-46C8-99F6-1CC2C23A1A6E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5" name="Drop Down 5">
              <controlPr defaultSize="0" autoLine="0" autoPict="0" macro="[0]!Corrrefresh">
                <anchor moveWithCells="1">
                  <from>
                    <xdr:col>5</xdr:col>
                    <xdr:colOff>45720</xdr:colOff>
                    <xdr:row>10</xdr:row>
                    <xdr:rowOff>7620</xdr:rowOff>
                  </from>
                  <to>
                    <xdr:col>6</xdr:col>
                    <xdr:colOff>381000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6" name="Drop Down 8">
              <controlPr defaultSize="0" autoLine="0" autoPict="0">
                <anchor moveWithCells="1">
                  <from>
                    <xdr:col>5</xdr:col>
                    <xdr:colOff>68580</xdr:colOff>
                    <xdr:row>2</xdr:row>
                    <xdr:rowOff>22860</xdr:rowOff>
                  </from>
                  <to>
                    <xdr:col>6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7" name="Drop Down 9">
              <controlPr defaultSize="0" autoLine="0" autoPict="0">
                <anchor moveWithCells="1">
                  <from>
                    <xdr:col>5</xdr:col>
                    <xdr:colOff>60960</xdr:colOff>
                    <xdr:row>6</xdr:row>
                    <xdr:rowOff>22860</xdr:rowOff>
                  </from>
                  <to>
                    <xdr:col>6</xdr:col>
                    <xdr:colOff>342900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D5674-68A4-42AE-9631-ACE95AD15883}">
  <sheetPr codeName="Sheet27">
    <tabColor rgb="FF7030A0"/>
  </sheetPr>
  <dimension ref="A1:AD39"/>
  <sheetViews>
    <sheetView topLeftCell="A13" workbookViewId="0">
      <selection activeCell="E3" sqref="E3"/>
    </sheetView>
  </sheetViews>
  <sheetFormatPr defaultRowHeight="14.4" x14ac:dyDescent="0.3"/>
  <cols>
    <col min="1" max="1" width="2.109375" customWidth="1"/>
    <col min="2" max="2" width="23.5546875" bestFit="1" customWidth="1"/>
    <col min="3" max="3" width="20" bestFit="1" customWidth="1"/>
    <col min="4" max="4" width="26.5546875" customWidth="1"/>
    <col min="5" max="5" width="30" bestFit="1" customWidth="1"/>
    <col min="11" max="11" width="12.6640625" customWidth="1"/>
  </cols>
  <sheetData>
    <row r="1" spans="1:30" ht="11.25" customHeight="1" x14ac:dyDescent="0.3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0" x14ac:dyDescent="0.3">
      <c r="A2" s="29"/>
      <c r="B2" t="s">
        <v>377</v>
      </c>
      <c r="C2" s="38"/>
      <c r="D2" s="31" t="s">
        <v>375</v>
      </c>
      <c r="E2" s="38"/>
      <c r="F2" t="s">
        <v>361</v>
      </c>
    </row>
    <row r="3" spans="1:30" x14ac:dyDescent="0.3">
      <c r="A3" s="29"/>
      <c r="B3" t="s">
        <v>359</v>
      </c>
      <c r="C3" s="38" t="str">
        <f>Dashboard!L3</f>
        <v>CMA CGM SEMARANG</v>
      </c>
      <c r="D3" s="31" t="s">
        <v>370</v>
      </c>
      <c r="E3" s="38"/>
    </row>
    <row r="4" spans="1:30" x14ac:dyDescent="0.3">
      <c r="A4" s="29"/>
      <c r="B4" t="s">
        <v>360</v>
      </c>
      <c r="C4" s="38" t="str">
        <f>Dashboard!L4</f>
        <v>2412</v>
      </c>
      <c r="D4" s="31" t="s">
        <v>372</v>
      </c>
      <c r="E4" s="40"/>
    </row>
    <row r="5" spans="1:30" ht="15" thickBot="1" x14ac:dyDescent="0.35">
      <c r="A5" s="29"/>
      <c r="B5" t="s">
        <v>353</v>
      </c>
      <c r="C5" s="38" t="s">
        <v>354</v>
      </c>
      <c r="D5" s="41" t="s">
        <v>373</v>
      </c>
      <c r="E5" s="42"/>
    </row>
    <row r="6" spans="1:30" ht="15" thickTop="1" x14ac:dyDescent="0.3">
      <c r="A6" s="29"/>
      <c r="B6" t="s">
        <v>355</v>
      </c>
      <c r="C6" s="38" t="s">
        <v>356</v>
      </c>
    </row>
    <row r="7" spans="1:30" x14ac:dyDescent="0.3">
      <c r="A7" s="29"/>
      <c r="B7" t="s">
        <v>357</v>
      </c>
      <c r="C7" s="38" t="s">
        <v>358</v>
      </c>
    </row>
    <row r="8" spans="1:30" ht="15" thickBot="1" x14ac:dyDescent="0.35">
      <c r="A8" s="29"/>
      <c r="B8" s="45" t="s">
        <v>129</v>
      </c>
      <c r="C8" s="39" t="str" cm="1">
        <f t="array" ref="C8">INDEX(Calculation!I2:J7,Calculation!M5,1)</f>
        <v xml:space="preserve">Auckland </v>
      </c>
    </row>
    <row r="9" spans="1:30" ht="15" thickTop="1" x14ac:dyDescent="0.3">
      <c r="A9" s="29"/>
    </row>
    <row r="10" spans="1:30" x14ac:dyDescent="0.3">
      <c r="A10" s="29"/>
      <c r="E10">
        <v>7</v>
      </c>
    </row>
    <row r="11" spans="1:30" x14ac:dyDescent="0.3">
      <c r="A11" s="29"/>
    </row>
    <row r="12" spans="1:30" x14ac:dyDescent="0.3">
      <c r="A12" s="29"/>
    </row>
    <row r="13" spans="1:30" x14ac:dyDescent="0.3">
      <c r="A13" s="29"/>
      <c r="B13" t="s">
        <v>364</v>
      </c>
    </row>
    <row r="14" spans="1:30" x14ac:dyDescent="0.3">
      <c r="A14" s="29"/>
    </row>
    <row r="15" spans="1:30" x14ac:dyDescent="0.3">
      <c r="A15" s="29"/>
      <c r="B15" s="4" t="str">
        <f>"Bookings for  vessel "&amp;C3&amp;" "&amp;C4&amp;", ex "&amp;C8&amp;""</f>
        <v xml:space="preserve">Bookings for  vessel CMA CGM SEMARANG 2412, ex Auckland </v>
      </c>
    </row>
    <row r="16" spans="1:30" x14ac:dyDescent="0.3">
      <c r="A16" s="29"/>
    </row>
    <row r="17" spans="1:2" x14ac:dyDescent="0.3">
      <c r="A17" s="29"/>
      <c r="B17" t="s">
        <v>391</v>
      </c>
    </row>
    <row r="18" spans="1:2" x14ac:dyDescent="0.3">
      <c r="A18" s="29"/>
    </row>
    <row r="19" spans="1:2" x14ac:dyDescent="0.3">
      <c r="A19" s="29"/>
      <c r="B19" s="4" t="str">
        <f xml:space="preserve"> "Pre-advise reminder for bookings for  vessel "&amp;C3&amp;" "&amp;C4&amp;", ex "&amp;C8&amp;""</f>
        <v xml:space="preserve">Pre-advise reminder for bookings for  vessel CMA CGM SEMARANG 2412, ex Auckland </v>
      </c>
    </row>
    <row r="20" spans="1:2" x14ac:dyDescent="0.3">
      <c r="A20" s="29"/>
    </row>
    <row r="21" spans="1:2" x14ac:dyDescent="0.3">
      <c r="A21" s="29"/>
      <c r="B21" t="s">
        <v>365</v>
      </c>
    </row>
    <row r="22" spans="1:2" x14ac:dyDescent="0.3">
      <c r="A22" s="29"/>
    </row>
    <row r="23" spans="1:2" x14ac:dyDescent="0.3">
      <c r="A23" s="29"/>
      <c r="B23" s="4" t="str">
        <f>"Containers mismatch in booking(s) for  vessel "&amp;C3&amp;" "&amp;C4&amp;", ex "&amp;C8&amp;""</f>
        <v xml:space="preserve">Containers mismatch in booking(s) for  vessel CMA CGM SEMARANG 2412, ex Auckland </v>
      </c>
    </row>
    <row r="24" spans="1:2" x14ac:dyDescent="0.3">
      <c r="A24" s="29"/>
    </row>
    <row r="25" spans="1:2" x14ac:dyDescent="0.3">
      <c r="A25" s="29"/>
      <c r="B25" t="s">
        <v>366</v>
      </c>
    </row>
    <row r="26" spans="1:2" x14ac:dyDescent="0.3">
      <c r="A26" s="29"/>
    </row>
    <row r="27" spans="1:2" x14ac:dyDescent="0.3">
      <c r="A27" s="29"/>
      <c r="B27" s="4" t="str">
        <f>"POD mismatch in booking(s) for  vessel "&amp;C3&amp;" "&amp;C4&amp;", ex "&amp;C8&amp;""</f>
        <v xml:space="preserve">POD mismatch in booking(s) for  vessel CMA CGM SEMARANG 2412, ex Auckland </v>
      </c>
    </row>
    <row r="28" spans="1:2" x14ac:dyDescent="0.3">
      <c r="A28" s="29"/>
    </row>
    <row r="29" spans="1:2" x14ac:dyDescent="0.3">
      <c r="A29" s="29"/>
      <c r="B29" t="s">
        <v>367</v>
      </c>
    </row>
    <row r="30" spans="1:2" x14ac:dyDescent="0.3">
      <c r="A30" s="29"/>
    </row>
    <row r="31" spans="1:2" x14ac:dyDescent="0.3">
      <c r="A31" s="29"/>
      <c r="B31" s="4" t="str">
        <f>"Temperature settings mismatch in booking(s) for  vessel "&amp;C3&amp;" "&amp;C4&amp;", ex "&amp;C8&amp;""</f>
        <v xml:space="preserve">Temperature settings mismatch in booking(s) for  vessel CMA CGM SEMARANG 2412, ex Auckland </v>
      </c>
    </row>
    <row r="32" spans="1:2" x14ac:dyDescent="0.3">
      <c r="A32" s="29"/>
    </row>
    <row r="33" spans="1:25" x14ac:dyDescent="0.3">
      <c r="A33" s="29"/>
      <c r="B33" t="s">
        <v>368</v>
      </c>
    </row>
    <row r="34" spans="1:25" x14ac:dyDescent="0.3">
      <c r="A34" s="29"/>
    </row>
    <row r="35" spans="1:25" x14ac:dyDescent="0.3">
      <c r="A35" s="29"/>
      <c r="B35" s="4" t="str">
        <f>"URGENT CEDO reminder for booking(s) for  vessel "&amp;C3&amp;" "&amp;C4&amp;", ex "&amp;C8&amp;""</f>
        <v xml:space="preserve">URGENT CEDO reminder for booking(s) for  vessel CMA CGM SEMARANG 2412, ex Auckland </v>
      </c>
    </row>
    <row r="36" spans="1:25" x14ac:dyDescent="0.3">
      <c r="A36" s="29"/>
    </row>
    <row r="37" spans="1:25" x14ac:dyDescent="0.3">
      <c r="A37" s="29"/>
      <c r="B37" t="s">
        <v>369</v>
      </c>
    </row>
    <row r="38" spans="1:25" x14ac:dyDescent="0.3">
      <c r="A38" s="29"/>
    </row>
    <row r="39" spans="1:25" ht="12" customHeight="1" x14ac:dyDescent="0.3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30070-1B93-4329-B85F-4994B645D7D6}">
  <sheetPr codeName="Sheet24">
    <tabColor rgb="FF7030A0"/>
  </sheetPr>
  <dimension ref="A1:G22"/>
  <sheetViews>
    <sheetView workbookViewId="0">
      <selection activeCell="C17" sqref="C17"/>
    </sheetView>
  </sheetViews>
  <sheetFormatPr defaultRowHeight="14.4" x14ac:dyDescent="0.3"/>
  <cols>
    <col min="1" max="1" width="29.33203125" bestFit="1" customWidth="1"/>
    <col min="2" max="2" width="9" bestFit="1" customWidth="1"/>
    <col min="3" max="3" width="10.21875" bestFit="1" customWidth="1"/>
    <col min="6" max="6" width="24.6640625" customWidth="1"/>
    <col min="7" max="7" width="9" customWidth="1"/>
  </cols>
  <sheetData>
    <row r="1" spans="1:7" ht="15" thickBot="1" x14ac:dyDescent="0.35">
      <c r="A1" t="s">
        <v>10</v>
      </c>
      <c r="B1" t="s">
        <v>311</v>
      </c>
      <c r="C1" t="s">
        <v>60</v>
      </c>
      <c r="F1" s="24" t="s">
        <v>312</v>
      </c>
    </row>
    <row r="2" spans="1:7" x14ac:dyDescent="0.3">
      <c r="A2" t="s">
        <v>537</v>
      </c>
      <c r="B2" t="s">
        <v>87</v>
      </c>
      <c r="F2" s="25" t="s">
        <v>313</v>
      </c>
    </row>
    <row r="3" spans="1:7" x14ac:dyDescent="0.3">
      <c r="A3" t="s">
        <v>471</v>
      </c>
      <c r="B3" t="s">
        <v>87</v>
      </c>
      <c r="F3" s="26" t="s">
        <v>314</v>
      </c>
    </row>
    <row r="4" spans="1:7" x14ac:dyDescent="0.3">
      <c r="A4" t="s">
        <v>477</v>
      </c>
      <c r="B4" t="s">
        <v>87</v>
      </c>
      <c r="F4" s="26" t="s">
        <v>315</v>
      </c>
    </row>
    <row r="5" spans="1:7" x14ac:dyDescent="0.3">
      <c r="A5" t="s">
        <v>660</v>
      </c>
      <c r="B5" t="s">
        <v>87</v>
      </c>
      <c r="F5" s="26" t="s">
        <v>316</v>
      </c>
    </row>
    <row r="6" spans="1:7" ht="15" thickBot="1" x14ac:dyDescent="0.35">
      <c r="A6" t="s">
        <v>641</v>
      </c>
      <c r="B6" t="s">
        <v>87</v>
      </c>
      <c r="F6" s="28"/>
    </row>
    <row r="7" spans="1:7" x14ac:dyDescent="0.3">
      <c r="A7" t="s">
        <v>475</v>
      </c>
      <c r="B7" t="s">
        <v>87</v>
      </c>
    </row>
    <row r="8" spans="1:7" x14ac:dyDescent="0.3">
      <c r="A8" t="s">
        <v>652</v>
      </c>
      <c r="B8" t="s">
        <v>87</v>
      </c>
      <c r="F8" s="33" t="s">
        <v>328</v>
      </c>
      <c r="G8" s="34"/>
    </row>
    <row r="9" spans="1:7" x14ac:dyDescent="0.3">
      <c r="A9" t="s">
        <v>476</v>
      </c>
      <c r="B9" t="s">
        <v>87</v>
      </c>
      <c r="F9" s="30" t="s">
        <v>331</v>
      </c>
      <c r="G9" s="35"/>
    </row>
    <row r="10" spans="1:7" x14ac:dyDescent="0.3">
      <c r="A10" t="s">
        <v>543</v>
      </c>
      <c r="B10" t="s">
        <v>87</v>
      </c>
      <c r="F10" s="30" t="s">
        <v>329</v>
      </c>
      <c r="G10" s="35"/>
    </row>
    <row r="11" spans="1:7" x14ac:dyDescent="0.3">
      <c r="A11" t="s">
        <v>647</v>
      </c>
      <c r="B11" t="s">
        <v>87</v>
      </c>
      <c r="F11" s="36" t="s">
        <v>330</v>
      </c>
      <c r="G11" s="37"/>
    </row>
    <row r="12" spans="1:7" x14ac:dyDescent="0.3">
      <c r="A12" t="s">
        <v>668</v>
      </c>
      <c r="B12" t="s">
        <v>87</v>
      </c>
    </row>
    <row r="13" spans="1:7" x14ac:dyDescent="0.3">
      <c r="A13" t="s">
        <v>536</v>
      </c>
      <c r="B13" t="s">
        <v>87</v>
      </c>
      <c r="F13" s="33" t="s">
        <v>332</v>
      </c>
      <c r="G13" s="34"/>
    </row>
    <row r="14" spans="1:7" x14ac:dyDescent="0.3">
      <c r="A14" t="s">
        <v>812</v>
      </c>
      <c r="B14" t="s">
        <v>87</v>
      </c>
      <c r="F14" s="30" t="s">
        <v>334</v>
      </c>
      <c r="G14" s="35"/>
    </row>
    <row r="15" spans="1:7" x14ac:dyDescent="0.3">
      <c r="A15" t="s">
        <v>473</v>
      </c>
      <c r="B15" t="s">
        <v>87</v>
      </c>
      <c r="F15" s="36" t="s">
        <v>333</v>
      </c>
      <c r="G15" s="37"/>
    </row>
    <row r="16" spans="1:7" x14ac:dyDescent="0.3">
      <c r="A16" t="s">
        <v>261</v>
      </c>
      <c r="B16" t="s">
        <v>87</v>
      </c>
    </row>
    <row r="17" spans="1:3" x14ac:dyDescent="0.3">
      <c r="A17" t="s">
        <v>454</v>
      </c>
      <c r="B17" t="s">
        <v>87</v>
      </c>
      <c r="C17" t="s">
        <v>313</v>
      </c>
    </row>
    <row r="18" spans="1:3" x14ac:dyDescent="0.3">
      <c r="A18" t="s">
        <v>540</v>
      </c>
      <c r="B18" t="s">
        <v>87</v>
      </c>
    </row>
    <row r="19" spans="1:3" x14ac:dyDescent="0.3">
      <c r="A19" t="s">
        <v>679</v>
      </c>
      <c r="B19" t="s">
        <v>260</v>
      </c>
    </row>
    <row r="20" spans="1:3" x14ac:dyDescent="0.3">
      <c r="A20" t="s">
        <v>667</v>
      </c>
      <c r="B20" t="s">
        <v>260</v>
      </c>
    </row>
    <row r="21" spans="1:3" x14ac:dyDescent="0.3">
      <c r="A21" t="s">
        <v>659</v>
      </c>
      <c r="B21" t="s">
        <v>260</v>
      </c>
    </row>
    <row r="22" spans="1:3" x14ac:dyDescent="0.3">
      <c r="A22" t="s">
        <v>472</v>
      </c>
      <c r="B22" t="s">
        <v>260</v>
      </c>
    </row>
  </sheetData>
  <phoneticPr fontId="3" type="noConversion"/>
  <dataValidations count="1">
    <dataValidation type="list" showInputMessage="1" showErrorMessage="1" sqref="C2:C22" xr:uid="{63D7C2B6-D302-4773-A55B-34EA5AEF9EDF}">
      <formula1>$F$2:$F$6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06EE6-EDC9-48B7-882A-79B16E8DC0EE}">
  <sheetPr codeName="Sheet28">
    <tabColor rgb="FF7030A0"/>
  </sheetPr>
  <dimension ref="A1:C58"/>
  <sheetViews>
    <sheetView workbookViewId="0">
      <selection activeCell="A2" sqref="A2:C58"/>
    </sheetView>
  </sheetViews>
  <sheetFormatPr defaultRowHeight="14.4" x14ac:dyDescent="0.3"/>
  <cols>
    <col min="1" max="1" width="37.6640625" bestFit="1" customWidth="1"/>
    <col min="2" max="2" width="50.88671875" bestFit="1" customWidth="1"/>
    <col min="3" max="3" width="26.109375" bestFit="1" customWidth="1"/>
  </cols>
  <sheetData>
    <row r="1" spans="1:3" x14ac:dyDescent="0.3">
      <c r="A1" t="s">
        <v>381</v>
      </c>
      <c r="B1" t="s">
        <v>382</v>
      </c>
      <c r="C1" t="s">
        <v>383</v>
      </c>
    </row>
    <row r="2" spans="1:3" x14ac:dyDescent="0.3">
      <c r="B2" s="43"/>
    </row>
    <row r="3" spans="1:3" x14ac:dyDescent="0.3">
      <c r="B3" s="43"/>
    </row>
    <row r="4" spans="1:3" x14ac:dyDescent="0.3">
      <c r="B4" s="43"/>
      <c r="C4" s="44"/>
    </row>
    <row r="5" spans="1:3" x14ac:dyDescent="0.3">
      <c r="B5" s="43"/>
    </row>
    <row r="6" spans="1:3" x14ac:dyDescent="0.3">
      <c r="A6" s="62"/>
      <c r="B6" s="62"/>
    </row>
    <row r="7" spans="1:3" x14ac:dyDescent="0.3">
      <c r="B7" s="43"/>
    </row>
    <row r="8" spans="1:3" x14ac:dyDescent="0.3">
      <c r="B8" s="43"/>
    </row>
    <row r="9" spans="1:3" x14ac:dyDescent="0.3">
      <c r="B9" s="43"/>
    </row>
    <row r="10" spans="1:3" x14ac:dyDescent="0.3">
      <c r="B10" s="43"/>
    </row>
    <row r="11" spans="1:3" x14ac:dyDescent="0.3">
      <c r="B11" s="43"/>
    </row>
    <row r="12" spans="1:3" x14ac:dyDescent="0.3">
      <c r="B12" s="43"/>
    </row>
    <row r="13" spans="1:3" x14ac:dyDescent="0.3">
      <c r="B13" s="43"/>
    </row>
    <row r="14" spans="1:3" x14ac:dyDescent="0.3">
      <c r="B14" s="43"/>
    </row>
    <row r="15" spans="1:3" x14ac:dyDescent="0.3">
      <c r="B15" s="43"/>
    </row>
    <row r="16" spans="1:3" x14ac:dyDescent="0.3">
      <c r="B16" s="43"/>
    </row>
    <row r="17" spans="1:2" x14ac:dyDescent="0.3">
      <c r="B17" s="43"/>
    </row>
    <row r="18" spans="1:2" x14ac:dyDescent="0.3">
      <c r="B18" s="43"/>
    </row>
    <row r="19" spans="1:2" x14ac:dyDescent="0.3">
      <c r="A19" s="62"/>
      <c r="B19" s="62"/>
    </row>
    <row r="20" spans="1:2" x14ac:dyDescent="0.3">
      <c r="B20" s="44"/>
    </row>
    <row r="21" spans="1:2" x14ac:dyDescent="0.3">
      <c r="B21" s="43"/>
    </row>
    <row r="22" spans="1:2" x14ac:dyDescent="0.3">
      <c r="B22" s="43"/>
    </row>
    <row r="23" spans="1:2" x14ac:dyDescent="0.3">
      <c r="B23" s="43"/>
    </row>
    <row r="24" spans="1:2" x14ac:dyDescent="0.3">
      <c r="B24" s="43"/>
    </row>
    <row r="25" spans="1:2" x14ac:dyDescent="0.3">
      <c r="B25" s="43"/>
    </row>
    <row r="26" spans="1:2" x14ac:dyDescent="0.3">
      <c r="B26" s="43"/>
    </row>
    <row r="27" spans="1:2" x14ac:dyDescent="0.3">
      <c r="B27" s="43"/>
    </row>
    <row r="28" spans="1:2" x14ac:dyDescent="0.3">
      <c r="B28" s="43"/>
    </row>
    <row r="29" spans="1:2" x14ac:dyDescent="0.3">
      <c r="A29" s="62"/>
    </row>
    <row r="31" spans="1:2" x14ac:dyDescent="0.3">
      <c r="B31" s="43"/>
    </row>
    <row r="32" spans="1:2" x14ac:dyDescent="0.3">
      <c r="B32" s="43"/>
    </row>
    <row r="33" spans="1:3" x14ac:dyDescent="0.3">
      <c r="B33" s="44"/>
    </row>
    <row r="34" spans="1:3" x14ac:dyDescent="0.3">
      <c r="B34" s="43"/>
    </row>
    <row r="35" spans="1:3" x14ac:dyDescent="0.3">
      <c r="B35" s="43"/>
    </row>
    <row r="36" spans="1:3" x14ac:dyDescent="0.3">
      <c r="B36" s="43"/>
      <c r="C36" s="43"/>
    </row>
    <row r="37" spans="1:3" x14ac:dyDescent="0.3">
      <c r="B37" s="43"/>
    </row>
    <row r="38" spans="1:3" x14ac:dyDescent="0.3">
      <c r="B38" s="43"/>
    </row>
    <row r="39" spans="1:3" x14ac:dyDescent="0.3">
      <c r="B39" s="43"/>
    </row>
    <row r="40" spans="1:3" x14ac:dyDescent="0.3">
      <c r="B40" s="43"/>
    </row>
    <row r="41" spans="1:3" x14ac:dyDescent="0.3">
      <c r="A41" s="62"/>
    </row>
    <row r="42" spans="1:3" x14ac:dyDescent="0.3">
      <c r="B42" s="43"/>
    </row>
    <row r="43" spans="1:3" x14ac:dyDescent="0.3">
      <c r="B43" s="43"/>
    </row>
    <row r="44" spans="1:3" x14ac:dyDescent="0.3">
      <c r="B44" s="43"/>
    </row>
    <row r="45" spans="1:3" x14ac:dyDescent="0.3">
      <c r="B45" s="43"/>
    </row>
    <row r="46" spans="1:3" x14ac:dyDescent="0.3">
      <c r="B46" s="43"/>
    </row>
    <row r="47" spans="1:3" x14ac:dyDescent="0.3">
      <c r="B47" s="43"/>
    </row>
    <row r="48" spans="1:3" x14ac:dyDescent="0.3">
      <c r="B48" s="43"/>
    </row>
    <row r="49" spans="1:2" x14ac:dyDescent="0.3">
      <c r="A49" s="63"/>
      <c r="B49" s="43"/>
    </row>
    <row r="50" spans="1:2" x14ac:dyDescent="0.3">
      <c r="A50" s="63"/>
      <c r="B50" s="43"/>
    </row>
    <row r="53" spans="1:2" x14ac:dyDescent="0.3">
      <c r="A53" s="63"/>
      <c r="B53" s="64"/>
    </row>
    <row r="54" spans="1:2" x14ac:dyDescent="0.3">
      <c r="B54" s="43"/>
    </row>
    <row r="55" spans="1:2" x14ac:dyDescent="0.3">
      <c r="A55" s="63"/>
      <c r="B55" s="64"/>
    </row>
    <row r="57" spans="1:2" x14ac:dyDescent="0.3">
      <c r="A57" s="60"/>
      <c r="B57" s="60"/>
    </row>
    <row r="58" spans="1:2" ht="15.6" x14ac:dyDescent="0.3">
      <c r="A58" s="60"/>
      <c r="B58" s="6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C9ACA-CE5C-45DC-9B11-E345060D7E33}">
  <sheetPr codeName="Sheet9">
    <tabColor rgb="FF7030A0"/>
  </sheetPr>
  <dimension ref="A1:B44"/>
  <sheetViews>
    <sheetView topLeftCell="A22" workbookViewId="0">
      <selection activeCell="E50" sqref="E50"/>
    </sheetView>
  </sheetViews>
  <sheetFormatPr defaultRowHeight="14.4" x14ac:dyDescent="0.3"/>
  <cols>
    <col min="1" max="1" width="26.33203125" bestFit="1" customWidth="1"/>
    <col min="2" max="2" width="7.6640625" bestFit="1" customWidth="1"/>
  </cols>
  <sheetData>
    <row r="1" spans="1:2" x14ac:dyDescent="0.3">
      <c r="A1" t="s">
        <v>141</v>
      </c>
      <c r="B1" t="s">
        <v>142</v>
      </c>
    </row>
    <row r="2" spans="1:2" x14ac:dyDescent="0.3">
      <c r="A2" t="s">
        <v>143</v>
      </c>
      <c r="B2" t="s">
        <v>79</v>
      </c>
    </row>
    <row r="3" spans="1:2" x14ac:dyDescent="0.3">
      <c r="A3" t="s">
        <v>144</v>
      </c>
      <c r="B3" t="s">
        <v>145</v>
      </c>
    </row>
    <row r="4" spans="1:2" x14ac:dyDescent="0.3">
      <c r="A4" t="s">
        <v>146</v>
      </c>
      <c r="B4" t="s">
        <v>147</v>
      </c>
    </row>
    <row r="5" spans="1:2" x14ac:dyDescent="0.3">
      <c r="A5" t="s">
        <v>148</v>
      </c>
      <c r="B5" t="s">
        <v>149</v>
      </c>
    </row>
    <row r="6" spans="1:2" x14ac:dyDescent="0.3">
      <c r="A6" t="s">
        <v>150</v>
      </c>
      <c r="B6" t="s">
        <v>80</v>
      </c>
    </row>
    <row r="7" spans="1:2" x14ac:dyDescent="0.3">
      <c r="A7" t="s">
        <v>151</v>
      </c>
      <c r="B7" t="s">
        <v>152</v>
      </c>
    </row>
    <row r="8" spans="1:2" x14ac:dyDescent="0.3">
      <c r="A8" t="s">
        <v>153</v>
      </c>
      <c r="B8" t="s">
        <v>82</v>
      </c>
    </row>
    <row r="9" spans="1:2" x14ac:dyDescent="0.3">
      <c r="A9" t="s">
        <v>154</v>
      </c>
      <c r="B9" t="s">
        <v>155</v>
      </c>
    </row>
    <row r="10" spans="1:2" x14ac:dyDescent="0.3">
      <c r="A10" t="s">
        <v>156</v>
      </c>
      <c r="B10" t="s">
        <v>157</v>
      </c>
    </row>
    <row r="11" spans="1:2" x14ac:dyDescent="0.3">
      <c r="A11" t="s">
        <v>158</v>
      </c>
      <c r="B11" t="s">
        <v>159</v>
      </c>
    </row>
    <row r="12" spans="1:2" x14ac:dyDescent="0.3">
      <c r="A12" t="s">
        <v>160</v>
      </c>
      <c r="B12" t="s">
        <v>161</v>
      </c>
    </row>
    <row r="13" spans="1:2" x14ac:dyDescent="0.3">
      <c r="A13" t="s">
        <v>162</v>
      </c>
      <c r="B13" t="s">
        <v>163</v>
      </c>
    </row>
    <row r="14" spans="1:2" x14ac:dyDescent="0.3">
      <c r="A14" t="s">
        <v>164</v>
      </c>
      <c r="B14" t="s">
        <v>165</v>
      </c>
    </row>
    <row r="15" spans="1:2" x14ac:dyDescent="0.3">
      <c r="A15" t="s">
        <v>166</v>
      </c>
      <c r="B15" t="s">
        <v>167</v>
      </c>
    </row>
    <row r="16" spans="1:2" x14ac:dyDescent="0.3">
      <c r="A16" t="s">
        <v>168</v>
      </c>
      <c r="B16" t="s">
        <v>169</v>
      </c>
    </row>
    <row r="17" spans="1:2" x14ac:dyDescent="0.3">
      <c r="A17" t="s">
        <v>170</v>
      </c>
      <c r="B17" t="s">
        <v>171</v>
      </c>
    </row>
    <row r="18" spans="1:2" x14ac:dyDescent="0.3">
      <c r="A18" t="s">
        <v>172</v>
      </c>
      <c r="B18" t="s">
        <v>76</v>
      </c>
    </row>
    <row r="19" spans="1:2" x14ac:dyDescent="0.3">
      <c r="A19" t="s">
        <v>173</v>
      </c>
      <c r="B19" t="s">
        <v>78</v>
      </c>
    </row>
    <row r="20" spans="1:2" x14ac:dyDescent="0.3">
      <c r="A20" t="s">
        <v>174</v>
      </c>
      <c r="B20" t="s">
        <v>81</v>
      </c>
    </row>
    <row r="21" spans="1:2" x14ac:dyDescent="0.3">
      <c r="A21" t="s">
        <v>175</v>
      </c>
      <c r="B21" t="s">
        <v>176</v>
      </c>
    </row>
    <row r="22" spans="1:2" x14ac:dyDescent="0.3">
      <c r="A22" t="s">
        <v>52</v>
      </c>
      <c r="B22" t="s">
        <v>177</v>
      </c>
    </row>
    <row r="23" spans="1:2" x14ac:dyDescent="0.3">
      <c r="A23" t="s">
        <v>53</v>
      </c>
      <c r="B23" t="s">
        <v>89</v>
      </c>
    </row>
    <row r="24" spans="1:2" x14ac:dyDescent="0.3">
      <c r="A24" t="s">
        <v>54</v>
      </c>
      <c r="B24" t="s">
        <v>88</v>
      </c>
    </row>
    <row r="25" spans="1:2" x14ac:dyDescent="0.3">
      <c r="A25" t="s">
        <v>69</v>
      </c>
      <c r="B25" t="s">
        <v>75</v>
      </c>
    </row>
    <row r="26" spans="1:2" x14ac:dyDescent="0.3">
      <c r="A26" t="s">
        <v>68</v>
      </c>
      <c r="B26" t="s">
        <v>88</v>
      </c>
    </row>
    <row r="27" spans="1:2" x14ac:dyDescent="0.3">
      <c r="A27" t="s">
        <v>70</v>
      </c>
      <c r="B27" t="s">
        <v>89</v>
      </c>
    </row>
    <row r="28" spans="1:2" x14ac:dyDescent="0.3">
      <c r="A28" t="s">
        <v>122</v>
      </c>
      <c r="B28" t="s">
        <v>75</v>
      </c>
    </row>
    <row r="29" spans="1:2" x14ac:dyDescent="0.3">
      <c r="A29" t="s">
        <v>299</v>
      </c>
      <c r="B29" t="s">
        <v>298</v>
      </c>
    </row>
    <row r="30" spans="1:2" x14ac:dyDescent="0.3">
      <c r="A30" t="s">
        <v>181</v>
      </c>
      <c r="B30" t="s">
        <v>83</v>
      </c>
    </row>
    <row r="31" spans="1:2" x14ac:dyDescent="0.3">
      <c r="A31" t="s">
        <v>346</v>
      </c>
      <c r="B31" t="s">
        <v>77</v>
      </c>
    </row>
    <row r="32" spans="1:2" x14ac:dyDescent="0.3">
      <c r="A32" t="s">
        <v>125</v>
      </c>
      <c r="B32" t="s">
        <v>339</v>
      </c>
    </row>
    <row r="33" spans="1:2" x14ac:dyDescent="0.3">
      <c r="A33" t="s">
        <v>347</v>
      </c>
      <c r="B33" t="s">
        <v>298</v>
      </c>
    </row>
    <row r="34" spans="1:2" x14ac:dyDescent="0.3">
      <c r="A34" t="s">
        <v>55</v>
      </c>
      <c r="B34" t="s">
        <v>259</v>
      </c>
    </row>
    <row r="35" spans="1:2" x14ac:dyDescent="0.3">
      <c r="A35" t="s">
        <v>349</v>
      </c>
      <c r="B35" t="s">
        <v>350</v>
      </c>
    </row>
    <row r="36" spans="1:2" x14ac:dyDescent="0.3">
      <c r="A36" t="s">
        <v>352</v>
      </c>
      <c r="B36" t="s">
        <v>351</v>
      </c>
    </row>
    <row r="37" spans="1:2" x14ac:dyDescent="0.3">
      <c r="A37" t="s">
        <v>348</v>
      </c>
      <c r="B37" t="s">
        <v>387</v>
      </c>
    </row>
    <row r="38" spans="1:2" x14ac:dyDescent="0.3">
      <c r="A38" t="s">
        <v>453</v>
      </c>
      <c r="B38" t="s">
        <v>456</v>
      </c>
    </row>
    <row r="39" spans="1:2" x14ac:dyDescent="0.3">
      <c r="A39" t="s">
        <v>458</v>
      </c>
      <c r="B39" t="s">
        <v>394</v>
      </c>
    </row>
    <row r="40" spans="1:2" x14ac:dyDescent="0.3">
      <c r="A40" t="s">
        <v>390</v>
      </c>
      <c r="B40" t="s">
        <v>393</v>
      </c>
    </row>
    <row r="41" spans="1:2" x14ac:dyDescent="0.3">
      <c r="A41" t="s">
        <v>459</v>
      </c>
      <c r="B41" t="s">
        <v>460</v>
      </c>
    </row>
    <row r="42" spans="1:2" x14ac:dyDescent="0.3">
      <c r="A42" t="s">
        <v>123</v>
      </c>
      <c r="B42" t="s">
        <v>350</v>
      </c>
    </row>
    <row r="43" spans="1:2" x14ac:dyDescent="0.3">
      <c r="A43" t="s">
        <v>461</v>
      </c>
      <c r="B43" t="s">
        <v>464</v>
      </c>
    </row>
    <row r="44" spans="1:2" x14ac:dyDescent="0.3">
      <c r="A44" t="s">
        <v>126</v>
      </c>
      <c r="B44" t="s">
        <v>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-0.249977111117893"/>
  </sheetPr>
  <dimension ref="A1:BI760"/>
  <sheetViews>
    <sheetView workbookViewId="0">
      <selection activeCell="A2" sqref="A2:BI762"/>
    </sheetView>
  </sheetViews>
  <sheetFormatPr defaultRowHeight="14.4" x14ac:dyDescent="0.3"/>
  <cols>
    <col min="1" max="1" width="13.5546875" bestFit="1" customWidth="1"/>
    <col min="2" max="2" width="21.5546875" customWidth="1"/>
    <col min="3" max="3" width="12.44140625" customWidth="1"/>
    <col min="4" max="5" width="10.44140625" customWidth="1"/>
    <col min="6" max="6" width="12.5546875" bestFit="1" customWidth="1"/>
    <col min="7" max="7" width="9.33203125" customWidth="1"/>
    <col min="8" max="8" width="20" bestFit="1" customWidth="1"/>
    <col min="10" max="10" width="20.44140625" customWidth="1"/>
    <col min="11" max="11" width="8.88671875" customWidth="1"/>
    <col min="12" max="12" width="12.6640625" customWidth="1"/>
    <col min="13" max="13" width="8.88671875" customWidth="1"/>
    <col min="14" max="14" width="19.109375" customWidth="1"/>
    <col min="15" max="15" width="24.33203125" customWidth="1"/>
    <col min="16" max="16" width="24.33203125" bestFit="1" customWidth="1"/>
    <col min="17" max="17" width="27.5546875" customWidth="1"/>
    <col min="18" max="18" width="20.6640625" customWidth="1"/>
    <col min="21" max="21" width="10.5546875" customWidth="1"/>
    <col min="22" max="22" width="11.6640625" customWidth="1"/>
    <col min="23" max="23" width="12.6640625" customWidth="1"/>
    <col min="24" max="24" width="17" customWidth="1"/>
    <col min="25" max="25" width="21.6640625" customWidth="1"/>
    <col min="26" max="26" width="18.6640625" customWidth="1"/>
    <col min="27" max="27" width="20" customWidth="1"/>
    <col min="29" max="29" width="15.33203125" customWidth="1"/>
    <col min="30" max="30" width="8.88671875" customWidth="1"/>
    <col min="31" max="31" width="15.6640625" customWidth="1"/>
    <col min="32" max="32" width="21.6640625" customWidth="1"/>
    <col min="33" max="33" width="24.44140625" customWidth="1"/>
    <col min="34" max="34" width="23.6640625" customWidth="1"/>
    <col min="35" max="35" width="32.6640625" customWidth="1"/>
    <col min="36" max="36" width="35.44140625" customWidth="1"/>
    <col min="37" max="37" width="14.6640625" customWidth="1"/>
    <col min="38" max="38" width="20" customWidth="1"/>
    <col min="39" max="39" width="15.33203125" customWidth="1"/>
    <col min="40" max="40" width="17.44140625" customWidth="1"/>
    <col min="41" max="41" width="21.33203125" customWidth="1"/>
    <col min="42" max="42" width="17.44140625" customWidth="1"/>
    <col min="43" max="43" width="18.6640625" bestFit="1" customWidth="1"/>
    <col min="44" max="44" width="10.44140625" customWidth="1"/>
    <col min="45" max="45" width="20.33203125" customWidth="1"/>
    <col min="46" max="46" width="11.33203125" customWidth="1"/>
    <col min="47" max="47" width="23" customWidth="1"/>
    <col min="48" max="48" width="20.33203125" customWidth="1"/>
    <col min="49" max="50" width="16.109375" customWidth="1"/>
    <col min="51" max="51" width="21.5546875" customWidth="1"/>
    <col min="52" max="52" width="14.88671875" customWidth="1"/>
    <col min="53" max="53" width="18.6640625" customWidth="1"/>
    <col min="54" max="54" width="33.6640625" bestFit="1" customWidth="1"/>
    <col min="55" max="55" width="22.88671875" customWidth="1"/>
    <col min="56" max="56" width="15.33203125" customWidth="1"/>
    <col min="57" max="57" width="14.33203125" customWidth="1"/>
    <col min="58" max="58" width="18.6640625" customWidth="1"/>
    <col min="59" max="59" width="20.33203125" customWidth="1"/>
    <col min="60" max="60" width="21.6640625" customWidth="1"/>
    <col min="61" max="61" width="23.109375" customWidth="1"/>
    <col min="62" max="62" width="8.88671875" customWidth="1"/>
  </cols>
  <sheetData>
    <row r="1" spans="1:61" x14ac:dyDescent="0.3">
      <c r="A1" s="4" t="s">
        <v>128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4" t="s">
        <v>6</v>
      </c>
      <c r="I1" s="4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5" t="s">
        <v>129</v>
      </c>
      <c r="P1" s="4" t="s">
        <v>63</v>
      </c>
      <c r="Q1" t="s">
        <v>14</v>
      </c>
      <c r="R1" s="4" t="s">
        <v>86</v>
      </c>
      <c r="S1" s="4" t="s">
        <v>130</v>
      </c>
      <c r="T1" s="4" t="s">
        <v>131</v>
      </c>
      <c r="U1" s="4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s="4" t="s">
        <v>132</v>
      </c>
      <c r="AC1" t="s">
        <v>22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s="4" t="s">
        <v>133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s="4" t="s">
        <v>94</v>
      </c>
      <c r="BA1" t="s">
        <v>44</v>
      </c>
      <c r="BB1" t="s">
        <v>337</v>
      </c>
      <c r="BC1" t="s">
        <v>45</v>
      </c>
      <c r="BD1" t="s">
        <v>46</v>
      </c>
      <c r="BE1" t="s">
        <v>47</v>
      </c>
      <c r="BF1" t="s">
        <v>48</v>
      </c>
      <c r="BG1" t="s">
        <v>49</v>
      </c>
      <c r="BH1" t="s">
        <v>50</v>
      </c>
      <c r="BI1" t="s">
        <v>51</v>
      </c>
    </row>
    <row r="2" spans="1:61" x14ac:dyDescent="0.3">
      <c r="B2" s="1"/>
      <c r="J2" s="2"/>
      <c r="AN2" s="1"/>
      <c r="AO2" s="1"/>
      <c r="AP2" s="1"/>
      <c r="AW2" s="1"/>
      <c r="AX2" s="1"/>
      <c r="BD2" s="1"/>
    </row>
    <row r="3" spans="1:61" x14ac:dyDescent="0.3">
      <c r="B3" s="1"/>
      <c r="J3" s="2"/>
      <c r="AN3" s="1"/>
      <c r="AP3" s="1"/>
      <c r="AW3" s="1"/>
      <c r="AX3" s="1"/>
      <c r="BD3" s="1"/>
    </row>
    <row r="4" spans="1:61" x14ac:dyDescent="0.3">
      <c r="B4" s="1"/>
      <c r="J4" s="2"/>
      <c r="AN4" s="1"/>
      <c r="AO4" s="1"/>
      <c r="AW4" s="1"/>
      <c r="AX4" s="1"/>
      <c r="BD4" s="1"/>
    </row>
    <row r="5" spans="1:61" x14ac:dyDescent="0.3">
      <c r="B5" s="1"/>
      <c r="J5" s="2"/>
      <c r="AN5" s="1"/>
      <c r="AO5" s="1"/>
      <c r="AP5" s="1"/>
      <c r="AW5" s="1"/>
      <c r="AX5" s="1"/>
      <c r="BD5" s="1"/>
    </row>
    <row r="6" spans="1:61" x14ac:dyDescent="0.3">
      <c r="B6" s="1"/>
      <c r="J6" s="2"/>
      <c r="AW6" s="1"/>
      <c r="AX6" s="1"/>
      <c r="BD6" s="1"/>
    </row>
    <row r="7" spans="1:61" x14ac:dyDescent="0.3">
      <c r="B7" s="1"/>
      <c r="J7" s="2"/>
      <c r="AN7" s="1"/>
      <c r="AO7" s="1"/>
      <c r="AP7" s="1"/>
      <c r="AW7" s="1"/>
      <c r="AX7" s="1"/>
      <c r="BD7" s="1"/>
    </row>
    <row r="8" spans="1:61" x14ac:dyDescent="0.3">
      <c r="B8" s="1"/>
      <c r="J8" s="2"/>
      <c r="AN8" s="1"/>
      <c r="AO8" s="1"/>
      <c r="AP8" s="1"/>
      <c r="AW8" s="1"/>
      <c r="AX8" s="1"/>
      <c r="BD8" s="1"/>
    </row>
    <row r="9" spans="1:61" x14ac:dyDescent="0.3">
      <c r="B9" s="1"/>
      <c r="J9" s="2"/>
      <c r="AN9" s="1"/>
      <c r="AO9" s="1"/>
      <c r="AP9" s="1"/>
      <c r="AW9" s="1"/>
      <c r="AX9" s="1"/>
      <c r="BD9" s="1"/>
    </row>
    <row r="10" spans="1:61" x14ac:dyDescent="0.3">
      <c r="B10" s="1"/>
      <c r="J10" s="2"/>
      <c r="AN10" s="1"/>
      <c r="AO10" s="1"/>
      <c r="AP10" s="1"/>
      <c r="AW10" s="1"/>
      <c r="AX10" s="1"/>
      <c r="BD10" s="1"/>
    </row>
    <row r="11" spans="1:61" x14ac:dyDescent="0.3">
      <c r="B11" s="1"/>
      <c r="J11" s="2"/>
      <c r="AN11" s="1"/>
      <c r="AO11" s="1"/>
      <c r="AP11" s="1"/>
      <c r="AW11" s="1"/>
      <c r="AX11" s="1"/>
      <c r="BD11" s="1"/>
    </row>
    <row r="12" spans="1:61" x14ac:dyDescent="0.3">
      <c r="B12" s="1"/>
      <c r="J12" s="2"/>
      <c r="AW12" s="1"/>
      <c r="AX12" s="1"/>
      <c r="BD12" s="1"/>
    </row>
    <row r="13" spans="1:61" x14ac:dyDescent="0.3">
      <c r="B13" s="1"/>
      <c r="J13" s="2"/>
      <c r="AN13" s="1"/>
      <c r="AO13" s="1"/>
      <c r="AW13" s="1"/>
      <c r="AX13" s="1"/>
      <c r="BD13" s="1"/>
    </row>
    <row r="14" spans="1:61" x14ac:dyDescent="0.3">
      <c r="B14" s="1"/>
      <c r="J14" s="2"/>
      <c r="AN14" s="1"/>
      <c r="AO14" s="1"/>
      <c r="AP14" s="1"/>
      <c r="AW14" s="1"/>
      <c r="AX14" s="1"/>
      <c r="BD14" s="1"/>
    </row>
    <row r="15" spans="1:61" x14ac:dyDescent="0.3">
      <c r="B15" s="1"/>
      <c r="J15" s="2"/>
      <c r="AN15" s="1"/>
      <c r="AO15" s="1"/>
      <c r="AW15" s="1"/>
      <c r="AX15" s="1"/>
      <c r="BD15" s="1"/>
    </row>
    <row r="16" spans="1:61" x14ac:dyDescent="0.3">
      <c r="B16" s="1"/>
      <c r="J16" s="2"/>
      <c r="AN16" s="1"/>
      <c r="AO16" s="1"/>
      <c r="AP16" s="1"/>
      <c r="AW16" s="1"/>
      <c r="AX16" s="1"/>
      <c r="BD16" s="1"/>
    </row>
    <row r="17" spans="2:56" x14ac:dyDescent="0.3">
      <c r="B17" s="1"/>
      <c r="J17" s="2"/>
      <c r="AN17" s="1"/>
      <c r="AO17" s="1"/>
      <c r="AP17" s="1"/>
      <c r="AW17" s="1"/>
      <c r="AX17" s="1"/>
      <c r="BD17" s="1"/>
    </row>
    <row r="18" spans="2:56" x14ac:dyDescent="0.3">
      <c r="B18" s="1"/>
      <c r="J18" s="2"/>
      <c r="AN18" s="1"/>
      <c r="AO18" s="1"/>
      <c r="AP18" s="1"/>
      <c r="AW18" s="1"/>
      <c r="AX18" s="1"/>
      <c r="BD18" s="1"/>
    </row>
    <row r="19" spans="2:56" x14ac:dyDescent="0.3">
      <c r="B19" s="1"/>
      <c r="J19" s="2"/>
      <c r="AN19" s="1"/>
      <c r="AO19" s="1"/>
      <c r="AP19" s="1"/>
      <c r="AW19" s="1"/>
      <c r="AX19" s="1"/>
      <c r="BD19" s="1"/>
    </row>
    <row r="20" spans="2:56" x14ac:dyDescent="0.3">
      <c r="B20" s="1"/>
      <c r="J20" s="2"/>
      <c r="AW20" s="1"/>
      <c r="AX20" s="1"/>
      <c r="BD20" s="1"/>
    </row>
    <row r="21" spans="2:56" x14ac:dyDescent="0.3">
      <c r="B21" s="1"/>
      <c r="J21" s="2"/>
      <c r="AW21" s="1"/>
      <c r="AX21" s="1"/>
      <c r="BD21" s="1"/>
    </row>
    <row r="22" spans="2:56" x14ac:dyDescent="0.3">
      <c r="B22" s="1"/>
      <c r="J22" s="2"/>
      <c r="AW22" s="1"/>
      <c r="AX22" s="1"/>
      <c r="BD22" s="1"/>
    </row>
    <row r="23" spans="2:56" x14ac:dyDescent="0.3">
      <c r="B23" s="1"/>
      <c r="J23" s="2"/>
      <c r="AN23" s="1"/>
      <c r="AO23" s="1"/>
      <c r="AP23" s="1"/>
      <c r="AW23" s="1"/>
      <c r="AX23" s="1"/>
      <c r="BD23" s="1"/>
    </row>
    <row r="24" spans="2:56" x14ac:dyDescent="0.3">
      <c r="B24" s="1"/>
      <c r="J24" s="2"/>
      <c r="AW24" s="1"/>
      <c r="AX24" s="1"/>
      <c r="BD24" s="1"/>
    </row>
    <row r="25" spans="2:56" x14ac:dyDescent="0.3">
      <c r="B25" s="1"/>
      <c r="J25" s="2"/>
      <c r="AW25" s="1"/>
      <c r="AX25" s="1"/>
      <c r="BD25" s="1"/>
    </row>
    <row r="26" spans="2:56" x14ac:dyDescent="0.3">
      <c r="B26" s="1"/>
      <c r="J26" s="2"/>
      <c r="AN26" s="1"/>
      <c r="AO26" s="1"/>
      <c r="AP26" s="1"/>
      <c r="AW26" s="1"/>
      <c r="AX26" s="1"/>
      <c r="BD26" s="1"/>
    </row>
    <row r="27" spans="2:56" x14ac:dyDescent="0.3">
      <c r="B27" s="1"/>
      <c r="J27" s="2"/>
      <c r="AN27" s="1"/>
      <c r="AO27" s="1"/>
      <c r="AP27" s="1"/>
      <c r="AW27" s="1"/>
      <c r="AX27" s="1"/>
      <c r="BD27" s="1"/>
    </row>
    <row r="28" spans="2:56" x14ac:dyDescent="0.3">
      <c r="B28" s="1"/>
      <c r="J28" s="2"/>
      <c r="AN28" s="1"/>
      <c r="AO28" s="1"/>
      <c r="AP28" s="1"/>
      <c r="AW28" s="1"/>
      <c r="AX28" s="1"/>
      <c r="BD28" s="1"/>
    </row>
    <row r="29" spans="2:56" x14ac:dyDescent="0.3">
      <c r="B29" s="1"/>
      <c r="J29" s="2"/>
      <c r="AP29" s="1"/>
      <c r="AW29" s="1"/>
      <c r="AX29" s="1"/>
      <c r="BD29" s="1"/>
    </row>
    <row r="30" spans="2:56" x14ac:dyDescent="0.3">
      <c r="B30" s="1"/>
      <c r="J30" s="2"/>
      <c r="AN30" s="1"/>
      <c r="AO30" s="1"/>
      <c r="AP30" s="1"/>
      <c r="AW30" s="1"/>
      <c r="AX30" s="1"/>
      <c r="BD30" s="1"/>
    </row>
    <row r="31" spans="2:56" x14ac:dyDescent="0.3">
      <c r="B31" s="1"/>
      <c r="J31" s="2"/>
      <c r="AW31" s="1"/>
      <c r="AX31" s="1"/>
      <c r="BD31" s="1"/>
    </row>
    <row r="32" spans="2:56" x14ac:dyDescent="0.3">
      <c r="B32" s="1"/>
      <c r="J32" s="2"/>
      <c r="AP32" s="1"/>
      <c r="AW32" s="1"/>
      <c r="AX32" s="1"/>
      <c r="BD32" s="1"/>
    </row>
    <row r="33" spans="2:57" x14ac:dyDescent="0.3">
      <c r="B33" s="1"/>
      <c r="J33" s="2"/>
      <c r="AN33" s="1"/>
      <c r="AO33" s="1"/>
      <c r="AW33" s="1"/>
      <c r="AX33" s="1"/>
      <c r="BD33" s="1"/>
    </row>
    <row r="34" spans="2:57" x14ac:dyDescent="0.3">
      <c r="B34" s="1"/>
      <c r="J34" s="2"/>
      <c r="AW34" s="1"/>
      <c r="AX34" s="1"/>
      <c r="BD34" s="1"/>
    </row>
    <row r="35" spans="2:57" x14ac:dyDescent="0.3">
      <c r="B35" s="1"/>
      <c r="J35" s="2"/>
      <c r="AW35" s="1"/>
      <c r="AX35" s="1"/>
      <c r="BD35" s="1"/>
    </row>
    <row r="36" spans="2:57" x14ac:dyDescent="0.3">
      <c r="B36" s="1"/>
      <c r="J36" s="2"/>
      <c r="AN36" s="1"/>
      <c r="AO36" s="1"/>
      <c r="AP36" s="1"/>
      <c r="AW36" s="1"/>
      <c r="AX36" s="1"/>
      <c r="BD36" s="1"/>
    </row>
    <row r="37" spans="2:57" x14ac:dyDescent="0.3">
      <c r="B37" s="1"/>
      <c r="J37" s="2"/>
      <c r="AN37" s="1"/>
      <c r="AO37" s="1"/>
      <c r="AP37" s="1"/>
      <c r="AW37" s="1"/>
      <c r="AX37" s="1"/>
      <c r="BD37" s="1"/>
    </row>
    <row r="38" spans="2:57" x14ac:dyDescent="0.3">
      <c r="B38" s="1"/>
      <c r="J38" s="2"/>
      <c r="AN38" s="1"/>
      <c r="AO38" s="1"/>
      <c r="AP38" s="1"/>
      <c r="AW38" s="1"/>
      <c r="AX38" s="1"/>
      <c r="BD38" s="1"/>
    </row>
    <row r="39" spans="2:57" x14ac:dyDescent="0.3">
      <c r="B39" s="1"/>
      <c r="J39" s="2"/>
      <c r="AN39" s="1"/>
      <c r="AO39" s="1"/>
      <c r="AP39" s="1"/>
      <c r="AW39" s="1"/>
      <c r="AX39" s="1"/>
      <c r="BD39" s="1"/>
    </row>
    <row r="40" spans="2:57" x14ac:dyDescent="0.3">
      <c r="B40" s="1"/>
      <c r="J40" s="2"/>
      <c r="AP40" s="1"/>
      <c r="AW40" s="1"/>
      <c r="AX40" s="1"/>
      <c r="BD40" s="1"/>
    </row>
    <row r="41" spans="2:57" x14ac:dyDescent="0.3">
      <c r="B41" s="1"/>
      <c r="J41" s="2"/>
      <c r="AN41" s="1"/>
      <c r="AO41" s="1"/>
      <c r="AP41" s="1"/>
      <c r="AW41" s="1"/>
      <c r="AX41" s="1"/>
      <c r="BD41" s="1"/>
      <c r="BE41" s="1"/>
    </row>
    <row r="42" spans="2:57" x14ac:dyDescent="0.3">
      <c r="B42" s="1"/>
      <c r="J42" s="2"/>
      <c r="AN42" s="1"/>
      <c r="AO42" s="1"/>
      <c r="AP42" s="1"/>
      <c r="AW42" s="1"/>
      <c r="AX42" s="1"/>
      <c r="BD42" s="1"/>
    </row>
    <row r="43" spans="2:57" x14ac:dyDescent="0.3">
      <c r="B43" s="1"/>
      <c r="J43" s="2"/>
      <c r="AN43" s="1"/>
      <c r="AO43" s="1"/>
      <c r="AP43" s="1"/>
      <c r="AW43" s="1"/>
      <c r="AX43" s="1"/>
      <c r="BD43" s="1"/>
    </row>
    <row r="44" spans="2:57" x14ac:dyDescent="0.3">
      <c r="B44" s="1"/>
      <c r="J44" s="2"/>
      <c r="AN44" s="1"/>
      <c r="AO44" s="1"/>
      <c r="AP44" s="1"/>
      <c r="AW44" s="1"/>
      <c r="AX44" s="1"/>
      <c r="BD44" s="1"/>
    </row>
    <row r="45" spans="2:57" x14ac:dyDescent="0.3">
      <c r="B45" s="1"/>
      <c r="J45" s="2"/>
      <c r="AN45" s="1"/>
      <c r="AO45" s="1"/>
      <c r="AP45" s="1"/>
      <c r="AW45" s="1"/>
      <c r="AX45" s="1"/>
      <c r="BD45" s="1"/>
    </row>
    <row r="46" spans="2:57" x14ac:dyDescent="0.3">
      <c r="B46" s="1"/>
      <c r="J46" s="2"/>
      <c r="AN46" s="1"/>
      <c r="AO46" s="1"/>
      <c r="AP46" s="1"/>
      <c r="AW46" s="1"/>
      <c r="AX46" s="1"/>
      <c r="BD46" s="1"/>
      <c r="BE46" s="1"/>
    </row>
    <row r="47" spans="2:57" x14ac:dyDescent="0.3">
      <c r="B47" s="1"/>
      <c r="J47" s="2"/>
      <c r="AW47" s="1"/>
      <c r="AX47" s="1"/>
      <c r="BD47" s="1"/>
    </row>
    <row r="48" spans="2:57" x14ac:dyDescent="0.3">
      <c r="B48" s="1"/>
      <c r="J48" s="2"/>
      <c r="AN48" s="1"/>
      <c r="AO48" s="1"/>
      <c r="AP48" s="1"/>
      <c r="AW48" s="1"/>
      <c r="AX48" s="1"/>
      <c r="BD48" s="1"/>
      <c r="BE48" s="1"/>
    </row>
    <row r="49" spans="2:57" x14ac:dyDescent="0.3">
      <c r="B49" s="1"/>
      <c r="J49" s="2"/>
      <c r="AN49" s="1"/>
      <c r="AO49" s="1"/>
      <c r="AP49" s="1"/>
      <c r="AW49" s="1"/>
      <c r="AX49" s="1"/>
      <c r="BD49" s="1"/>
    </row>
    <row r="50" spans="2:57" x14ac:dyDescent="0.3">
      <c r="B50" s="1"/>
      <c r="J50" s="2"/>
      <c r="AN50" s="1"/>
      <c r="AO50" s="1"/>
      <c r="AP50" s="1"/>
      <c r="AW50" s="1"/>
      <c r="AX50" s="1"/>
      <c r="BD50" s="1"/>
    </row>
    <row r="51" spans="2:57" x14ac:dyDescent="0.3">
      <c r="B51" s="1"/>
      <c r="J51" s="2"/>
      <c r="AN51" s="1"/>
      <c r="AO51" s="1"/>
      <c r="AP51" s="1"/>
      <c r="AW51" s="1"/>
      <c r="AX51" s="1"/>
      <c r="BD51" s="1"/>
    </row>
    <row r="52" spans="2:57" x14ac:dyDescent="0.3">
      <c r="B52" s="1"/>
      <c r="J52" s="2"/>
      <c r="AN52" s="1"/>
      <c r="AO52" s="1"/>
      <c r="AP52" s="1"/>
      <c r="AW52" s="1"/>
      <c r="AX52" s="1"/>
      <c r="BD52" s="1"/>
    </row>
    <row r="53" spans="2:57" x14ac:dyDescent="0.3">
      <c r="B53" s="1"/>
      <c r="J53" s="2"/>
      <c r="AN53" s="1"/>
      <c r="AO53" s="1"/>
      <c r="AP53" s="1"/>
      <c r="AW53" s="1"/>
      <c r="AX53" s="1"/>
      <c r="BD53" s="1"/>
      <c r="BE53" s="1"/>
    </row>
    <row r="54" spans="2:57" x14ac:dyDescent="0.3">
      <c r="B54" s="1"/>
      <c r="J54" s="2"/>
      <c r="AN54" s="1"/>
      <c r="AO54" s="1"/>
      <c r="AP54" s="1"/>
      <c r="AW54" s="1"/>
      <c r="AX54" s="1"/>
      <c r="BD54" s="1"/>
      <c r="BE54" s="1"/>
    </row>
    <row r="55" spans="2:57" x14ac:dyDescent="0.3">
      <c r="B55" s="1"/>
      <c r="J55" s="2"/>
      <c r="AN55" s="1"/>
      <c r="AO55" s="1"/>
      <c r="AP55" s="1"/>
      <c r="AW55" s="1"/>
      <c r="AX55" s="1"/>
      <c r="BD55" s="1"/>
    </row>
    <row r="56" spans="2:57" x14ac:dyDescent="0.3">
      <c r="B56" s="1"/>
      <c r="J56" s="2"/>
      <c r="AN56" s="1"/>
      <c r="AO56" s="1"/>
      <c r="AP56" s="1"/>
      <c r="AW56" s="1"/>
      <c r="AX56" s="1"/>
      <c r="BD56" s="1"/>
      <c r="BE56" s="1"/>
    </row>
    <row r="57" spans="2:57" x14ac:dyDescent="0.3">
      <c r="B57" s="1"/>
      <c r="J57" s="2"/>
      <c r="AN57" s="1"/>
      <c r="AO57" s="1"/>
      <c r="AP57" s="1"/>
      <c r="AW57" s="1"/>
      <c r="AX57" s="1"/>
      <c r="BD57" s="1"/>
      <c r="BE57" s="1"/>
    </row>
    <row r="58" spans="2:57" x14ac:dyDescent="0.3">
      <c r="B58" s="1"/>
      <c r="J58" s="2"/>
      <c r="AN58" s="1"/>
      <c r="AO58" s="1"/>
      <c r="AP58" s="1"/>
      <c r="AW58" s="1"/>
      <c r="AX58" s="1"/>
      <c r="BD58" s="1"/>
      <c r="BE58" s="1"/>
    </row>
    <row r="59" spans="2:57" x14ac:dyDescent="0.3">
      <c r="B59" s="1"/>
      <c r="J59" s="2"/>
      <c r="AW59" s="1"/>
      <c r="AX59" s="1"/>
      <c r="BD59" s="1"/>
    </row>
    <row r="60" spans="2:57" x14ac:dyDescent="0.3">
      <c r="B60" s="1"/>
      <c r="J60" s="2"/>
      <c r="AN60" s="1"/>
      <c r="AO60" s="1"/>
      <c r="AP60" s="1"/>
      <c r="AW60" s="1"/>
      <c r="AX60" s="1"/>
      <c r="BD60" s="1"/>
    </row>
    <row r="61" spans="2:57" x14ac:dyDescent="0.3">
      <c r="B61" s="1"/>
      <c r="J61" s="2"/>
      <c r="AN61" s="1"/>
      <c r="AO61" s="1"/>
      <c r="AP61" s="1"/>
      <c r="AW61" s="1"/>
      <c r="AX61" s="1"/>
      <c r="BD61" s="1"/>
    </row>
    <row r="62" spans="2:57" x14ac:dyDescent="0.3">
      <c r="B62" s="1"/>
      <c r="J62" s="2"/>
      <c r="AN62" s="1"/>
      <c r="AP62" s="1"/>
      <c r="AW62" s="1"/>
      <c r="AX62" s="1"/>
      <c r="BD62" s="1"/>
    </row>
    <row r="63" spans="2:57" x14ac:dyDescent="0.3">
      <c r="B63" s="1"/>
      <c r="J63" s="2"/>
      <c r="AN63" s="1"/>
      <c r="AP63" s="1"/>
      <c r="AW63" s="1"/>
      <c r="AX63" s="1"/>
      <c r="BD63" s="1"/>
    </row>
    <row r="64" spans="2:57" x14ac:dyDescent="0.3">
      <c r="B64" s="1"/>
      <c r="J64" s="2"/>
      <c r="AN64" s="1"/>
      <c r="AO64" s="1"/>
      <c r="AP64" s="1"/>
      <c r="AW64" s="1"/>
      <c r="AX64" s="1"/>
      <c r="BD64" s="1"/>
    </row>
    <row r="65" spans="2:57" x14ac:dyDescent="0.3">
      <c r="B65" s="1"/>
      <c r="J65" s="2"/>
      <c r="AN65" s="1"/>
      <c r="AO65" s="1"/>
      <c r="AP65" s="1"/>
      <c r="AW65" s="1"/>
      <c r="AX65" s="1"/>
      <c r="BD65" s="1"/>
    </row>
    <row r="66" spans="2:57" x14ac:dyDescent="0.3">
      <c r="B66" s="1"/>
      <c r="J66" s="2"/>
      <c r="AN66" s="1"/>
      <c r="AO66" s="1"/>
      <c r="AP66" s="1"/>
      <c r="AW66" s="1"/>
      <c r="AX66" s="1"/>
      <c r="BD66" s="1"/>
    </row>
    <row r="67" spans="2:57" x14ac:dyDescent="0.3">
      <c r="B67" s="1"/>
      <c r="J67" s="2"/>
      <c r="AN67" s="1"/>
      <c r="AO67" s="1"/>
      <c r="AP67" s="1"/>
      <c r="AW67" s="1"/>
      <c r="AX67" s="1"/>
      <c r="BD67" s="1"/>
    </row>
    <row r="68" spans="2:57" x14ac:dyDescent="0.3">
      <c r="B68" s="1"/>
      <c r="J68" s="2"/>
      <c r="AN68" s="1"/>
      <c r="AO68" s="1"/>
      <c r="AP68" s="1"/>
      <c r="AW68" s="1"/>
      <c r="AX68" s="1"/>
      <c r="BD68" s="1"/>
    </row>
    <row r="69" spans="2:57" x14ac:dyDescent="0.3">
      <c r="B69" s="1"/>
      <c r="J69" s="2"/>
      <c r="AN69" s="1"/>
      <c r="AO69" s="1"/>
      <c r="AP69" s="1"/>
      <c r="AW69" s="1"/>
      <c r="AX69" s="1"/>
      <c r="BD69" s="1"/>
    </row>
    <row r="70" spans="2:57" x14ac:dyDescent="0.3">
      <c r="B70" s="1"/>
      <c r="J70" s="2"/>
      <c r="AN70" s="1"/>
      <c r="AO70" s="1"/>
      <c r="AP70" s="1"/>
      <c r="AW70" s="1"/>
      <c r="AX70" s="1"/>
      <c r="BD70" s="1"/>
    </row>
    <row r="71" spans="2:57" x14ac:dyDescent="0.3">
      <c r="B71" s="1"/>
      <c r="J71" s="2"/>
      <c r="AN71" s="1"/>
      <c r="AO71" s="1"/>
      <c r="AP71" s="1"/>
      <c r="AW71" s="1"/>
      <c r="AX71" s="1"/>
      <c r="BD71" s="1"/>
      <c r="BE71" s="1"/>
    </row>
    <row r="72" spans="2:57" x14ac:dyDescent="0.3">
      <c r="B72" s="1"/>
      <c r="J72" s="2"/>
      <c r="AP72" s="1"/>
      <c r="AW72" s="1"/>
      <c r="AX72" s="1"/>
      <c r="BD72" s="1"/>
    </row>
    <row r="73" spans="2:57" x14ac:dyDescent="0.3">
      <c r="B73" s="1"/>
      <c r="J73" s="2"/>
      <c r="AN73" s="1"/>
      <c r="AO73" s="1"/>
      <c r="AP73" s="1"/>
      <c r="AW73" s="1"/>
      <c r="AX73" s="1"/>
      <c r="BD73" s="1"/>
    </row>
    <row r="74" spans="2:57" x14ac:dyDescent="0.3">
      <c r="B74" s="1"/>
      <c r="J74" s="2"/>
      <c r="AP74" s="1"/>
      <c r="AW74" s="1"/>
      <c r="AX74" s="1"/>
      <c r="BD74" s="1"/>
    </row>
    <row r="75" spans="2:57" x14ac:dyDescent="0.3">
      <c r="B75" s="1"/>
      <c r="J75" s="2"/>
      <c r="AW75" s="1"/>
      <c r="AX75" s="1"/>
      <c r="BD75" s="1"/>
    </row>
    <row r="76" spans="2:57" x14ac:dyDescent="0.3">
      <c r="B76" s="1"/>
      <c r="J76" s="2"/>
      <c r="AP76" s="1"/>
      <c r="AW76" s="1"/>
      <c r="AX76" s="1"/>
      <c r="BD76" s="1"/>
    </row>
    <row r="77" spans="2:57" x14ac:dyDescent="0.3">
      <c r="B77" s="1"/>
      <c r="J77" s="2"/>
      <c r="AN77" s="1"/>
      <c r="AO77" s="1"/>
      <c r="AP77" s="1"/>
      <c r="AW77" s="1"/>
      <c r="AX77" s="1"/>
      <c r="BD77" s="1"/>
      <c r="BE77" s="1"/>
    </row>
    <row r="78" spans="2:57" x14ac:dyDescent="0.3">
      <c r="B78" s="1"/>
      <c r="J78" s="2"/>
      <c r="AP78" s="1"/>
      <c r="AW78" s="1"/>
      <c r="AX78" s="1"/>
      <c r="BD78" s="1"/>
    </row>
    <row r="79" spans="2:57" x14ac:dyDescent="0.3">
      <c r="B79" s="1"/>
      <c r="J79" s="2"/>
      <c r="AN79" s="1"/>
      <c r="AO79" s="1"/>
      <c r="AP79" s="1"/>
      <c r="AW79" s="1"/>
      <c r="AX79" s="1"/>
      <c r="BD79" s="1"/>
    </row>
    <row r="80" spans="2:57" x14ac:dyDescent="0.3">
      <c r="B80" s="1"/>
      <c r="J80" s="2"/>
      <c r="AN80" s="1"/>
      <c r="AO80" s="1"/>
      <c r="AP80" s="1"/>
      <c r="AW80" s="1"/>
      <c r="AX80" s="1"/>
      <c r="BD80" s="1"/>
    </row>
    <row r="81" spans="2:57" x14ac:dyDescent="0.3">
      <c r="B81" s="1"/>
      <c r="J81" s="2"/>
      <c r="AN81" s="1"/>
      <c r="AO81" s="1"/>
      <c r="AP81" s="1"/>
      <c r="AW81" s="1"/>
      <c r="AX81" s="1"/>
      <c r="BD81" s="1"/>
    </row>
    <row r="82" spans="2:57" x14ac:dyDescent="0.3">
      <c r="B82" s="1"/>
      <c r="J82" s="2"/>
      <c r="AN82" s="1"/>
      <c r="AO82" s="1"/>
      <c r="AP82" s="1"/>
      <c r="AW82" s="1"/>
      <c r="AX82" s="1"/>
      <c r="BD82" s="1"/>
    </row>
    <row r="83" spans="2:57" x14ac:dyDescent="0.3">
      <c r="B83" s="1"/>
      <c r="J83" s="2"/>
      <c r="AN83" s="1"/>
      <c r="AO83" s="1"/>
      <c r="AP83" s="1"/>
      <c r="AW83" s="1"/>
      <c r="AX83" s="1"/>
      <c r="BD83" s="1"/>
    </row>
    <row r="84" spans="2:57" x14ac:dyDescent="0.3">
      <c r="B84" s="1"/>
      <c r="J84" s="2"/>
      <c r="AN84" s="1"/>
      <c r="AO84" s="1"/>
      <c r="AP84" s="1"/>
      <c r="AW84" s="1"/>
      <c r="AX84" s="1"/>
      <c r="BD84" s="1"/>
    </row>
    <row r="85" spans="2:57" x14ac:dyDescent="0.3">
      <c r="B85" s="1"/>
      <c r="J85" s="2"/>
      <c r="AN85" s="1"/>
      <c r="AO85" s="1"/>
      <c r="AP85" s="1"/>
      <c r="AW85" s="1"/>
      <c r="AX85" s="1"/>
      <c r="BD85" s="1"/>
      <c r="BE85" s="1"/>
    </row>
    <row r="86" spans="2:57" x14ac:dyDescent="0.3">
      <c r="B86" s="1"/>
      <c r="J86" s="2"/>
      <c r="AP86" s="1"/>
      <c r="AW86" s="1"/>
      <c r="AX86" s="1"/>
      <c r="BD86" s="1"/>
    </row>
    <row r="87" spans="2:57" x14ac:dyDescent="0.3">
      <c r="B87" s="1"/>
      <c r="J87" s="2"/>
      <c r="AP87" s="1"/>
      <c r="AW87" s="1"/>
      <c r="AX87" s="1"/>
      <c r="BD87" s="1"/>
    </row>
    <row r="88" spans="2:57" x14ac:dyDescent="0.3">
      <c r="B88" s="1"/>
      <c r="J88" s="2"/>
      <c r="AN88" s="1"/>
      <c r="AO88" s="1"/>
      <c r="AP88" s="1"/>
      <c r="AW88" s="1"/>
      <c r="AX88" s="1"/>
      <c r="BD88" s="1"/>
    </row>
    <row r="89" spans="2:57" x14ac:dyDescent="0.3">
      <c r="B89" s="1"/>
      <c r="J89" s="2"/>
      <c r="AW89" s="1"/>
      <c r="AX89" s="1"/>
      <c r="BD89" s="1"/>
    </row>
    <row r="90" spans="2:57" x14ac:dyDescent="0.3">
      <c r="B90" s="1"/>
      <c r="J90" s="2"/>
      <c r="AP90" s="1"/>
      <c r="AW90" s="1"/>
      <c r="AX90" s="1"/>
      <c r="BD90" s="1"/>
    </row>
    <row r="91" spans="2:57" x14ac:dyDescent="0.3">
      <c r="B91" s="1"/>
      <c r="J91" s="2"/>
      <c r="AW91" s="1"/>
      <c r="AX91" s="1"/>
      <c r="BD91" s="1"/>
    </row>
    <row r="92" spans="2:57" x14ac:dyDescent="0.3">
      <c r="B92" s="1"/>
      <c r="J92" s="2"/>
      <c r="AN92" s="1"/>
      <c r="AO92" s="1"/>
      <c r="AP92" s="1"/>
      <c r="AW92" s="1"/>
      <c r="AX92" s="1"/>
      <c r="BD92" s="1"/>
    </row>
    <row r="93" spans="2:57" x14ac:dyDescent="0.3">
      <c r="B93" s="1"/>
      <c r="J93" s="2"/>
      <c r="AN93" s="1"/>
      <c r="AO93" s="1"/>
      <c r="AP93" s="1"/>
      <c r="AW93" s="1"/>
      <c r="AX93" s="1"/>
      <c r="BD93" s="1"/>
    </row>
    <row r="94" spans="2:57" x14ac:dyDescent="0.3">
      <c r="B94" s="1"/>
      <c r="J94" s="2"/>
      <c r="AN94" s="1"/>
      <c r="AO94" s="1"/>
      <c r="AP94" s="1"/>
      <c r="AW94" s="1"/>
      <c r="AX94" s="1"/>
      <c r="BD94" s="1"/>
    </row>
    <row r="95" spans="2:57" x14ac:dyDescent="0.3">
      <c r="B95" s="1"/>
      <c r="J95" s="2"/>
      <c r="AN95" s="1"/>
      <c r="AO95" s="1"/>
      <c r="AP95" s="1"/>
      <c r="AW95" s="1"/>
      <c r="AX95" s="1"/>
      <c r="BD95" s="1"/>
      <c r="BE95" s="1"/>
    </row>
    <row r="96" spans="2:57" x14ac:dyDescent="0.3">
      <c r="B96" s="1"/>
      <c r="J96" s="2"/>
      <c r="AW96" s="1"/>
      <c r="AX96" s="1"/>
      <c r="BD96" s="1"/>
    </row>
    <row r="97" spans="2:56" x14ac:dyDescent="0.3">
      <c r="B97" s="1"/>
      <c r="J97" s="2"/>
      <c r="AN97" s="1"/>
      <c r="AO97" s="1"/>
      <c r="AP97" s="1"/>
      <c r="AW97" s="1"/>
      <c r="AX97" s="1"/>
      <c r="BD97" s="1"/>
    </row>
    <row r="98" spans="2:56" x14ac:dyDescent="0.3">
      <c r="B98" s="1"/>
      <c r="J98" s="2"/>
      <c r="AN98" s="1"/>
      <c r="AO98" s="1"/>
      <c r="AP98" s="1"/>
      <c r="AW98" s="1"/>
      <c r="AX98" s="1"/>
      <c r="BD98" s="1"/>
    </row>
    <row r="99" spans="2:56" x14ac:dyDescent="0.3">
      <c r="B99" s="1"/>
      <c r="J99" s="2"/>
      <c r="AP99" s="1"/>
      <c r="AW99" s="1"/>
      <c r="AX99" s="1"/>
      <c r="BD99" s="1"/>
    </row>
    <row r="100" spans="2:56" x14ac:dyDescent="0.3">
      <c r="B100" s="1"/>
      <c r="J100" s="2"/>
      <c r="AN100" s="1"/>
      <c r="AO100" s="1"/>
      <c r="AP100" s="1"/>
      <c r="AW100" s="1"/>
      <c r="AX100" s="1"/>
      <c r="BD100" s="1"/>
    </row>
    <row r="101" spans="2:56" x14ac:dyDescent="0.3">
      <c r="B101" s="1"/>
      <c r="J101" s="2"/>
      <c r="AN101" s="1"/>
      <c r="AO101" s="1"/>
      <c r="AW101" s="1"/>
      <c r="AX101" s="1"/>
      <c r="BD101" s="1"/>
    </row>
    <row r="102" spans="2:56" x14ac:dyDescent="0.3">
      <c r="B102" s="1"/>
      <c r="J102" s="2"/>
      <c r="AN102" s="1"/>
      <c r="AO102" s="1"/>
      <c r="AP102" s="1"/>
      <c r="AW102" s="1"/>
      <c r="AX102" s="1"/>
      <c r="BD102" s="1"/>
    </row>
    <row r="103" spans="2:56" x14ac:dyDescent="0.3">
      <c r="B103" s="1"/>
      <c r="J103" s="2"/>
      <c r="AN103" s="1"/>
      <c r="AO103" s="1"/>
      <c r="AP103" s="1"/>
      <c r="AW103" s="1"/>
      <c r="AX103" s="1"/>
      <c r="BD103" s="1"/>
    </row>
    <row r="104" spans="2:56" x14ac:dyDescent="0.3">
      <c r="B104" s="1"/>
      <c r="J104" s="2"/>
      <c r="AN104" s="1"/>
      <c r="AO104" s="1"/>
      <c r="AP104" s="1"/>
      <c r="AW104" s="1"/>
      <c r="AX104" s="1"/>
      <c r="BD104" s="1"/>
    </row>
    <row r="105" spans="2:56" x14ac:dyDescent="0.3">
      <c r="B105" s="1"/>
      <c r="J105" s="2"/>
      <c r="AN105" s="1"/>
      <c r="AO105" s="1"/>
      <c r="AP105" s="1"/>
      <c r="AW105" s="1"/>
      <c r="AX105" s="1"/>
      <c r="BD105" s="1"/>
    </row>
    <row r="106" spans="2:56" x14ac:dyDescent="0.3">
      <c r="B106" s="1"/>
      <c r="J106" s="2"/>
      <c r="AN106" s="1"/>
      <c r="AO106" s="1"/>
      <c r="AP106" s="1"/>
      <c r="AW106" s="1"/>
      <c r="AX106" s="1"/>
      <c r="BD106" s="1"/>
    </row>
    <row r="107" spans="2:56" x14ac:dyDescent="0.3">
      <c r="B107" s="1"/>
      <c r="J107" s="2"/>
      <c r="AP107" s="1"/>
      <c r="AW107" s="1"/>
      <c r="AX107" s="1"/>
      <c r="BD107" s="1"/>
    </row>
    <row r="108" spans="2:56" x14ac:dyDescent="0.3">
      <c r="B108" s="1"/>
      <c r="J108" s="2"/>
      <c r="AW108" s="1"/>
      <c r="AX108" s="1"/>
      <c r="BD108" s="1"/>
    </row>
    <row r="109" spans="2:56" x14ac:dyDescent="0.3">
      <c r="B109" s="1"/>
      <c r="J109" s="2"/>
      <c r="AN109" s="1"/>
      <c r="AO109" s="1"/>
      <c r="AP109" s="1"/>
      <c r="AW109" s="1"/>
      <c r="AX109" s="1"/>
      <c r="BD109" s="1"/>
    </row>
    <row r="110" spans="2:56" x14ac:dyDescent="0.3">
      <c r="B110" s="1"/>
      <c r="J110" s="2"/>
      <c r="AN110" s="1"/>
      <c r="AO110" s="1"/>
      <c r="AP110" s="1"/>
      <c r="AW110" s="1"/>
      <c r="AX110" s="1"/>
      <c r="BD110" s="1"/>
    </row>
    <row r="111" spans="2:56" x14ac:dyDescent="0.3">
      <c r="B111" s="1"/>
      <c r="J111" s="2"/>
      <c r="AN111" s="1"/>
      <c r="AO111" s="1"/>
      <c r="AP111" s="1"/>
      <c r="AW111" s="1"/>
      <c r="AX111" s="1"/>
      <c r="BD111" s="1"/>
    </row>
    <row r="112" spans="2:56" x14ac:dyDescent="0.3">
      <c r="B112" s="1"/>
      <c r="J112" s="2"/>
      <c r="AN112" s="1"/>
      <c r="AO112" s="1"/>
      <c r="AP112" s="1"/>
      <c r="AW112" s="1"/>
      <c r="AX112" s="1"/>
      <c r="BD112" s="1"/>
    </row>
    <row r="113" spans="2:57" x14ac:dyDescent="0.3">
      <c r="B113" s="1"/>
      <c r="J113" s="2"/>
      <c r="AN113" s="1"/>
      <c r="AO113" s="1"/>
      <c r="AW113" s="1"/>
      <c r="AX113" s="1"/>
      <c r="BD113" s="1"/>
    </row>
    <row r="114" spans="2:57" x14ac:dyDescent="0.3">
      <c r="B114" s="1"/>
      <c r="J114" s="2"/>
      <c r="AN114" s="1"/>
      <c r="AO114" s="1"/>
      <c r="AW114" s="1"/>
      <c r="AX114" s="1"/>
      <c r="BD114" s="1"/>
    </row>
    <row r="115" spans="2:57" x14ac:dyDescent="0.3">
      <c r="B115" s="1"/>
      <c r="J115" s="2"/>
      <c r="AN115" s="1"/>
      <c r="AO115" s="1"/>
      <c r="AW115" s="1"/>
      <c r="AX115" s="1"/>
      <c r="BD115" s="1"/>
    </row>
    <row r="116" spans="2:57" x14ac:dyDescent="0.3">
      <c r="B116" s="1"/>
      <c r="J116" s="2"/>
      <c r="AN116" s="1"/>
      <c r="AO116" s="1"/>
      <c r="AP116" s="1"/>
      <c r="AW116" s="1"/>
      <c r="AX116" s="1"/>
      <c r="BD116" s="1"/>
    </row>
    <row r="117" spans="2:57" x14ac:dyDescent="0.3">
      <c r="B117" s="1"/>
      <c r="J117" s="2"/>
      <c r="AN117" s="1"/>
      <c r="AO117" s="1"/>
      <c r="AP117" s="1"/>
      <c r="AW117" s="1"/>
      <c r="AX117" s="1"/>
      <c r="BD117" s="1"/>
    </row>
    <row r="118" spans="2:57" x14ac:dyDescent="0.3">
      <c r="B118" s="1"/>
      <c r="J118" s="2"/>
      <c r="AN118" s="1"/>
      <c r="AO118" s="1"/>
      <c r="AP118" s="1"/>
      <c r="AW118" s="1"/>
      <c r="AX118" s="1"/>
      <c r="BD118" s="1"/>
    </row>
    <row r="119" spans="2:57" x14ac:dyDescent="0.3">
      <c r="B119" s="1"/>
      <c r="J119" s="2"/>
      <c r="AN119" s="1"/>
      <c r="AO119" s="1"/>
      <c r="AP119" s="1"/>
      <c r="AW119" s="1"/>
      <c r="AX119" s="1"/>
      <c r="BD119" s="1"/>
    </row>
    <row r="120" spans="2:57" x14ac:dyDescent="0.3">
      <c r="B120" s="1"/>
      <c r="J120" s="2"/>
      <c r="AN120" s="1"/>
      <c r="AO120" s="1"/>
      <c r="AP120" s="1"/>
      <c r="AW120" s="1"/>
      <c r="AX120" s="1"/>
      <c r="BD120" s="1"/>
    </row>
    <row r="121" spans="2:57" x14ac:dyDescent="0.3">
      <c r="B121" s="1"/>
      <c r="J121" s="2"/>
      <c r="AP121" s="1"/>
      <c r="AW121" s="1"/>
      <c r="AX121" s="1"/>
      <c r="BD121" s="1"/>
    </row>
    <row r="122" spans="2:57" x14ac:dyDescent="0.3">
      <c r="B122" s="1"/>
      <c r="J122" s="2"/>
      <c r="AN122" s="1"/>
      <c r="AO122" s="1"/>
      <c r="AP122" s="1"/>
      <c r="AW122" s="1"/>
      <c r="AX122" s="1"/>
      <c r="BD122" s="1"/>
    </row>
    <row r="123" spans="2:57" x14ac:dyDescent="0.3">
      <c r="B123" s="1"/>
      <c r="J123" s="2"/>
      <c r="AN123" s="1"/>
      <c r="AO123" s="1"/>
      <c r="AP123" s="1"/>
      <c r="AW123" s="1"/>
      <c r="AX123" s="1"/>
      <c r="BD123" s="1"/>
    </row>
    <row r="124" spans="2:57" x14ac:dyDescent="0.3">
      <c r="B124" s="1"/>
      <c r="J124" s="2"/>
      <c r="AN124" s="1"/>
      <c r="AO124" s="1"/>
      <c r="AP124" s="1"/>
      <c r="AW124" s="1"/>
      <c r="AX124" s="1"/>
      <c r="BD124" s="1"/>
    </row>
    <row r="125" spans="2:57" x14ac:dyDescent="0.3">
      <c r="B125" s="1"/>
      <c r="J125" s="2"/>
      <c r="AN125" s="1"/>
      <c r="AO125" s="1"/>
      <c r="AP125" s="1"/>
      <c r="AW125" s="1"/>
      <c r="AX125" s="1"/>
      <c r="BD125" s="1"/>
    </row>
    <row r="126" spans="2:57" x14ac:dyDescent="0.3">
      <c r="B126" s="1"/>
      <c r="J126" s="2"/>
      <c r="AN126" s="1"/>
      <c r="AO126" s="1"/>
      <c r="AP126" s="1"/>
      <c r="AW126" s="1"/>
      <c r="AX126" s="1"/>
      <c r="BD126" s="1"/>
    </row>
    <row r="127" spans="2:57" x14ac:dyDescent="0.3">
      <c r="B127" s="1"/>
      <c r="J127" s="2"/>
      <c r="AN127" s="1"/>
      <c r="AO127" s="1"/>
      <c r="AP127" s="1"/>
      <c r="AW127" s="1"/>
      <c r="AX127" s="1"/>
      <c r="BD127" s="1"/>
      <c r="BE127" s="1"/>
    </row>
    <row r="128" spans="2:57" x14ac:dyDescent="0.3">
      <c r="B128" s="1"/>
      <c r="J128" s="2"/>
      <c r="AN128" s="1"/>
      <c r="AO128" s="1"/>
      <c r="AP128" s="1"/>
      <c r="AW128" s="1"/>
      <c r="AX128" s="1"/>
      <c r="BD128" s="1"/>
    </row>
    <row r="129" spans="2:56" x14ac:dyDescent="0.3">
      <c r="B129" s="1"/>
      <c r="J129" s="2"/>
      <c r="AN129" s="1"/>
      <c r="AO129" s="1"/>
      <c r="AP129" s="1"/>
      <c r="AW129" s="1"/>
      <c r="AX129" s="1"/>
      <c r="BD129" s="1"/>
    </row>
    <row r="130" spans="2:56" x14ac:dyDescent="0.3">
      <c r="B130" s="1"/>
      <c r="J130" s="2"/>
      <c r="AN130" s="1"/>
      <c r="AO130" s="1"/>
      <c r="AP130" s="1"/>
      <c r="AW130" s="1"/>
      <c r="AX130" s="1"/>
      <c r="BD130" s="1"/>
    </row>
    <row r="131" spans="2:56" x14ac:dyDescent="0.3">
      <c r="B131" s="1"/>
      <c r="J131" s="2"/>
      <c r="AW131" s="1"/>
      <c r="AX131" s="1"/>
      <c r="BD131" s="1"/>
    </row>
    <row r="132" spans="2:56" x14ac:dyDescent="0.3">
      <c r="B132" s="1"/>
      <c r="J132" s="2"/>
      <c r="AW132" s="1"/>
      <c r="AX132" s="1"/>
      <c r="BD132" s="1"/>
    </row>
    <row r="133" spans="2:56" x14ac:dyDescent="0.3">
      <c r="B133" s="1"/>
      <c r="J133" s="2"/>
      <c r="AN133" s="1"/>
      <c r="AO133" s="1"/>
      <c r="AP133" s="1"/>
      <c r="AW133" s="1"/>
      <c r="AX133" s="1"/>
      <c r="BD133" s="1"/>
    </row>
    <row r="134" spans="2:56" x14ac:dyDescent="0.3">
      <c r="B134" s="1"/>
      <c r="J134" s="2"/>
      <c r="AN134" s="1"/>
      <c r="AO134" s="1"/>
      <c r="AP134" s="1"/>
      <c r="AW134" s="1"/>
      <c r="AX134" s="1"/>
      <c r="BD134" s="1"/>
    </row>
    <row r="135" spans="2:56" x14ac:dyDescent="0.3">
      <c r="B135" s="1"/>
      <c r="J135" s="2"/>
      <c r="AN135" s="1"/>
      <c r="AO135" s="1"/>
      <c r="AP135" s="1"/>
      <c r="AW135" s="1"/>
      <c r="AX135" s="1"/>
      <c r="BD135" s="1"/>
    </row>
    <row r="136" spans="2:56" x14ac:dyDescent="0.3">
      <c r="B136" s="1"/>
      <c r="J136" s="2"/>
      <c r="AN136" s="1"/>
      <c r="AO136" s="1"/>
      <c r="AP136" s="1"/>
      <c r="AW136" s="1"/>
      <c r="AX136" s="1"/>
      <c r="BD136" s="1"/>
    </row>
    <row r="137" spans="2:56" x14ac:dyDescent="0.3">
      <c r="B137" s="1"/>
      <c r="J137" s="2"/>
      <c r="AN137" s="1"/>
      <c r="AO137" s="1"/>
      <c r="AP137" s="1"/>
      <c r="AW137" s="1"/>
      <c r="AX137" s="1"/>
      <c r="BD137" s="1"/>
    </row>
    <row r="138" spans="2:56" x14ac:dyDescent="0.3">
      <c r="B138" s="1"/>
      <c r="J138" s="2"/>
      <c r="AN138" s="1"/>
      <c r="AO138" s="1"/>
      <c r="AP138" s="1"/>
      <c r="AW138" s="1"/>
      <c r="AX138" s="1"/>
      <c r="BD138" s="1"/>
    </row>
    <row r="139" spans="2:56" x14ac:dyDescent="0.3">
      <c r="B139" s="1"/>
      <c r="J139" s="2"/>
      <c r="AN139" s="1"/>
      <c r="AO139" s="1"/>
      <c r="AW139" s="1"/>
      <c r="AX139" s="1"/>
      <c r="BD139" s="1"/>
    </row>
    <row r="140" spans="2:56" x14ac:dyDescent="0.3">
      <c r="B140" s="1"/>
      <c r="J140" s="2"/>
      <c r="AN140" s="1"/>
      <c r="AO140" s="1"/>
      <c r="AW140" s="1"/>
      <c r="AX140" s="1"/>
      <c r="BD140" s="1"/>
    </row>
    <row r="141" spans="2:56" x14ac:dyDescent="0.3">
      <c r="B141" s="1"/>
      <c r="J141" s="2"/>
      <c r="AN141" s="1"/>
      <c r="AO141" s="1"/>
      <c r="AW141" s="1"/>
      <c r="AX141" s="1"/>
      <c r="BD141" s="1"/>
    </row>
    <row r="142" spans="2:56" x14ac:dyDescent="0.3">
      <c r="B142" s="1"/>
      <c r="J142" s="2"/>
      <c r="AN142" s="1"/>
      <c r="AO142" s="1"/>
      <c r="AW142" s="1"/>
      <c r="AX142" s="1"/>
      <c r="BD142" s="1"/>
    </row>
    <row r="143" spans="2:56" x14ac:dyDescent="0.3">
      <c r="B143" s="1"/>
      <c r="J143" s="2"/>
      <c r="AN143" s="1"/>
      <c r="AO143" s="1"/>
      <c r="AW143" s="1"/>
      <c r="AX143" s="1"/>
      <c r="BD143" s="1"/>
    </row>
    <row r="144" spans="2:56" x14ac:dyDescent="0.3">
      <c r="B144" s="1"/>
      <c r="J144" s="2"/>
      <c r="AN144" s="1"/>
      <c r="AO144" s="1"/>
      <c r="AP144" s="1"/>
      <c r="AW144" s="1"/>
      <c r="AX144" s="1"/>
      <c r="BD144" s="1"/>
    </row>
    <row r="145" spans="2:57" x14ac:dyDescent="0.3">
      <c r="B145" s="1"/>
      <c r="J145" s="2"/>
      <c r="AN145" s="1"/>
      <c r="AO145" s="1"/>
      <c r="AP145" s="1"/>
      <c r="AW145" s="1"/>
      <c r="AX145" s="1"/>
      <c r="BD145" s="1"/>
      <c r="BE145" s="1"/>
    </row>
    <row r="146" spans="2:57" x14ac:dyDescent="0.3">
      <c r="B146" s="1"/>
      <c r="J146" s="2"/>
      <c r="AN146" s="1"/>
      <c r="AO146" s="1"/>
      <c r="AP146" s="1"/>
      <c r="AW146" s="1"/>
      <c r="AX146" s="1"/>
      <c r="BD146" s="1"/>
    </row>
    <row r="147" spans="2:57" x14ac:dyDescent="0.3">
      <c r="B147" s="1"/>
      <c r="J147" s="2"/>
      <c r="AN147" s="1"/>
      <c r="AO147" s="1"/>
      <c r="AP147" s="1"/>
      <c r="AW147" s="1"/>
      <c r="AX147" s="1"/>
      <c r="BD147" s="1"/>
    </row>
    <row r="148" spans="2:57" x14ac:dyDescent="0.3">
      <c r="B148" s="1"/>
      <c r="J148" s="2"/>
      <c r="AN148" s="1"/>
      <c r="AO148" s="1"/>
      <c r="AW148" s="1"/>
      <c r="AX148" s="1"/>
      <c r="BD148" s="1"/>
    </row>
    <row r="149" spans="2:57" x14ac:dyDescent="0.3">
      <c r="B149" s="1"/>
      <c r="J149" s="2"/>
      <c r="AN149" s="1"/>
      <c r="AO149" s="1"/>
      <c r="AP149" s="1"/>
      <c r="AW149" s="1"/>
      <c r="AX149" s="1"/>
      <c r="BD149" s="1"/>
    </row>
    <row r="150" spans="2:57" x14ac:dyDescent="0.3">
      <c r="B150" s="1"/>
      <c r="J150" s="2"/>
      <c r="AN150" s="1"/>
      <c r="AO150" s="1"/>
      <c r="AP150" s="1"/>
      <c r="AW150" s="1"/>
      <c r="AX150" s="1"/>
      <c r="BD150" s="1"/>
    </row>
    <row r="151" spans="2:57" x14ac:dyDescent="0.3">
      <c r="B151" s="1"/>
      <c r="J151" s="2"/>
      <c r="AN151" s="1"/>
      <c r="AO151" s="1"/>
      <c r="AP151" s="1"/>
      <c r="AW151" s="1"/>
      <c r="AX151" s="1"/>
      <c r="BD151" s="1"/>
    </row>
    <row r="152" spans="2:57" x14ac:dyDescent="0.3">
      <c r="B152" s="1"/>
      <c r="J152" s="2"/>
      <c r="AN152" s="1"/>
      <c r="AO152" s="1"/>
      <c r="AP152" s="1"/>
      <c r="AW152" s="1"/>
      <c r="AX152" s="1"/>
      <c r="BD152" s="1"/>
      <c r="BE152" s="1"/>
    </row>
    <row r="153" spans="2:57" x14ac:dyDescent="0.3">
      <c r="B153" s="1"/>
      <c r="J153" s="2"/>
      <c r="AN153" s="1"/>
      <c r="AO153" s="1"/>
      <c r="AP153" s="1"/>
      <c r="AW153" s="1"/>
      <c r="AX153" s="1"/>
      <c r="BD153" s="1"/>
    </row>
    <row r="154" spans="2:57" x14ac:dyDescent="0.3">
      <c r="B154" s="1"/>
      <c r="J154" s="2"/>
      <c r="AN154" s="1"/>
      <c r="AO154" s="1"/>
      <c r="AP154" s="1"/>
      <c r="AW154" s="1"/>
      <c r="AX154" s="1"/>
      <c r="BD154" s="1"/>
    </row>
    <row r="155" spans="2:57" x14ac:dyDescent="0.3">
      <c r="B155" s="1"/>
      <c r="J155" s="2"/>
      <c r="AN155" s="1"/>
      <c r="AW155" s="1"/>
      <c r="AX155" s="1"/>
      <c r="BD155" s="1"/>
    </row>
    <row r="156" spans="2:57" x14ac:dyDescent="0.3">
      <c r="B156" s="1"/>
      <c r="J156" s="2"/>
      <c r="AN156" s="1"/>
      <c r="AO156" s="1"/>
      <c r="AP156" s="1"/>
      <c r="AW156" s="1"/>
      <c r="AX156" s="1"/>
      <c r="BD156" s="1"/>
    </row>
    <row r="157" spans="2:57" x14ac:dyDescent="0.3">
      <c r="B157" s="1"/>
      <c r="J157" s="2"/>
      <c r="AN157" s="1"/>
      <c r="AO157" s="1"/>
      <c r="AW157" s="1"/>
      <c r="AX157" s="1"/>
      <c r="BD157" s="1"/>
    </row>
    <row r="158" spans="2:57" x14ac:dyDescent="0.3">
      <c r="B158" s="1"/>
      <c r="J158" s="2"/>
      <c r="AN158" s="1"/>
      <c r="AO158" s="1"/>
      <c r="AP158" s="1"/>
      <c r="AW158" s="1"/>
      <c r="AX158" s="1"/>
      <c r="BD158" s="1"/>
    </row>
    <row r="159" spans="2:57" x14ac:dyDescent="0.3">
      <c r="B159" s="1"/>
      <c r="J159" s="2"/>
      <c r="AN159" s="1"/>
      <c r="AO159" s="1"/>
      <c r="AP159" s="1"/>
      <c r="AW159" s="1"/>
      <c r="AX159" s="1"/>
      <c r="BD159" s="1"/>
    </row>
    <row r="160" spans="2:57" x14ac:dyDescent="0.3">
      <c r="B160" s="1"/>
      <c r="J160" s="2"/>
      <c r="AN160" s="1"/>
      <c r="AO160" s="1"/>
      <c r="AW160" s="1"/>
      <c r="AX160" s="1"/>
      <c r="BD160" s="1"/>
    </row>
    <row r="161" spans="2:57" x14ac:dyDescent="0.3">
      <c r="B161" s="1"/>
      <c r="J161" s="2"/>
      <c r="AN161" s="1"/>
      <c r="AO161" s="1"/>
      <c r="AP161" s="1"/>
      <c r="AW161" s="1"/>
      <c r="AX161" s="1"/>
      <c r="BD161" s="1"/>
    </row>
    <row r="162" spans="2:57" x14ac:dyDescent="0.3">
      <c r="B162" s="1"/>
      <c r="J162" s="2"/>
      <c r="AP162" s="1"/>
      <c r="AW162" s="1"/>
      <c r="AX162" s="1"/>
      <c r="BD162" s="1"/>
    </row>
    <row r="163" spans="2:57" x14ac:dyDescent="0.3">
      <c r="B163" s="1"/>
      <c r="J163" s="2"/>
      <c r="AN163" s="1"/>
      <c r="AO163" s="1"/>
      <c r="AW163" s="1"/>
      <c r="AX163" s="1"/>
      <c r="BD163" s="1"/>
    </row>
    <row r="164" spans="2:57" x14ac:dyDescent="0.3">
      <c r="B164" s="1"/>
      <c r="J164" s="2"/>
      <c r="AN164" s="1"/>
      <c r="AO164" s="1"/>
      <c r="AP164" s="1"/>
      <c r="AW164" s="1"/>
      <c r="AX164" s="1"/>
      <c r="BD164" s="1"/>
    </row>
    <row r="165" spans="2:57" x14ac:dyDescent="0.3">
      <c r="B165" s="1"/>
      <c r="J165" s="2"/>
      <c r="AN165" s="1"/>
      <c r="AO165" s="1"/>
      <c r="AP165" s="1"/>
      <c r="AW165" s="1"/>
      <c r="AX165" s="1"/>
      <c r="BD165" s="1"/>
    </row>
    <row r="166" spans="2:57" x14ac:dyDescent="0.3">
      <c r="B166" s="1"/>
      <c r="J166" s="2"/>
      <c r="AN166" s="1"/>
      <c r="AO166" s="1"/>
      <c r="AW166" s="1"/>
      <c r="AX166" s="1"/>
      <c r="BD166" s="1"/>
    </row>
    <row r="167" spans="2:57" x14ac:dyDescent="0.3">
      <c r="B167" s="1"/>
      <c r="J167" s="2"/>
      <c r="AN167" s="1"/>
      <c r="AO167" s="1"/>
      <c r="AP167" s="1"/>
      <c r="AW167" s="1"/>
      <c r="AX167" s="1"/>
      <c r="BD167" s="1"/>
    </row>
    <row r="168" spans="2:57" x14ac:dyDescent="0.3">
      <c r="B168" s="1"/>
      <c r="J168" s="2"/>
      <c r="AN168" s="1"/>
      <c r="AO168" s="1"/>
      <c r="AW168" s="1"/>
      <c r="AX168" s="1"/>
      <c r="BD168" s="1"/>
    </row>
    <row r="169" spans="2:57" x14ac:dyDescent="0.3">
      <c r="B169" s="1"/>
      <c r="J169" s="2"/>
      <c r="AN169" s="1"/>
      <c r="AO169" s="1"/>
      <c r="AP169" s="1"/>
      <c r="AW169" s="1"/>
      <c r="AX169" s="1"/>
      <c r="BD169" s="1"/>
      <c r="BE169" s="1"/>
    </row>
    <row r="170" spans="2:57" x14ac:dyDescent="0.3">
      <c r="B170" s="1"/>
      <c r="J170" s="2"/>
      <c r="AN170" s="1"/>
      <c r="AO170" s="1"/>
      <c r="AP170" s="1"/>
      <c r="AW170" s="1"/>
      <c r="AX170" s="1"/>
      <c r="BD170" s="1"/>
    </row>
    <row r="171" spans="2:57" x14ac:dyDescent="0.3">
      <c r="B171" s="1"/>
      <c r="J171" s="2"/>
      <c r="AN171" s="1"/>
      <c r="AO171" s="1"/>
      <c r="AP171" s="1"/>
      <c r="AW171" s="1"/>
      <c r="AX171" s="1"/>
      <c r="BD171" s="1"/>
    </row>
    <row r="172" spans="2:57" x14ac:dyDescent="0.3">
      <c r="B172" s="1"/>
      <c r="J172" s="2"/>
      <c r="AN172" s="1"/>
      <c r="AO172" s="1"/>
      <c r="AP172" s="1"/>
      <c r="AW172" s="1"/>
      <c r="AX172" s="1"/>
      <c r="BD172" s="1"/>
    </row>
    <row r="173" spans="2:57" x14ac:dyDescent="0.3">
      <c r="B173" s="1"/>
      <c r="J173" s="2"/>
      <c r="AN173" s="1"/>
      <c r="AO173" s="1"/>
      <c r="AP173" s="1"/>
      <c r="AW173" s="1"/>
      <c r="AX173" s="1"/>
      <c r="BD173" s="1"/>
      <c r="BE173" s="1"/>
    </row>
    <row r="174" spans="2:57" x14ac:dyDescent="0.3">
      <c r="B174" s="1"/>
      <c r="J174" s="2"/>
      <c r="AN174" s="1"/>
      <c r="AO174" s="1"/>
      <c r="AP174" s="1"/>
      <c r="AW174" s="1"/>
      <c r="AX174" s="1"/>
      <c r="BD174" s="1"/>
    </row>
    <row r="175" spans="2:57" x14ac:dyDescent="0.3">
      <c r="B175" s="1"/>
      <c r="J175" s="2"/>
      <c r="AN175" s="1"/>
      <c r="AO175" s="1"/>
      <c r="AP175" s="1"/>
      <c r="AW175" s="1"/>
      <c r="AX175" s="1"/>
      <c r="BD175" s="1"/>
    </row>
    <row r="176" spans="2:57" x14ac:dyDescent="0.3">
      <c r="B176" s="1"/>
      <c r="J176" s="2"/>
      <c r="AN176" s="1"/>
      <c r="AO176" s="1"/>
      <c r="AP176" s="1"/>
      <c r="AW176" s="1"/>
      <c r="AX176" s="1"/>
      <c r="BD176" s="1"/>
    </row>
    <row r="177" spans="2:56" x14ac:dyDescent="0.3">
      <c r="B177" s="1"/>
      <c r="J177" s="2"/>
      <c r="AW177" s="1"/>
      <c r="AX177" s="1"/>
      <c r="BD177" s="1"/>
    </row>
    <row r="178" spans="2:56" x14ac:dyDescent="0.3">
      <c r="B178" s="1"/>
      <c r="J178" s="2"/>
      <c r="AP178" s="1"/>
      <c r="AW178" s="1"/>
      <c r="AX178" s="1"/>
      <c r="BD178" s="1"/>
    </row>
    <row r="179" spans="2:56" x14ac:dyDescent="0.3">
      <c r="B179" s="1"/>
      <c r="J179" s="2"/>
      <c r="AN179" s="1"/>
      <c r="AO179" s="1"/>
      <c r="AW179" s="1"/>
      <c r="AX179" s="1"/>
      <c r="BD179" s="1"/>
    </row>
    <row r="180" spans="2:56" x14ac:dyDescent="0.3">
      <c r="B180" s="1"/>
      <c r="J180" s="2"/>
      <c r="AN180" s="1"/>
      <c r="AO180" s="1"/>
      <c r="AP180" s="1"/>
      <c r="AW180" s="1"/>
      <c r="AX180" s="1"/>
      <c r="BD180" s="1"/>
    </row>
    <row r="181" spans="2:56" x14ac:dyDescent="0.3">
      <c r="B181" s="1"/>
      <c r="J181" s="2"/>
      <c r="AN181" s="1"/>
      <c r="AO181" s="1"/>
      <c r="AP181" s="1"/>
      <c r="AW181" s="1"/>
      <c r="AX181" s="1"/>
      <c r="BD181" s="1"/>
    </row>
    <row r="182" spans="2:56" x14ac:dyDescent="0.3">
      <c r="B182" s="1"/>
      <c r="J182" s="2"/>
      <c r="AN182" s="1"/>
      <c r="AO182" s="1"/>
      <c r="AP182" s="1"/>
      <c r="AW182" s="1"/>
      <c r="AX182" s="1"/>
      <c r="BD182" s="1"/>
    </row>
    <row r="183" spans="2:56" x14ac:dyDescent="0.3">
      <c r="B183" s="1"/>
      <c r="J183" s="2"/>
      <c r="AN183" s="1"/>
      <c r="AO183" s="1"/>
      <c r="AP183" s="1"/>
      <c r="AW183" s="1"/>
      <c r="AX183" s="1"/>
      <c r="BD183" s="1"/>
    </row>
    <row r="184" spans="2:56" x14ac:dyDescent="0.3">
      <c r="B184" s="1"/>
      <c r="J184" s="2"/>
      <c r="AN184" s="1"/>
      <c r="AO184" s="1"/>
      <c r="AP184" s="1"/>
      <c r="AW184" s="1"/>
      <c r="AX184" s="1"/>
      <c r="BD184" s="1"/>
    </row>
    <row r="185" spans="2:56" x14ac:dyDescent="0.3">
      <c r="B185" s="1"/>
      <c r="J185" s="2"/>
      <c r="AN185" s="1"/>
      <c r="AO185" s="1"/>
      <c r="AP185" s="1"/>
      <c r="AW185" s="1"/>
      <c r="AX185" s="1"/>
      <c r="BD185" s="1"/>
    </row>
    <row r="186" spans="2:56" x14ac:dyDescent="0.3">
      <c r="B186" s="1"/>
      <c r="J186" s="2"/>
      <c r="AN186" s="1"/>
      <c r="AO186" s="1"/>
      <c r="AP186" s="1"/>
      <c r="AW186" s="1"/>
      <c r="AX186" s="1"/>
      <c r="BD186" s="1"/>
    </row>
    <row r="187" spans="2:56" x14ac:dyDescent="0.3">
      <c r="B187" s="1"/>
      <c r="J187" s="2"/>
      <c r="AN187" s="1"/>
      <c r="AO187" s="1"/>
      <c r="AW187" s="1"/>
      <c r="AX187" s="1"/>
      <c r="BD187" s="1"/>
    </row>
    <row r="188" spans="2:56" x14ac:dyDescent="0.3">
      <c r="B188" s="1"/>
      <c r="J188" s="2"/>
      <c r="AP188" s="1"/>
      <c r="AW188" s="1"/>
      <c r="AX188" s="1"/>
      <c r="BD188" s="1"/>
    </row>
    <row r="189" spans="2:56" x14ac:dyDescent="0.3">
      <c r="B189" s="1"/>
      <c r="J189" s="2"/>
      <c r="AN189" s="1"/>
      <c r="AO189" s="1"/>
      <c r="AW189" s="1"/>
      <c r="AX189" s="1"/>
      <c r="BD189" s="1"/>
    </row>
    <row r="190" spans="2:56" x14ac:dyDescent="0.3">
      <c r="B190" s="1"/>
      <c r="J190" s="2"/>
      <c r="AW190" s="1"/>
      <c r="AX190" s="1"/>
      <c r="BD190" s="1"/>
    </row>
    <row r="191" spans="2:56" x14ac:dyDescent="0.3">
      <c r="B191" s="1"/>
      <c r="J191" s="2"/>
      <c r="AN191" s="1"/>
      <c r="AO191" s="1"/>
      <c r="AP191" s="1"/>
      <c r="AW191" s="1"/>
      <c r="AX191" s="1"/>
      <c r="BD191" s="1"/>
    </row>
    <row r="192" spans="2:56" x14ac:dyDescent="0.3">
      <c r="B192" s="1"/>
      <c r="J192" s="2"/>
      <c r="AN192" s="1"/>
      <c r="AO192" s="1"/>
      <c r="AW192" s="1"/>
      <c r="AX192" s="1"/>
      <c r="BD192" s="1"/>
    </row>
    <row r="193" spans="2:56" x14ac:dyDescent="0.3">
      <c r="B193" s="1"/>
      <c r="J193" s="2"/>
      <c r="AN193" s="1"/>
      <c r="AO193" s="1"/>
      <c r="AW193" s="1"/>
      <c r="AX193" s="1"/>
      <c r="BD193" s="1"/>
    </row>
    <row r="194" spans="2:56" x14ac:dyDescent="0.3">
      <c r="B194" s="1"/>
      <c r="J194" s="2"/>
      <c r="AP194" s="1"/>
      <c r="AW194" s="1"/>
      <c r="AX194" s="1"/>
      <c r="BD194" s="1"/>
    </row>
    <row r="195" spans="2:56" x14ac:dyDescent="0.3">
      <c r="B195" s="1"/>
      <c r="J195" s="2"/>
      <c r="AN195" s="1"/>
      <c r="AO195" s="1"/>
      <c r="AW195" s="1"/>
      <c r="AX195" s="1"/>
      <c r="BD195" s="1"/>
    </row>
    <row r="196" spans="2:56" x14ac:dyDescent="0.3">
      <c r="B196" s="1"/>
      <c r="J196" s="2"/>
      <c r="AN196" s="1"/>
      <c r="AO196" s="1"/>
      <c r="AW196" s="1"/>
      <c r="AX196" s="1"/>
      <c r="BD196" s="1"/>
    </row>
    <row r="197" spans="2:56" x14ac:dyDescent="0.3">
      <c r="B197" s="1"/>
      <c r="J197" s="2"/>
      <c r="AN197" s="1"/>
      <c r="AO197" s="1"/>
      <c r="AP197" s="1"/>
      <c r="AW197" s="1"/>
      <c r="AX197" s="1"/>
      <c r="BD197" s="1"/>
    </row>
    <row r="198" spans="2:56" x14ac:dyDescent="0.3">
      <c r="B198" s="1"/>
      <c r="J198" s="2"/>
      <c r="AP198" s="1"/>
      <c r="AW198" s="1"/>
      <c r="AX198" s="1"/>
      <c r="BD198" s="1"/>
    </row>
    <row r="199" spans="2:56" x14ac:dyDescent="0.3">
      <c r="B199" s="1"/>
      <c r="J199" s="2"/>
      <c r="AN199" s="1"/>
      <c r="AO199" s="1"/>
      <c r="AP199" s="1"/>
      <c r="AW199" s="1"/>
      <c r="AX199" s="1"/>
      <c r="BD199" s="1"/>
    </row>
    <row r="200" spans="2:56" x14ac:dyDescent="0.3">
      <c r="B200" s="1"/>
      <c r="J200" s="2"/>
      <c r="AW200" s="1"/>
      <c r="AX200" s="1"/>
      <c r="BD200" s="1"/>
    </row>
    <row r="201" spans="2:56" x14ac:dyDescent="0.3">
      <c r="B201" s="1"/>
      <c r="J201" s="2"/>
      <c r="AW201" s="1"/>
      <c r="AX201" s="1"/>
      <c r="BD201" s="1"/>
    </row>
    <row r="202" spans="2:56" x14ac:dyDescent="0.3">
      <c r="B202" s="1"/>
      <c r="J202" s="2"/>
      <c r="AW202" s="1"/>
      <c r="AX202" s="1"/>
      <c r="BD202" s="1"/>
    </row>
    <row r="203" spans="2:56" x14ac:dyDescent="0.3">
      <c r="B203" s="1"/>
      <c r="J203" s="2"/>
      <c r="AP203" s="1"/>
      <c r="AW203" s="1"/>
      <c r="AX203" s="1"/>
      <c r="BD203" s="1"/>
    </row>
    <row r="204" spans="2:56" x14ac:dyDescent="0.3">
      <c r="B204" s="1"/>
      <c r="J204" s="2"/>
      <c r="AN204" s="1"/>
      <c r="AO204" s="1"/>
      <c r="AP204" s="1"/>
      <c r="AW204" s="1"/>
      <c r="AX204" s="1"/>
      <c r="BD204" s="1"/>
    </row>
    <row r="205" spans="2:56" x14ac:dyDescent="0.3">
      <c r="B205" s="1"/>
      <c r="J205" s="2"/>
      <c r="AW205" s="1"/>
      <c r="AX205" s="1"/>
      <c r="BD205" s="1"/>
    </row>
    <row r="206" spans="2:56" x14ac:dyDescent="0.3">
      <c r="B206" s="1"/>
      <c r="J206" s="2"/>
      <c r="AW206" s="1"/>
      <c r="AX206" s="1"/>
      <c r="BD206" s="1"/>
    </row>
    <row r="207" spans="2:56" x14ac:dyDescent="0.3">
      <c r="B207" s="1"/>
      <c r="J207" s="2"/>
      <c r="AN207" s="1"/>
      <c r="AO207" s="1"/>
      <c r="AP207" s="1"/>
      <c r="AW207" s="1"/>
      <c r="AX207" s="1"/>
      <c r="BD207" s="1"/>
    </row>
    <row r="208" spans="2:56" x14ac:dyDescent="0.3">
      <c r="B208" s="1"/>
      <c r="J208" s="2"/>
      <c r="AN208" s="1"/>
      <c r="AO208" s="1"/>
      <c r="AP208" s="1"/>
      <c r="AW208" s="1"/>
      <c r="AX208" s="1"/>
      <c r="BD208" s="1"/>
    </row>
    <row r="209" spans="2:57" x14ac:dyDescent="0.3">
      <c r="B209" s="1"/>
      <c r="J209" s="2"/>
      <c r="AN209" s="1"/>
      <c r="AO209" s="1"/>
      <c r="AP209" s="1"/>
      <c r="AW209" s="1"/>
      <c r="AX209" s="1"/>
      <c r="BD209" s="1"/>
    </row>
    <row r="210" spans="2:57" x14ac:dyDescent="0.3">
      <c r="B210" s="1"/>
      <c r="J210" s="2"/>
      <c r="AW210" s="1"/>
      <c r="AX210" s="1"/>
      <c r="BD210" s="1"/>
    </row>
    <row r="211" spans="2:57" x14ac:dyDescent="0.3">
      <c r="B211" s="1"/>
      <c r="J211" s="2"/>
      <c r="AW211" s="1"/>
      <c r="AX211" s="1"/>
      <c r="BD211" s="1"/>
    </row>
    <row r="212" spans="2:57" x14ac:dyDescent="0.3">
      <c r="B212" s="1"/>
      <c r="J212" s="2"/>
      <c r="AN212" s="1"/>
      <c r="AO212" s="1"/>
      <c r="AW212" s="1"/>
      <c r="AX212" s="1"/>
      <c r="BD212" s="1"/>
    </row>
    <row r="213" spans="2:57" x14ac:dyDescent="0.3">
      <c r="B213" s="1"/>
      <c r="J213" s="2"/>
      <c r="AN213" s="1"/>
      <c r="AO213" s="1"/>
      <c r="AP213" s="1"/>
      <c r="AW213" s="1"/>
      <c r="AX213" s="1"/>
      <c r="BD213" s="1"/>
    </row>
    <row r="214" spans="2:57" x14ac:dyDescent="0.3">
      <c r="B214" s="1"/>
      <c r="J214" s="2"/>
      <c r="AN214" s="1"/>
      <c r="AO214" s="1"/>
      <c r="AP214" s="1"/>
      <c r="AW214" s="1"/>
      <c r="AX214" s="1"/>
      <c r="BD214" s="1"/>
    </row>
    <row r="215" spans="2:57" x14ac:dyDescent="0.3">
      <c r="B215" s="1"/>
      <c r="J215" s="2"/>
      <c r="AN215" s="1"/>
      <c r="AO215" s="1"/>
      <c r="AP215" s="1"/>
      <c r="AW215" s="1"/>
      <c r="AX215" s="1"/>
      <c r="BD215" s="1"/>
    </row>
    <row r="216" spans="2:57" x14ac:dyDescent="0.3">
      <c r="B216" s="1"/>
      <c r="J216" s="2"/>
      <c r="AN216" s="1"/>
      <c r="AO216" s="1"/>
      <c r="AP216" s="1"/>
      <c r="AW216" s="1"/>
      <c r="AX216" s="1"/>
      <c r="BD216" s="1"/>
      <c r="BE216" s="1"/>
    </row>
    <row r="217" spans="2:57" x14ac:dyDescent="0.3">
      <c r="B217" s="1"/>
      <c r="J217" s="2"/>
      <c r="AN217" s="1"/>
      <c r="AO217" s="1"/>
      <c r="AP217" s="1"/>
      <c r="AW217" s="1"/>
      <c r="AX217" s="1"/>
      <c r="BD217" s="1"/>
    </row>
    <row r="218" spans="2:57" x14ac:dyDescent="0.3">
      <c r="B218" s="1"/>
      <c r="J218" s="2"/>
      <c r="AN218" s="1"/>
      <c r="AO218" s="1"/>
      <c r="AP218" s="1"/>
      <c r="AW218" s="1"/>
      <c r="AX218" s="1"/>
      <c r="BD218" s="1"/>
    </row>
    <row r="219" spans="2:57" x14ac:dyDescent="0.3">
      <c r="B219" s="1"/>
      <c r="J219" s="2"/>
      <c r="AN219" s="1"/>
      <c r="AO219" s="1"/>
      <c r="AP219" s="1"/>
      <c r="AW219" s="1"/>
      <c r="AX219" s="1"/>
      <c r="BD219" s="1"/>
    </row>
    <row r="220" spans="2:57" x14ac:dyDescent="0.3">
      <c r="B220" s="1"/>
      <c r="J220" s="2"/>
      <c r="AN220" s="1"/>
      <c r="AO220" s="1"/>
      <c r="AP220" s="1"/>
      <c r="AW220" s="1"/>
      <c r="AX220" s="1"/>
      <c r="BD220" s="1"/>
    </row>
    <row r="221" spans="2:57" x14ac:dyDescent="0.3">
      <c r="B221" s="1"/>
      <c r="J221" s="2"/>
      <c r="AN221" s="1"/>
      <c r="AO221" s="1"/>
      <c r="AP221" s="1"/>
      <c r="AW221" s="1"/>
      <c r="AX221" s="1"/>
      <c r="BD221" s="1"/>
    </row>
    <row r="222" spans="2:57" x14ac:dyDescent="0.3">
      <c r="B222" s="1"/>
      <c r="J222" s="2"/>
      <c r="AN222" s="1"/>
      <c r="AO222" s="1"/>
      <c r="AP222" s="1"/>
      <c r="AW222" s="1"/>
      <c r="AX222" s="1"/>
      <c r="BD222" s="1"/>
      <c r="BE222" s="1"/>
    </row>
    <row r="223" spans="2:57" x14ac:dyDescent="0.3">
      <c r="B223" s="1"/>
      <c r="J223" s="2"/>
      <c r="AN223" s="1"/>
      <c r="AO223" s="1"/>
      <c r="AP223" s="1"/>
      <c r="AW223" s="1"/>
      <c r="AX223" s="1"/>
      <c r="BD223" s="1"/>
      <c r="BE223" s="1"/>
    </row>
    <row r="224" spans="2:57" x14ac:dyDescent="0.3">
      <c r="B224" s="1"/>
      <c r="J224" s="2"/>
      <c r="AN224" s="1"/>
      <c r="AO224" s="1"/>
      <c r="AP224" s="1"/>
      <c r="AW224" s="1"/>
      <c r="AX224" s="1"/>
      <c r="BD224" s="1"/>
    </row>
    <row r="225" spans="2:57" x14ac:dyDescent="0.3">
      <c r="B225" s="1"/>
      <c r="J225" s="2"/>
      <c r="AN225" s="1"/>
      <c r="AO225" s="1"/>
      <c r="AP225" s="1"/>
      <c r="AW225" s="1"/>
      <c r="AX225" s="1"/>
      <c r="BD225" s="1"/>
    </row>
    <row r="226" spans="2:57" x14ac:dyDescent="0.3">
      <c r="B226" s="1"/>
      <c r="J226" s="2"/>
      <c r="AN226" s="1"/>
      <c r="AO226" s="1"/>
      <c r="AP226" s="1"/>
      <c r="AW226" s="1"/>
      <c r="AX226" s="1"/>
      <c r="BD226" s="1"/>
    </row>
    <row r="227" spans="2:57" x14ac:dyDescent="0.3">
      <c r="B227" s="1"/>
      <c r="J227" s="2"/>
      <c r="AW227" s="1"/>
      <c r="AX227" s="1"/>
      <c r="BD227" s="1"/>
    </row>
    <row r="228" spans="2:57" x14ac:dyDescent="0.3">
      <c r="B228" s="1"/>
      <c r="J228" s="2"/>
      <c r="AN228" s="1"/>
      <c r="AO228" s="1"/>
      <c r="AP228" s="1"/>
      <c r="AW228" s="1"/>
      <c r="AX228" s="1"/>
      <c r="BD228" s="1"/>
    </row>
    <row r="229" spans="2:57" x14ac:dyDescent="0.3">
      <c r="B229" s="1"/>
      <c r="J229" s="2"/>
      <c r="AN229" s="1"/>
      <c r="AO229" s="1"/>
      <c r="AP229" s="1"/>
      <c r="AW229" s="1"/>
      <c r="AX229" s="1"/>
      <c r="BD229" s="1"/>
    </row>
    <row r="230" spans="2:57" x14ac:dyDescent="0.3">
      <c r="B230" s="1"/>
      <c r="J230" s="2"/>
      <c r="AN230" s="1"/>
      <c r="AO230" s="1"/>
      <c r="AP230" s="1"/>
      <c r="AW230" s="1"/>
      <c r="AX230" s="1"/>
      <c r="BD230" s="1"/>
    </row>
    <row r="231" spans="2:57" x14ac:dyDescent="0.3">
      <c r="B231" s="1"/>
      <c r="J231" s="2"/>
      <c r="AN231" s="1"/>
      <c r="AO231" s="1"/>
      <c r="AP231" s="1"/>
      <c r="AW231" s="1"/>
      <c r="AX231" s="1"/>
      <c r="BD231" s="1"/>
    </row>
    <row r="232" spans="2:57" x14ac:dyDescent="0.3">
      <c r="B232" s="1"/>
      <c r="J232" s="2"/>
      <c r="AN232" s="1"/>
      <c r="AO232" s="1"/>
      <c r="AP232" s="1"/>
      <c r="AW232" s="1"/>
      <c r="AX232" s="1"/>
      <c r="BD232" s="1"/>
    </row>
    <row r="233" spans="2:57" x14ac:dyDescent="0.3">
      <c r="B233" s="1"/>
      <c r="J233" s="2"/>
      <c r="AN233" s="1"/>
      <c r="AO233" s="1"/>
      <c r="AP233" s="1"/>
      <c r="AW233" s="1"/>
      <c r="AX233" s="1"/>
      <c r="BD233" s="1"/>
      <c r="BE233" s="1"/>
    </row>
    <row r="234" spans="2:57" x14ac:dyDescent="0.3">
      <c r="B234" s="1"/>
      <c r="J234" s="2"/>
      <c r="AN234" s="1"/>
      <c r="AO234" s="1"/>
      <c r="AP234" s="1"/>
      <c r="AW234" s="1"/>
      <c r="AX234" s="1"/>
      <c r="BD234" s="1"/>
    </row>
    <row r="235" spans="2:57" x14ac:dyDescent="0.3">
      <c r="B235" s="1"/>
      <c r="J235" s="2"/>
      <c r="AN235" s="1"/>
      <c r="AO235" s="1"/>
      <c r="AP235" s="1"/>
      <c r="AW235" s="1"/>
      <c r="AX235" s="1"/>
      <c r="BD235" s="1"/>
    </row>
    <row r="236" spans="2:57" x14ac:dyDescent="0.3">
      <c r="B236" s="1"/>
      <c r="J236" s="2"/>
      <c r="AN236" s="1"/>
      <c r="AO236" s="1"/>
      <c r="AP236" s="1"/>
      <c r="AW236" s="1"/>
      <c r="AX236" s="1"/>
      <c r="BD236" s="1"/>
    </row>
    <row r="237" spans="2:57" x14ac:dyDescent="0.3">
      <c r="B237" s="1"/>
      <c r="J237" s="2"/>
      <c r="AN237" s="1"/>
      <c r="AO237" s="1"/>
      <c r="AP237" s="1"/>
      <c r="AW237" s="1"/>
      <c r="AX237" s="1"/>
      <c r="BD237" s="1"/>
    </row>
    <row r="238" spans="2:57" x14ac:dyDescent="0.3">
      <c r="B238" s="1"/>
      <c r="J238" s="2"/>
      <c r="AN238" s="1"/>
      <c r="AO238" s="1"/>
      <c r="AP238" s="1"/>
      <c r="AW238" s="1"/>
      <c r="AX238" s="1"/>
      <c r="BD238" s="1"/>
    </row>
    <row r="239" spans="2:57" x14ac:dyDescent="0.3">
      <c r="B239" s="1"/>
      <c r="J239" s="2"/>
      <c r="AN239" s="1"/>
      <c r="AO239" s="1"/>
      <c r="AP239" s="1"/>
      <c r="AW239" s="1"/>
      <c r="AX239" s="1"/>
      <c r="BD239" s="1"/>
      <c r="BE239" s="1"/>
    </row>
    <row r="240" spans="2:57" x14ac:dyDescent="0.3">
      <c r="B240" s="1"/>
      <c r="J240" s="2"/>
      <c r="AN240" s="1"/>
      <c r="AO240" s="1"/>
      <c r="AP240" s="1"/>
      <c r="AW240" s="1"/>
      <c r="AX240" s="1"/>
      <c r="BD240" s="1"/>
    </row>
    <row r="241" spans="2:57" x14ac:dyDescent="0.3">
      <c r="B241" s="1"/>
      <c r="J241" s="2"/>
      <c r="AN241" s="1"/>
      <c r="AO241" s="1"/>
      <c r="AW241" s="1"/>
      <c r="AX241" s="1"/>
      <c r="BD241" s="1"/>
    </row>
    <row r="242" spans="2:57" x14ac:dyDescent="0.3">
      <c r="B242" s="1"/>
      <c r="J242" s="2"/>
      <c r="AP242" s="1"/>
      <c r="AW242" s="1"/>
      <c r="AX242" s="1"/>
      <c r="BD242" s="1"/>
    </row>
    <row r="243" spans="2:57" x14ac:dyDescent="0.3">
      <c r="B243" s="1"/>
      <c r="J243" s="2"/>
      <c r="AN243" s="1"/>
      <c r="AO243" s="1"/>
      <c r="AP243" s="1"/>
      <c r="AW243" s="1"/>
      <c r="AX243" s="1"/>
      <c r="BD243" s="1"/>
    </row>
    <row r="244" spans="2:57" x14ac:dyDescent="0.3">
      <c r="B244" s="1"/>
      <c r="J244" s="2"/>
      <c r="AN244" s="1"/>
      <c r="AO244" s="1"/>
      <c r="AP244" s="1"/>
      <c r="AW244" s="1"/>
      <c r="AX244" s="1"/>
      <c r="BD244" s="1"/>
    </row>
    <row r="245" spans="2:57" x14ac:dyDescent="0.3">
      <c r="B245" s="1"/>
      <c r="J245" s="2"/>
      <c r="AW245" s="1"/>
      <c r="AX245" s="1"/>
      <c r="BD245" s="1"/>
    </row>
    <row r="246" spans="2:57" x14ac:dyDescent="0.3">
      <c r="B246" s="1"/>
      <c r="J246" s="2"/>
      <c r="AN246" s="1"/>
      <c r="AO246" s="1"/>
      <c r="AP246" s="1"/>
      <c r="AW246" s="1"/>
      <c r="AX246" s="1"/>
      <c r="BD246" s="1"/>
      <c r="BE246" s="1"/>
    </row>
    <row r="247" spans="2:57" x14ac:dyDescent="0.3">
      <c r="B247" s="1"/>
      <c r="J247" s="2"/>
      <c r="AN247" s="1"/>
      <c r="AO247" s="1"/>
      <c r="AP247" s="1"/>
      <c r="AW247" s="1"/>
      <c r="AX247" s="1"/>
      <c r="BD247" s="1"/>
    </row>
    <row r="248" spans="2:57" x14ac:dyDescent="0.3">
      <c r="B248" s="1"/>
      <c r="J248" s="2"/>
      <c r="AN248" s="1"/>
      <c r="AO248" s="1"/>
      <c r="AP248" s="1"/>
      <c r="AW248" s="1"/>
      <c r="AX248" s="1"/>
      <c r="BD248" s="1"/>
    </row>
    <row r="249" spans="2:57" x14ac:dyDescent="0.3">
      <c r="B249" s="1"/>
      <c r="J249" s="2"/>
      <c r="AN249" s="1"/>
      <c r="AO249" s="1"/>
      <c r="AP249" s="1"/>
      <c r="AW249" s="1"/>
      <c r="AX249" s="1"/>
      <c r="BD249" s="1"/>
    </row>
    <row r="250" spans="2:57" x14ac:dyDescent="0.3">
      <c r="B250" s="1"/>
      <c r="J250" s="2"/>
      <c r="AP250" s="1"/>
      <c r="AW250" s="1"/>
      <c r="AX250" s="1"/>
      <c r="BD250" s="1"/>
    </row>
    <row r="251" spans="2:57" x14ac:dyDescent="0.3">
      <c r="B251" s="1"/>
      <c r="J251" s="2"/>
      <c r="AP251" s="1"/>
      <c r="AW251" s="1"/>
      <c r="AX251" s="1"/>
      <c r="BD251" s="1"/>
    </row>
    <row r="252" spans="2:57" x14ac:dyDescent="0.3">
      <c r="B252" s="1"/>
      <c r="J252" s="2"/>
      <c r="AN252" s="1"/>
      <c r="AO252" s="1"/>
      <c r="AP252" s="1"/>
      <c r="AW252" s="1"/>
      <c r="AX252" s="1"/>
      <c r="BD252" s="1"/>
    </row>
    <row r="253" spans="2:57" x14ac:dyDescent="0.3">
      <c r="B253" s="1"/>
      <c r="J253" s="2"/>
      <c r="AN253" s="1"/>
      <c r="AO253" s="1"/>
      <c r="AP253" s="1"/>
      <c r="AW253" s="1"/>
      <c r="AX253" s="1"/>
      <c r="BD253" s="1"/>
    </row>
    <row r="254" spans="2:57" x14ac:dyDescent="0.3">
      <c r="B254" s="1"/>
      <c r="J254" s="2"/>
      <c r="AN254" s="1"/>
      <c r="AO254" s="1"/>
      <c r="AP254" s="1"/>
      <c r="AW254" s="1"/>
      <c r="AX254" s="1"/>
      <c r="BD254" s="1"/>
    </row>
    <row r="255" spans="2:57" x14ac:dyDescent="0.3">
      <c r="B255" s="1"/>
      <c r="J255" s="2"/>
      <c r="AN255" s="1"/>
      <c r="AO255" s="1"/>
      <c r="AP255" s="1"/>
      <c r="AW255" s="1"/>
      <c r="AX255" s="1"/>
      <c r="BD255" s="1"/>
      <c r="BE255" s="1"/>
    </row>
    <row r="256" spans="2:57" x14ac:dyDescent="0.3">
      <c r="B256" s="1"/>
      <c r="J256" s="2"/>
      <c r="AN256" s="1"/>
      <c r="AO256" s="1"/>
      <c r="AW256" s="1"/>
      <c r="AX256" s="1"/>
      <c r="BD256" s="1"/>
    </row>
    <row r="257" spans="2:57" x14ac:dyDescent="0.3">
      <c r="B257" s="1"/>
      <c r="J257" s="2"/>
      <c r="AP257" s="1"/>
      <c r="AW257" s="1"/>
      <c r="AX257" s="1"/>
      <c r="BD257" s="1"/>
    </row>
    <row r="258" spans="2:57" x14ac:dyDescent="0.3">
      <c r="B258" s="1"/>
      <c r="J258" s="2"/>
      <c r="AW258" s="1"/>
      <c r="AX258" s="1"/>
      <c r="BD258" s="1"/>
    </row>
    <row r="259" spans="2:57" x14ac:dyDescent="0.3">
      <c r="B259" s="1"/>
      <c r="J259" s="2"/>
      <c r="AN259" s="1"/>
      <c r="AO259" s="1"/>
      <c r="AP259" s="1"/>
      <c r="AW259" s="1"/>
      <c r="AX259" s="1"/>
      <c r="BD259" s="1"/>
    </row>
    <row r="260" spans="2:57" x14ac:dyDescent="0.3">
      <c r="B260" s="1"/>
      <c r="J260" s="2"/>
      <c r="AW260" s="1"/>
      <c r="AX260" s="1"/>
      <c r="BD260" s="1"/>
    </row>
    <row r="261" spans="2:57" x14ac:dyDescent="0.3">
      <c r="B261" s="1"/>
      <c r="J261" s="2"/>
      <c r="AN261" s="1"/>
      <c r="AO261" s="1"/>
      <c r="AP261" s="1"/>
      <c r="AW261" s="1"/>
      <c r="AX261" s="1"/>
      <c r="BD261" s="1"/>
    </row>
    <row r="262" spans="2:57" x14ac:dyDescent="0.3">
      <c r="B262" s="1"/>
      <c r="J262" s="2"/>
      <c r="AW262" s="1"/>
      <c r="AX262" s="1"/>
      <c r="BD262" s="1"/>
    </row>
    <row r="263" spans="2:57" x14ac:dyDescent="0.3">
      <c r="B263" s="1"/>
      <c r="J263" s="2"/>
      <c r="AN263" s="1"/>
      <c r="AO263" s="1"/>
      <c r="AP263" s="1"/>
      <c r="AW263" s="1"/>
      <c r="AX263" s="1"/>
      <c r="BD263" s="1"/>
      <c r="BE263" s="1"/>
    </row>
    <row r="264" spans="2:57" x14ac:dyDescent="0.3">
      <c r="B264" s="1"/>
      <c r="J264" s="2"/>
      <c r="AN264" s="1"/>
      <c r="AO264" s="1"/>
      <c r="AP264" s="1"/>
      <c r="AW264" s="1"/>
      <c r="AX264" s="1"/>
      <c r="BD264" s="1"/>
    </row>
    <row r="265" spans="2:57" x14ac:dyDescent="0.3">
      <c r="B265" s="1"/>
      <c r="J265" s="2"/>
      <c r="AN265" s="1"/>
      <c r="AO265" s="1"/>
      <c r="AP265" s="1"/>
      <c r="AW265" s="1"/>
      <c r="AX265" s="1"/>
      <c r="BD265" s="1"/>
    </row>
    <row r="266" spans="2:57" x14ac:dyDescent="0.3">
      <c r="B266" s="1"/>
      <c r="J266" s="2"/>
      <c r="AN266" s="1"/>
      <c r="AO266" s="1"/>
      <c r="AP266" s="1"/>
      <c r="AW266" s="1"/>
      <c r="AX266" s="1"/>
      <c r="BD266" s="1"/>
    </row>
    <row r="267" spans="2:57" x14ac:dyDescent="0.3">
      <c r="B267" s="1"/>
      <c r="J267" s="2"/>
      <c r="AW267" s="1"/>
      <c r="AX267" s="1"/>
      <c r="BD267" s="1"/>
    </row>
    <row r="268" spans="2:57" x14ac:dyDescent="0.3">
      <c r="B268" s="1"/>
      <c r="J268" s="2"/>
      <c r="AN268" s="1"/>
      <c r="AO268" s="1"/>
      <c r="AW268" s="1"/>
      <c r="AX268" s="1"/>
      <c r="BD268" s="1"/>
    </row>
    <row r="269" spans="2:57" x14ac:dyDescent="0.3">
      <c r="B269" s="1"/>
      <c r="J269" s="2"/>
      <c r="AN269" s="1"/>
      <c r="AO269" s="1"/>
      <c r="AP269" s="1"/>
      <c r="AW269" s="1"/>
      <c r="AX269" s="1"/>
      <c r="BD269" s="1"/>
    </row>
    <row r="270" spans="2:57" x14ac:dyDescent="0.3">
      <c r="B270" s="1"/>
      <c r="J270" s="2"/>
      <c r="AN270" s="1"/>
      <c r="AO270" s="1"/>
      <c r="AP270" s="1"/>
      <c r="AW270" s="1"/>
      <c r="AX270" s="1"/>
      <c r="BD270" s="1"/>
    </row>
    <row r="271" spans="2:57" x14ac:dyDescent="0.3">
      <c r="B271" s="1"/>
      <c r="J271" s="2"/>
      <c r="AN271" s="1"/>
      <c r="AO271" s="1"/>
      <c r="AP271" s="1"/>
      <c r="AW271" s="1"/>
      <c r="AX271" s="1"/>
      <c r="BD271" s="1"/>
    </row>
    <row r="272" spans="2:57" x14ac:dyDescent="0.3">
      <c r="B272" s="1"/>
      <c r="J272" s="2"/>
      <c r="AW272" s="1"/>
      <c r="AX272" s="1"/>
      <c r="BD272" s="1"/>
    </row>
    <row r="273" spans="2:56" x14ac:dyDescent="0.3">
      <c r="B273" s="1"/>
      <c r="J273" s="2"/>
      <c r="AN273" s="1"/>
      <c r="AO273" s="1"/>
      <c r="AP273" s="1"/>
      <c r="AW273" s="1"/>
      <c r="AX273" s="1"/>
      <c r="BD273" s="1"/>
    </row>
    <row r="274" spans="2:56" x14ac:dyDescent="0.3">
      <c r="B274" s="1"/>
      <c r="J274" s="2"/>
      <c r="AN274" s="1"/>
      <c r="AO274" s="1"/>
      <c r="AP274" s="1"/>
      <c r="AW274" s="1"/>
      <c r="AX274" s="1"/>
      <c r="BD274" s="1"/>
    </row>
    <row r="275" spans="2:56" x14ac:dyDescent="0.3">
      <c r="B275" s="1"/>
      <c r="J275" s="2"/>
      <c r="AN275" s="1"/>
      <c r="AO275" s="1"/>
      <c r="AP275" s="1"/>
      <c r="AW275" s="1"/>
      <c r="AX275" s="1"/>
      <c r="BD275" s="1"/>
    </row>
    <row r="276" spans="2:56" x14ac:dyDescent="0.3">
      <c r="B276" s="1"/>
      <c r="J276" s="2"/>
      <c r="AN276" s="1"/>
      <c r="AO276" s="1"/>
      <c r="AP276" s="1"/>
      <c r="AW276" s="1"/>
      <c r="AX276" s="1"/>
      <c r="BD276" s="1"/>
    </row>
    <row r="277" spans="2:56" x14ac:dyDescent="0.3">
      <c r="B277" s="1"/>
      <c r="J277" s="2"/>
      <c r="AP277" s="1"/>
      <c r="AW277" s="1"/>
      <c r="AX277" s="1"/>
      <c r="BD277" s="1"/>
    </row>
    <row r="278" spans="2:56" x14ac:dyDescent="0.3">
      <c r="B278" s="1"/>
      <c r="J278" s="2"/>
      <c r="AN278" s="1"/>
      <c r="AO278" s="1"/>
      <c r="AP278" s="1"/>
      <c r="AW278" s="1"/>
      <c r="AX278" s="1"/>
      <c r="BD278" s="1"/>
    </row>
    <row r="279" spans="2:56" x14ac:dyDescent="0.3">
      <c r="B279" s="1"/>
      <c r="J279" s="2"/>
      <c r="AP279" s="1"/>
      <c r="AW279" s="1"/>
      <c r="AX279" s="1"/>
      <c r="BD279" s="1"/>
    </row>
    <row r="280" spans="2:56" x14ac:dyDescent="0.3">
      <c r="B280" s="1"/>
      <c r="J280" s="2"/>
      <c r="AP280" s="1"/>
      <c r="AW280" s="1"/>
      <c r="AX280" s="1"/>
      <c r="BD280" s="1"/>
    </row>
    <row r="281" spans="2:56" x14ac:dyDescent="0.3">
      <c r="B281" s="1"/>
      <c r="J281" s="2"/>
      <c r="AN281" s="1"/>
      <c r="AO281" s="1"/>
      <c r="AP281" s="1"/>
      <c r="AW281" s="1"/>
      <c r="AX281" s="1"/>
      <c r="BD281" s="1"/>
    </row>
    <row r="282" spans="2:56" x14ac:dyDescent="0.3">
      <c r="B282" s="1"/>
      <c r="J282" s="2"/>
      <c r="AN282" s="1"/>
      <c r="AO282" s="1"/>
      <c r="AP282" s="1"/>
      <c r="AW282" s="1"/>
      <c r="AX282" s="1"/>
      <c r="BD282" s="1"/>
    </row>
    <row r="283" spans="2:56" x14ac:dyDescent="0.3">
      <c r="B283" s="1"/>
      <c r="J283" s="2"/>
      <c r="AP283" s="1"/>
      <c r="AW283" s="1"/>
      <c r="AX283" s="1"/>
      <c r="BD283" s="1"/>
    </row>
    <row r="284" spans="2:56" x14ac:dyDescent="0.3">
      <c r="B284" s="1"/>
      <c r="J284" s="2"/>
      <c r="AN284" s="1"/>
      <c r="AO284" s="1"/>
      <c r="AP284" s="1"/>
      <c r="AW284" s="1"/>
      <c r="AX284" s="1"/>
      <c r="BD284" s="1"/>
    </row>
    <row r="285" spans="2:56" x14ac:dyDescent="0.3">
      <c r="B285" s="1"/>
      <c r="J285" s="2"/>
      <c r="AN285" s="1"/>
      <c r="AO285" s="1"/>
      <c r="AP285" s="1"/>
      <c r="AW285" s="1"/>
      <c r="AX285" s="1"/>
      <c r="BD285" s="1"/>
    </row>
    <row r="286" spans="2:56" x14ac:dyDescent="0.3">
      <c r="B286" s="1"/>
      <c r="J286" s="2"/>
      <c r="AP286" s="1"/>
      <c r="AW286" s="1"/>
      <c r="AX286" s="1"/>
      <c r="BD286" s="1"/>
    </row>
    <row r="287" spans="2:56" x14ac:dyDescent="0.3">
      <c r="B287" s="1"/>
      <c r="J287" s="2"/>
      <c r="AW287" s="1"/>
      <c r="AX287" s="1"/>
      <c r="BD287" s="1"/>
    </row>
    <row r="288" spans="2:56" x14ac:dyDescent="0.3">
      <c r="B288" s="1"/>
      <c r="J288" s="2"/>
      <c r="AN288" s="1"/>
      <c r="AP288" s="1"/>
      <c r="AW288" s="1"/>
      <c r="AX288" s="1"/>
      <c r="BD288" s="1"/>
    </row>
    <row r="289" spans="2:57" x14ac:dyDescent="0.3">
      <c r="B289" s="1"/>
      <c r="J289" s="2"/>
      <c r="AN289" s="1"/>
      <c r="AO289" s="1"/>
      <c r="AW289" s="1"/>
      <c r="AX289" s="1"/>
      <c r="BD289" s="1"/>
    </row>
    <row r="290" spans="2:57" x14ac:dyDescent="0.3">
      <c r="B290" s="1"/>
      <c r="J290" s="2"/>
      <c r="AN290" s="1"/>
      <c r="AO290" s="1"/>
      <c r="AP290" s="1"/>
      <c r="AW290" s="1"/>
      <c r="AX290" s="1"/>
      <c r="BD290" s="1"/>
    </row>
    <row r="291" spans="2:57" x14ac:dyDescent="0.3">
      <c r="B291" s="1"/>
      <c r="J291" s="2"/>
      <c r="AP291" s="1"/>
      <c r="AW291" s="1"/>
      <c r="AX291" s="1"/>
      <c r="BD291" s="1"/>
    </row>
    <row r="292" spans="2:57" x14ac:dyDescent="0.3">
      <c r="B292" s="1"/>
      <c r="J292" s="2"/>
      <c r="AN292" s="1"/>
      <c r="AO292" s="1"/>
      <c r="AW292" s="1"/>
      <c r="AX292" s="1"/>
      <c r="BD292" s="1"/>
    </row>
    <row r="293" spans="2:57" x14ac:dyDescent="0.3">
      <c r="B293" s="1"/>
      <c r="J293" s="2"/>
      <c r="AP293" s="1"/>
      <c r="AW293" s="1"/>
      <c r="AX293" s="1"/>
      <c r="BD293" s="1"/>
    </row>
    <row r="294" spans="2:57" x14ac:dyDescent="0.3">
      <c r="B294" s="1"/>
      <c r="J294" s="2"/>
      <c r="AN294" s="1"/>
      <c r="AO294" s="1"/>
      <c r="AW294" s="1"/>
      <c r="AX294" s="1"/>
      <c r="BD294" s="1"/>
    </row>
    <row r="295" spans="2:57" x14ac:dyDescent="0.3">
      <c r="B295" s="1"/>
      <c r="J295" s="2"/>
      <c r="AN295" s="1"/>
      <c r="AO295" s="1"/>
      <c r="AP295" s="1"/>
      <c r="AW295" s="1"/>
      <c r="AX295" s="1"/>
      <c r="BD295" s="1"/>
    </row>
    <row r="296" spans="2:57" x14ac:dyDescent="0.3">
      <c r="B296" s="1"/>
      <c r="J296" s="2"/>
      <c r="AN296" s="1"/>
      <c r="AO296" s="1"/>
      <c r="AP296" s="1"/>
      <c r="AW296" s="1"/>
      <c r="AX296" s="1"/>
      <c r="BD296" s="1"/>
    </row>
    <row r="297" spans="2:57" x14ac:dyDescent="0.3">
      <c r="B297" s="1"/>
      <c r="J297" s="2"/>
      <c r="AN297" s="1"/>
      <c r="AO297" s="1"/>
      <c r="AP297" s="1"/>
      <c r="AW297" s="1"/>
      <c r="AX297" s="1"/>
      <c r="BD297" s="1"/>
      <c r="BE297" s="1"/>
    </row>
    <row r="298" spans="2:57" x14ac:dyDescent="0.3">
      <c r="B298" s="1"/>
      <c r="J298" s="2"/>
      <c r="AN298" s="1"/>
      <c r="AO298" s="1"/>
      <c r="AW298" s="1"/>
      <c r="AX298" s="1"/>
      <c r="BD298" s="1"/>
    </row>
    <row r="299" spans="2:57" x14ac:dyDescent="0.3">
      <c r="B299" s="1"/>
      <c r="J299" s="2"/>
      <c r="AN299" s="1"/>
      <c r="AO299" s="1"/>
      <c r="AW299" s="1"/>
      <c r="AX299" s="1"/>
      <c r="BD299" s="1"/>
    </row>
    <row r="300" spans="2:57" x14ac:dyDescent="0.3">
      <c r="B300" s="1"/>
      <c r="J300" s="2"/>
      <c r="AN300" s="1"/>
      <c r="AO300" s="1"/>
      <c r="AP300" s="1"/>
      <c r="AW300" s="1"/>
      <c r="AX300" s="1"/>
      <c r="BD300" s="1"/>
    </row>
    <row r="301" spans="2:57" x14ac:dyDescent="0.3">
      <c r="B301" s="1"/>
      <c r="J301" s="2"/>
      <c r="AN301" s="1"/>
      <c r="AO301" s="1"/>
      <c r="AP301" s="1"/>
      <c r="AW301" s="1"/>
      <c r="AX301" s="1"/>
      <c r="BD301" s="1"/>
    </row>
    <row r="302" spans="2:57" x14ac:dyDescent="0.3">
      <c r="B302" s="1"/>
      <c r="J302" s="2"/>
      <c r="AN302" s="1"/>
      <c r="AO302" s="1"/>
      <c r="AP302" s="1"/>
      <c r="AW302" s="1"/>
      <c r="AX302" s="1"/>
      <c r="BD302" s="1"/>
    </row>
    <row r="303" spans="2:57" x14ac:dyDescent="0.3">
      <c r="B303" s="1"/>
      <c r="J303" s="2"/>
      <c r="AN303" s="1"/>
      <c r="AO303" s="1"/>
      <c r="AP303" s="1"/>
      <c r="AW303" s="1"/>
      <c r="AX303" s="1"/>
      <c r="BD303" s="1"/>
    </row>
    <row r="304" spans="2:57" x14ac:dyDescent="0.3">
      <c r="B304" s="1"/>
      <c r="J304" s="2"/>
      <c r="AN304" s="1"/>
      <c r="AO304" s="1"/>
      <c r="AP304" s="1"/>
      <c r="AW304" s="1"/>
      <c r="AX304" s="1"/>
      <c r="BD304" s="1"/>
      <c r="BE304" s="1"/>
    </row>
    <row r="305" spans="2:57" x14ac:dyDescent="0.3">
      <c r="B305" s="1"/>
      <c r="J305" s="2"/>
      <c r="AN305" s="1"/>
      <c r="AO305" s="1"/>
      <c r="AP305" s="1"/>
      <c r="AW305" s="1"/>
      <c r="AX305" s="1"/>
      <c r="BD305" s="1"/>
    </row>
    <row r="306" spans="2:57" x14ac:dyDescent="0.3">
      <c r="B306" s="1"/>
      <c r="J306" s="2"/>
      <c r="AN306" s="1"/>
      <c r="AO306" s="1"/>
      <c r="AP306" s="1"/>
      <c r="AW306" s="1"/>
      <c r="AX306" s="1"/>
      <c r="BD306" s="1"/>
    </row>
    <row r="307" spans="2:57" x14ac:dyDescent="0.3">
      <c r="B307" s="1"/>
      <c r="J307" s="2"/>
      <c r="AN307" s="1"/>
      <c r="AO307" s="1"/>
      <c r="AW307" s="1"/>
      <c r="AX307" s="1"/>
      <c r="BD307" s="1"/>
    </row>
    <row r="308" spans="2:57" x14ac:dyDescent="0.3">
      <c r="B308" s="1"/>
      <c r="J308" s="2"/>
      <c r="AN308" s="1"/>
      <c r="AO308" s="1"/>
      <c r="AP308" s="1"/>
      <c r="AW308" s="1"/>
      <c r="AX308" s="1"/>
      <c r="BD308" s="1"/>
    </row>
    <row r="309" spans="2:57" x14ac:dyDescent="0.3">
      <c r="B309" s="1"/>
      <c r="J309" s="2"/>
      <c r="AN309" s="1"/>
      <c r="AO309" s="1"/>
      <c r="AP309" s="1"/>
      <c r="AW309" s="1"/>
      <c r="AX309" s="1"/>
      <c r="BD309" s="1"/>
    </row>
    <row r="310" spans="2:57" x14ac:dyDescent="0.3">
      <c r="B310" s="1"/>
      <c r="J310" s="2"/>
      <c r="AN310" s="1"/>
      <c r="AO310" s="1"/>
      <c r="AP310" s="1"/>
      <c r="AW310" s="1"/>
      <c r="AX310" s="1"/>
      <c r="BD310" s="1"/>
    </row>
    <row r="311" spans="2:57" x14ac:dyDescent="0.3">
      <c r="B311" s="1"/>
      <c r="J311" s="2"/>
      <c r="AP311" s="1"/>
      <c r="AW311" s="1"/>
      <c r="AX311" s="1"/>
      <c r="BD311" s="1"/>
    </row>
    <row r="312" spans="2:57" x14ac:dyDescent="0.3">
      <c r="B312" s="1"/>
      <c r="J312" s="2"/>
      <c r="AN312" s="1"/>
      <c r="AO312" s="1"/>
      <c r="AP312" s="1"/>
      <c r="AW312" s="1"/>
      <c r="AX312" s="1"/>
      <c r="BD312" s="1"/>
    </row>
    <row r="313" spans="2:57" x14ac:dyDescent="0.3">
      <c r="B313" s="1"/>
      <c r="J313" s="2"/>
      <c r="AN313" s="1"/>
      <c r="AO313" s="1"/>
      <c r="AW313" s="1"/>
      <c r="AX313" s="1"/>
      <c r="BD313" s="1"/>
    </row>
    <row r="314" spans="2:57" x14ac:dyDescent="0.3">
      <c r="B314" s="1"/>
      <c r="J314" s="2"/>
      <c r="AN314" s="1"/>
      <c r="AO314" s="1"/>
      <c r="AP314" s="1"/>
      <c r="AW314" s="1"/>
      <c r="AX314" s="1"/>
      <c r="BD314" s="1"/>
    </row>
    <row r="315" spans="2:57" x14ac:dyDescent="0.3">
      <c r="B315" s="1"/>
      <c r="J315" s="2"/>
      <c r="AN315" s="1"/>
      <c r="AO315" s="1"/>
      <c r="AP315" s="1"/>
      <c r="AW315" s="1"/>
      <c r="AX315" s="1"/>
      <c r="BD315" s="1"/>
    </row>
    <row r="316" spans="2:57" x14ac:dyDescent="0.3">
      <c r="B316" s="1"/>
      <c r="J316" s="2"/>
      <c r="AN316" s="1"/>
      <c r="AO316" s="1"/>
      <c r="AW316" s="1"/>
      <c r="AX316" s="1"/>
      <c r="BD316" s="1"/>
    </row>
    <row r="317" spans="2:57" x14ac:dyDescent="0.3">
      <c r="B317" s="1"/>
      <c r="J317" s="2"/>
      <c r="AN317" s="1"/>
      <c r="AO317" s="1"/>
      <c r="AP317" s="1"/>
      <c r="AW317" s="1"/>
      <c r="AX317" s="1"/>
      <c r="BD317" s="1"/>
      <c r="BE317" s="1"/>
    </row>
    <row r="318" spans="2:57" x14ac:dyDescent="0.3">
      <c r="B318" s="1"/>
      <c r="J318" s="2"/>
      <c r="AW318" s="1"/>
      <c r="AX318" s="1"/>
      <c r="BD318" s="1"/>
    </row>
    <row r="319" spans="2:57" x14ac:dyDescent="0.3">
      <c r="B319" s="1"/>
      <c r="J319" s="2"/>
      <c r="AN319" s="1"/>
      <c r="AO319" s="1"/>
      <c r="AP319" s="1"/>
      <c r="AW319" s="1"/>
      <c r="AX319" s="1"/>
      <c r="BD319" s="1"/>
    </row>
    <row r="320" spans="2:57" x14ac:dyDescent="0.3">
      <c r="B320" s="1"/>
      <c r="J320" s="2"/>
      <c r="AN320" s="1"/>
      <c r="AO320" s="1"/>
      <c r="AP320" s="1"/>
      <c r="AW320" s="1"/>
      <c r="AX320" s="1"/>
      <c r="BD320" s="1"/>
    </row>
    <row r="321" spans="2:57" x14ac:dyDescent="0.3">
      <c r="B321" s="1"/>
      <c r="J321" s="2"/>
      <c r="AN321" s="1"/>
      <c r="AO321" s="1"/>
      <c r="AP321" s="1"/>
      <c r="AW321" s="1"/>
      <c r="AX321" s="1"/>
      <c r="BD321" s="1"/>
      <c r="BE321" s="1"/>
    </row>
    <row r="322" spans="2:57" x14ac:dyDescent="0.3">
      <c r="B322" s="1"/>
      <c r="J322" s="2"/>
      <c r="AN322" s="1"/>
      <c r="AO322" s="1"/>
      <c r="AP322" s="1"/>
      <c r="AW322" s="1"/>
      <c r="AX322" s="1"/>
      <c r="BD322" s="1"/>
    </row>
    <row r="323" spans="2:57" x14ac:dyDescent="0.3">
      <c r="B323" s="1"/>
      <c r="J323" s="2"/>
      <c r="AN323" s="1"/>
      <c r="AO323" s="1"/>
      <c r="AP323" s="1"/>
      <c r="AW323" s="1"/>
      <c r="AX323" s="1"/>
      <c r="BD323" s="1"/>
    </row>
    <row r="324" spans="2:57" x14ac:dyDescent="0.3">
      <c r="B324" s="1"/>
      <c r="J324" s="2"/>
      <c r="AN324" s="1"/>
      <c r="AO324" s="1"/>
      <c r="AP324" s="1"/>
      <c r="AW324" s="1"/>
      <c r="AX324" s="1"/>
      <c r="BD324" s="1"/>
    </row>
    <row r="325" spans="2:57" x14ac:dyDescent="0.3">
      <c r="B325" s="1"/>
      <c r="J325" s="2"/>
      <c r="AW325" s="1"/>
      <c r="AX325" s="1"/>
      <c r="BD325" s="1"/>
    </row>
    <row r="326" spans="2:57" x14ac:dyDescent="0.3">
      <c r="B326" s="1"/>
      <c r="J326" s="2"/>
      <c r="AN326" s="1"/>
      <c r="AO326" s="1"/>
      <c r="AP326" s="1"/>
      <c r="AW326" s="1"/>
      <c r="AX326" s="1"/>
      <c r="BD326" s="1"/>
    </row>
    <row r="327" spans="2:57" x14ac:dyDescent="0.3">
      <c r="B327" s="1"/>
      <c r="J327" s="2"/>
      <c r="AN327" s="1"/>
      <c r="AO327" s="1"/>
      <c r="AW327" s="1"/>
      <c r="AX327" s="1"/>
      <c r="BD327" s="1"/>
    </row>
    <row r="328" spans="2:57" x14ac:dyDescent="0.3">
      <c r="B328" s="1"/>
      <c r="J328" s="2"/>
      <c r="AN328" s="1"/>
      <c r="AO328" s="1"/>
      <c r="AW328" s="1"/>
      <c r="AX328" s="1"/>
      <c r="BD328" s="1"/>
    </row>
    <row r="329" spans="2:57" x14ac:dyDescent="0.3">
      <c r="B329" s="1"/>
      <c r="J329" s="2"/>
      <c r="AN329" s="1"/>
      <c r="AO329" s="1"/>
      <c r="AP329" s="1"/>
      <c r="AW329" s="1"/>
      <c r="AX329" s="1"/>
      <c r="BD329" s="1"/>
    </row>
    <row r="330" spans="2:57" x14ac:dyDescent="0.3">
      <c r="B330" s="1"/>
      <c r="J330" s="2"/>
      <c r="AN330" s="1"/>
      <c r="AO330" s="1"/>
      <c r="AP330" s="1"/>
      <c r="AW330" s="1"/>
      <c r="AX330" s="1"/>
      <c r="BD330" s="1"/>
    </row>
    <row r="331" spans="2:57" x14ac:dyDescent="0.3">
      <c r="B331" s="1"/>
      <c r="J331" s="2"/>
      <c r="AN331" s="1"/>
      <c r="AP331" s="1"/>
      <c r="AW331" s="1"/>
      <c r="AX331" s="1"/>
      <c r="BD331" s="1"/>
    </row>
    <row r="332" spans="2:57" x14ac:dyDescent="0.3">
      <c r="B332" s="1"/>
      <c r="J332" s="2"/>
      <c r="AN332" s="1"/>
      <c r="AO332" s="1"/>
      <c r="AP332" s="1"/>
      <c r="AW332" s="1"/>
      <c r="AX332" s="1"/>
      <c r="BD332" s="1"/>
    </row>
    <row r="333" spans="2:57" x14ac:dyDescent="0.3">
      <c r="B333" s="1"/>
      <c r="J333" s="2"/>
      <c r="AN333" s="1"/>
      <c r="AO333" s="1"/>
      <c r="AP333" s="1"/>
      <c r="AW333" s="1"/>
      <c r="AX333" s="1"/>
      <c r="BD333" s="1"/>
    </row>
    <row r="334" spans="2:57" x14ac:dyDescent="0.3">
      <c r="B334" s="1"/>
      <c r="J334" s="2"/>
      <c r="AN334" s="1"/>
      <c r="AO334" s="1"/>
      <c r="AP334" s="1"/>
      <c r="AW334" s="1"/>
      <c r="AX334" s="1"/>
      <c r="BD334" s="1"/>
      <c r="BE334" s="1"/>
    </row>
    <row r="335" spans="2:57" x14ac:dyDescent="0.3">
      <c r="B335" s="1"/>
      <c r="J335" s="2"/>
      <c r="AN335" s="1"/>
      <c r="AO335" s="1"/>
      <c r="AP335" s="1"/>
      <c r="AW335" s="1"/>
      <c r="AX335" s="1"/>
      <c r="BD335" s="1"/>
    </row>
    <row r="336" spans="2:57" x14ac:dyDescent="0.3">
      <c r="B336" s="1"/>
      <c r="J336" s="2"/>
      <c r="AN336" s="1"/>
      <c r="AO336" s="1"/>
      <c r="AW336" s="1"/>
      <c r="AX336" s="1"/>
      <c r="BD336" s="1"/>
    </row>
    <row r="337" spans="2:57" x14ac:dyDescent="0.3">
      <c r="B337" s="1"/>
      <c r="J337" s="2"/>
      <c r="AN337" s="1"/>
      <c r="AO337" s="1"/>
      <c r="AP337" s="1"/>
      <c r="AW337" s="1"/>
      <c r="AX337" s="1"/>
      <c r="BD337" s="1"/>
    </row>
    <row r="338" spans="2:57" x14ac:dyDescent="0.3">
      <c r="B338" s="1"/>
      <c r="J338" s="2"/>
      <c r="AN338" s="1"/>
      <c r="AO338" s="1"/>
      <c r="AP338" s="1"/>
      <c r="AW338" s="1"/>
      <c r="AX338" s="1"/>
      <c r="BD338" s="1"/>
      <c r="BE338" s="1"/>
    </row>
    <row r="339" spans="2:57" x14ac:dyDescent="0.3">
      <c r="B339" s="1"/>
      <c r="J339" s="2"/>
      <c r="AN339" s="1"/>
      <c r="AO339" s="1"/>
      <c r="AW339" s="1"/>
      <c r="AX339" s="1"/>
      <c r="BD339" s="1"/>
    </row>
    <row r="340" spans="2:57" x14ac:dyDescent="0.3">
      <c r="B340" s="1"/>
      <c r="J340" s="2"/>
      <c r="AP340" s="1"/>
      <c r="AW340" s="1"/>
      <c r="AX340" s="1"/>
      <c r="BD340" s="1"/>
    </row>
    <row r="341" spans="2:57" x14ac:dyDescent="0.3">
      <c r="B341" s="1"/>
      <c r="J341" s="2"/>
      <c r="AP341" s="1"/>
      <c r="AW341" s="1"/>
      <c r="AX341" s="1"/>
      <c r="BD341" s="1"/>
    </row>
    <row r="342" spans="2:57" x14ac:dyDescent="0.3">
      <c r="B342" s="1"/>
      <c r="J342" s="2"/>
      <c r="AN342" s="1"/>
      <c r="AO342" s="1"/>
      <c r="AP342" s="1"/>
      <c r="AW342" s="1"/>
      <c r="AX342" s="1"/>
      <c r="BD342" s="1"/>
    </row>
    <row r="343" spans="2:57" x14ac:dyDescent="0.3">
      <c r="B343" s="1"/>
      <c r="J343" s="2"/>
      <c r="AW343" s="1"/>
      <c r="AX343" s="1"/>
      <c r="BD343" s="1"/>
    </row>
    <row r="344" spans="2:57" x14ac:dyDescent="0.3">
      <c r="B344" s="1"/>
      <c r="J344" s="2"/>
      <c r="AW344" s="1"/>
      <c r="AX344" s="1"/>
      <c r="BD344" s="1"/>
    </row>
    <row r="345" spans="2:57" x14ac:dyDescent="0.3">
      <c r="B345" s="1"/>
      <c r="J345" s="2"/>
      <c r="AN345" s="1"/>
      <c r="AO345" s="1"/>
      <c r="AP345" s="1"/>
      <c r="AW345" s="1"/>
      <c r="AX345" s="1"/>
      <c r="BD345" s="1"/>
    </row>
    <row r="346" spans="2:57" x14ac:dyDescent="0.3">
      <c r="B346" s="1"/>
      <c r="J346" s="2"/>
      <c r="AN346" s="1"/>
      <c r="AO346" s="1"/>
      <c r="AP346" s="1"/>
      <c r="AW346" s="1"/>
      <c r="AX346" s="1"/>
      <c r="BD346" s="1"/>
    </row>
    <row r="347" spans="2:57" x14ac:dyDescent="0.3">
      <c r="B347" s="1"/>
      <c r="J347" s="2"/>
      <c r="AP347" s="1"/>
      <c r="AW347" s="1"/>
      <c r="AX347" s="1"/>
      <c r="BD347" s="1"/>
    </row>
    <row r="348" spans="2:57" x14ac:dyDescent="0.3">
      <c r="B348" s="1"/>
      <c r="J348" s="2"/>
      <c r="AN348" s="1"/>
      <c r="AO348" s="1"/>
      <c r="AP348" s="1"/>
      <c r="AW348" s="1"/>
      <c r="AX348" s="1"/>
      <c r="BD348" s="1"/>
    </row>
    <row r="349" spans="2:57" x14ac:dyDescent="0.3">
      <c r="B349" s="1"/>
      <c r="J349" s="2"/>
      <c r="AW349" s="1"/>
      <c r="AX349" s="1"/>
      <c r="BD349" s="1"/>
    </row>
    <row r="350" spans="2:57" x14ac:dyDescent="0.3">
      <c r="B350" s="1"/>
      <c r="J350" s="2"/>
      <c r="AN350" s="1"/>
      <c r="AO350" s="1"/>
      <c r="AW350" s="1"/>
      <c r="AX350" s="1"/>
      <c r="BD350" s="1"/>
    </row>
    <row r="351" spans="2:57" x14ac:dyDescent="0.3">
      <c r="B351" s="1"/>
      <c r="J351" s="2"/>
      <c r="AP351" s="1"/>
      <c r="AW351" s="1"/>
      <c r="AX351" s="1"/>
      <c r="BD351" s="1"/>
    </row>
    <row r="352" spans="2:57" x14ac:dyDescent="0.3">
      <c r="B352" s="1"/>
      <c r="J352" s="2"/>
      <c r="AW352" s="1"/>
      <c r="AX352" s="1"/>
      <c r="BD352" s="1"/>
    </row>
    <row r="353" spans="2:57" x14ac:dyDescent="0.3">
      <c r="B353" s="1"/>
      <c r="J353" s="2"/>
      <c r="AN353" s="1"/>
      <c r="AO353" s="1"/>
      <c r="AW353" s="1"/>
      <c r="AX353" s="1"/>
      <c r="BD353" s="1"/>
    </row>
    <row r="354" spans="2:57" x14ac:dyDescent="0.3">
      <c r="B354" s="1"/>
      <c r="J354" s="2"/>
      <c r="AN354" s="1"/>
      <c r="AO354" s="1"/>
      <c r="AP354" s="1"/>
      <c r="AW354" s="1"/>
      <c r="AX354" s="1"/>
      <c r="BD354" s="1"/>
    </row>
    <row r="355" spans="2:57" x14ac:dyDescent="0.3">
      <c r="B355" s="1"/>
      <c r="J355" s="2"/>
      <c r="AN355" s="1"/>
      <c r="AO355" s="1"/>
      <c r="AP355" s="1"/>
      <c r="AW355" s="1"/>
      <c r="AX355" s="1"/>
      <c r="BD355" s="1"/>
    </row>
    <row r="356" spans="2:57" x14ac:dyDescent="0.3">
      <c r="B356" s="1"/>
      <c r="J356" s="2"/>
      <c r="AN356" s="1"/>
      <c r="AO356" s="1"/>
      <c r="AP356" s="1"/>
      <c r="AW356" s="1"/>
      <c r="AX356" s="1"/>
      <c r="BD356" s="1"/>
      <c r="BE356" s="1"/>
    </row>
    <row r="357" spans="2:57" x14ac:dyDescent="0.3">
      <c r="B357" s="1"/>
      <c r="J357" s="2"/>
      <c r="AN357" s="1"/>
      <c r="AO357" s="1"/>
      <c r="AP357" s="1"/>
      <c r="AW357" s="1"/>
      <c r="AX357" s="1"/>
      <c r="BD357" s="1"/>
    </row>
    <row r="358" spans="2:57" x14ac:dyDescent="0.3">
      <c r="B358" s="1"/>
      <c r="J358" s="2"/>
      <c r="AN358" s="1"/>
      <c r="AO358" s="1"/>
      <c r="AP358" s="1"/>
      <c r="AW358" s="1"/>
      <c r="AX358" s="1"/>
      <c r="BD358" s="1"/>
    </row>
    <row r="359" spans="2:57" x14ac:dyDescent="0.3">
      <c r="B359" s="1"/>
      <c r="J359" s="2"/>
      <c r="AN359" s="1"/>
      <c r="AO359" s="1"/>
      <c r="AP359" s="1"/>
      <c r="AW359" s="1"/>
      <c r="AX359" s="1"/>
      <c r="BD359" s="1"/>
      <c r="BE359" s="1"/>
    </row>
    <row r="360" spans="2:57" x14ac:dyDescent="0.3">
      <c r="B360" s="1"/>
      <c r="J360" s="2"/>
      <c r="AN360" s="1"/>
      <c r="AO360" s="1"/>
      <c r="AP360" s="1"/>
      <c r="AW360" s="1"/>
      <c r="AX360" s="1"/>
      <c r="BD360" s="1"/>
    </row>
    <row r="361" spans="2:57" x14ac:dyDescent="0.3">
      <c r="B361" s="1"/>
      <c r="J361" s="2"/>
      <c r="AN361" s="1"/>
      <c r="AO361" s="1"/>
      <c r="AW361" s="1"/>
      <c r="AX361" s="1"/>
      <c r="BD361" s="1"/>
    </row>
    <row r="362" spans="2:57" x14ac:dyDescent="0.3">
      <c r="B362" s="1"/>
      <c r="J362" s="2"/>
      <c r="AN362" s="1"/>
      <c r="AO362" s="1"/>
      <c r="AP362" s="1"/>
      <c r="AW362" s="1"/>
      <c r="AX362" s="1"/>
      <c r="BD362" s="1"/>
      <c r="BE362" s="1"/>
    </row>
    <row r="363" spans="2:57" x14ac:dyDescent="0.3">
      <c r="B363" s="1"/>
      <c r="J363" s="2"/>
      <c r="AP363" s="1"/>
      <c r="AW363" s="1"/>
      <c r="AX363" s="1"/>
      <c r="BD363" s="1"/>
    </row>
    <row r="364" spans="2:57" x14ac:dyDescent="0.3">
      <c r="B364" s="1"/>
      <c r="J364" s="2"/>
      <c r="AN364" s="1"/>
      <c r="AO364" s="1"/>
      <c r="AP364" s="1"/>
      <c r="AW364" s="1"/>
      <c r="AX364" s="1"/>
      <c r="BD364" s="1"/>
    </row>
    <row r="365" spans="2:57" x14ac:dyDescent="0.3">
      <c r="B365" s="1"/>
      <c r="J365" s="2"/>
      <c r="AN365" s="1"/>
      <c r="AO365" s="1"/>
      <c r="AP365" s="1"/>
      <c r="AW365" s="1"/>
      <c r="AX365" s="1"/>
      <c r="BD365" s="1"/>
    </row>
    <row r="366" spans="2:57" x14ac:dyDescent="0.3">
      <c r="B366" s="1"/>
      <c r="J366" s="2"/>
      <c r="AN366" s="1"/>
      <c r="AO366" s="1"/>
      <c r="AP366" s="1"/>
      <c r="AW366" s="1"/>
      <c r="AX366" s="1"/>
      <c r="BD366" s="1"/>
    </row>
    <row r="367" spans="2:57" x14ac:dyDescent="0.3">
      <c r="B367" s="1"/>
      <c r="J367" s="2"/>
      <c r="AN367" s="1"/>
      <c r="AO367" s="1"/>
      <c r="AP367" s="1"/>
      <c r="AW367" s="1"/>
      <c r="AX367" s="1"/>
      <c r="BD367" s="1"/>
    </row>
    <row r="368" spans="2:57" x14ac:dyDescent="0.3">
      <c r="B368" s="1"/>
      <c r="J368" s="2"/>
      <c r="AN368" s="1"/>
      <c r="AO368" s="1"/>
      <c r="AW368" s="1"/>
      <c r="AX368" s="1"/>
      <c r="BD368" s="1"/>
    </row>
    <row r="369" spans="2:57" x14ac:dyDescent="0.3">
      <c r="B369" s="1"/>
      <c r="J369" s="2"/>
      <c r="AN369" s="1"/>
      <c r="AO369" s="1"/>
      <c r="AP369" s="1"/>
      <c r="AW369" s="1"/>
      <c r="AX369" s="1"/>
      <c r="BD369" s="1"/>
    </row>
    <row r="370" spans="2:57" x14ac:dyDescent="0.3">
      <c r="B370" s="1"/>
      <c r="J370" s="2"/>
      <c r="AN370" s="1"/>
      <c r="AO370" s="1"/>
      <c r="AP370" s="1"/>
      <c r="AW370" s="1"/>
      <c r="AX370" s="1"/>
      <c r="BD370" s="1"/>
    </row>
    <row r="371" spans="2:57" x14ac:dyDescent="0.3">
      <c r="B371" s="1"/>
      <c r="J371" s="2"/>
      <c r="AN371" s="1"/>
      <c r="AO371" s="1"/>
      <c r="AP371" s="1"/>
      <c r="AW371" s="1"/>
      <c r="AX371" s="1"/>
      <c r="BD371" s="1"/>
      <c r="BE371" s="1"/>
    </row>
    <row r="372" spans="2:57" x14ac:dyDescent="0.3">
      <c r="B372" s="1"/>
      <c r="J372" s="2"/>
      <c r="AN372" s="1"/>
      <c r="AO372" s="1"/>
      <c r="AP372" s="1"/>
      <c r="AW372" s="1"/>
      <c r="AX372" s="1"/>
      <c r="BD372" s="1"/>
      <c r="BE372" s="1"/>
    </row>
    <row r="373" spans="2:57" x14ac:dyDescent="0.3">
      <c r="B373" s="1"/>
      <c r="J373" s="2"/>
      <c r="AN373" s="1"/>
      <c r="AO373" s="1"/>
      <c r="AP373" s="1"/>
      <c r="AW373" s="1"/>
      <c r="AX373" s="1"/>
      <c r="BD373" s="1"/>
    </row>
    <row r="374" spans="2:57" x14ac:dyDescent="0.3">
      <c r="B374" s="1"/>
      <c r="J374" s="2"/>
      <c r="AN374" s="1"/>
      <c r="AO374" s="1"/>
      <c r="AW374" s="1"/>
      <c r="AX374" s="1"/>
      <c r="BD374" s="1"/>
    </row>
    <row r="375" spans="2:57" x14ac:dyDescent="0.3">
      <c r="B375" s="1"/>
      <c r="J375" s="2"/>
      <c r="AP375" s="1"/>
      <c r="AW375" s="1"/>
      <c r="AX375" s="1"/>
      <c r="BD375" s="1"/>
    </row>
    <row r="376" spans="2:57" x14ac:dyDescent="0.3">
      <c r="B376" s="1"/>
      <c r="J376" s="2"/>
      <c r="AW376" s="1"/>
      <c r="AX376" s="1"/>
      <c r="BD376" s="1"/>
    </row>
    <row r="377" spans="2:57" x14ac:dyDescent="0.3">
      <c r="B377" s="1"/>
      <c r="J377" s="2"/>
      <c r="AN377" s="1"/>
      <c r="AO377" s="1"/>
      <c r="AP377" s="1"/>
      <c r="AW377" s="1"/>
      <c r="AX377" s="1"/>
      <c r="BD377" s="1"/>
    </row>
    <row r="378" spans="2:57" x14ac:dyDescent="0.3">
      <c r="B378" s="1"/>
      <c r="J378" s="2"/>
      <c r="AN378" s="1"/>
      <c r="AO378" s="1"/>
      <c r="AP378" s="1"/>
      <c r="AW378" s="1"/>
      <c r="AX378" s="1"/>
      <c r="BD378" s="1"/>
    </row>
    <row r="379" spans="2:57" x14ac:dyDescent="0.3">
      <c r="B379" s="1"/>
      <c r="J379" s="2"/>
      <c r="AN379" s="1"/>
      <c r="AO379" s="1"/>
      <c r="AP379" s="1"/>
      <c r="AW379" s="1"/>
      <c r="AX379" s="1"/>
      <c r="BD379" s="1"/>
    </row>
    <row r="380" spans="2:57" x14ac:dyDescent="0.3">
      <c r="B380" s="1"/>
      <c r="J380" s="2"/>
      <c r="AN380" s="1"/>
      <c r="AO380" s="1"/>
      <c r="AP380" s="1"/>
      <c r="AW380" s="1"/>
      <c r="AX380" s="1"/>
      <c r="BD380" s="1"/>
    </row>
    <row r="381" spans="2:57" x14ac:dyDescent="0.3">
      <c r="B381" s="1"/>
      <c r="J381" s="2"/>
      <c r="AN381" s="1"/>
      <c r="AO381" s="1"/>
      <c r="AP381" s="1"/>
      <c r="AW381" s="1"/>
      <c r="AX381" s="1"/>
      <c r="BD381" s="1"/>
    </row>
    <row r="382" spans="2:57" x14ac:dyDescent="0.3">
      <c r="B382" s="1"/>
      <c r="J382" s="2"/>
      <c r="AN382" s="1"/>
      <c r="AO382" s="1"/>
      <c r="AP382" s="1"/>
      <c r="AW382" s="1"/>
      <c r="AX382" s="1"/>
      <c r="BD382" s="1"/>
    </row>
    <row r="383" spans="2:57" x14ac:dyDescent="0.3">
      <c r="B383" s="1"/>
      <c r="J383" s="2"/>
      <c r="AP383" s="1"/>
      <c r="AW383" s="1"/>
      <c r="AX383" s="1"/>
      <c r="BD383" s="1"/>
    </row>
    <row r="384" spans="2:57" x14ac:dyDescent="0.3">
      <c r="B384" s="1"/>
      <c r="J384" s="2"/>
      <c r="AP384" s="1"/>
      <c r="AW384" s="1"/>
      <c r="AX384" s="1"/>
      <c r="BD384" s="1"/>
    </row>
    <row r="385" spans="2:56" x14ac:dyDescent="0.3">
      <c r="B385" s="1"/>
      <c r="J385" s="2"/>
      <c r="AW385" s="1"/>
      <c r="AX385" s="1"/>
      <c r="BD385" s="1"/>
    </row>
    <row r="386" spans="2:56" x14ac:dyDescent="0.3">
      <c r="B386" s="1"/>
      <c r="J386" s="2"/>
      <c r="AN386" s="1"/>
      <c r="AO386" s="1"/>
      <c r="AP386" s="1"/>
      <c r="AW386" s="1"/>
      <c r="AX386" s="1"/>
      <c r="BD386" s="1"/>
    </row>
    <row r="387" spans="2:56" x14ac:dyDescent="0.3">
      <c r="B387" s="1"/>
      <c r="J387" s="2"/>
      <c r="AN387" s="1"/>
      <c r="AO387" s="1"/>
      <c r="AW387" s="1"/>
      <c r="AX387" s="1"/>
      <c r="BD387" s="1"/>
    </row>
    <row r="388" spans="2:56" x14ac:dyDescent="0.3">
      <c r="B388" s="1"/>
      <c r="J388" s="2"/>
      <c r="AN388" s="1"/>
      <c r="AO388" s="1"/>
      <c r="AP388" s="1"/>
      <c r="AW388" s="1"/>
      <c r="AX388" s="1"/>
      <c r="BD388" s="1"/>
    </row>
    <row r="389" spans="2:56" x14ac:dyDescent="0.3">
      <c r="B389" s="1"/>
      <c r="J389" s="2"/>
      <c r="AW389" s="1"/>
      <c r="AX389" s="1"/>
      <c r="BD389" s="1"/>
    </row>
    <row r="390" spans="2:56" x14ac:dyDescent="0.3">
      <c r="B390" s="1"/>
      <c r="J390" s="2"/>
      <c r="AN390" s="1"/>
      <c r="AO390" s="1"/>
      <c r="AP390" s="1"/>
      <c r="AW390" s="1"/>
      <c r="AX390" s="1"/>
      <c r="BD390" s="1"/>
    </row>
    <row r="391" spans="2:56" x14ac:dyDescent="0.3">
      <c r="B391" s="1"/>
      <c r="J391" s="2"/>
      <c r="AN391" s="1"/>
      <c r="AO391" s="1"/>
      <c r="AP391" s="1"/>
      <c r="AW391" s="1"/>
      <c r="AX391" s="1"/>
      <c r="BD391" s="1"/>
    </row>
    <row r="392" spans="2:56" x14ac:dyDescent="0.3">
      <c r="B392" s="1"/>
      <c r="J392" s="2"/>
      <c r="AN392" s="1"/>
      <c r="AO392" s="1"/>
      <c r="AP392" s="1"/>
      <c r="AW392" s="1"/>
      <c r="AX392" s="1"/>
      <c r="BD392" s="1"/>
    </row>
    <row r="393" spans="2:56" x14ac:dyDescent="0.3">
      <c r="B393" s="1"/>
      <c r="J393" s="2"/>
      <c r="AN393" s="1"/>
      <c r="AO393" s="1"/>
      <c r="AP393" s="1"/>
      <c r="AW393" s="1"/>
      <c r="AX393" s="1"/>
      <c r="BD393" s="1"/>
    </row>
    <row r="394" spans="2:56" x14ac:dyDescent="0.3">
      <c r="B394" s="1"/>
      <c r="J394" s="2"/>
      <c r="AN394" s="1"/>
      <c r="AO394" s="1"/>
      <c r="AP394" s="1"/>
      <c r="AW394" s="1"/>
      <c r="AX394" s="1"/>
      <c r="BD394" s="1"/>
    </row>
    <row r="395" spans="2:56" x14ac:dyDescent="0.3">
      <c r="B395" s="1"/>
      <c r="J395" s="2"/>
      <c r="AN395" s="1"/>
      <c r="AO395" s="1"/>
      <c r="AP395" s="1"/>
      <c r="AW395" s="1"/>
      <c r="AX395" s="1"/>
      <c r="BD395" s="1"/>
    </row>
    <row r="396" spans="2:56" x14ac:dyDescent="0.3">
      <c r="B396" s="1"/>
      <c r="J396" s="2"/>
      <c r="AN396" s="1"/>
      <c r="AO396" s="1"/>
      <c r="AP396" s="1"/>
      <c r="AW396" s="1"/>
      <c r="AX396" s="1"/>
      <c r="BD396" s="1"/>
    </row>
    <row r="397" spans="2:56" x14ac:dyDescent="0.3">
      <c r="B397" s="1"/>
      <c r="J397" s="2"/>
      <c r="AN397" s="1"/>
      <c r="AO397" s="1"/>
      <c r="AP397" s="1"/>
      <c r="AW397" s="1"/>
      <c r="AX397" s="1"/>
      <c r="BD397" s="1"/>
    </row>
    <row r="398" spans="2:56" x14ac:dyDescent="0.3">
      <c r="B398" s="1"/>
      <c r="J398" s="2"/>
      <c r="AN398" s="1"/>
      <c r="AO398" s="1"/>
      <c r="AP398" s="1"/>
      <c r="AW398" s="1"/>
      <c r="AX398" s="1"/>
      <c r="BD398" s="1"/>
    </row>
    <row r="399" spans="2:56" x14ac:dyDescent="0.3">
      <c r="B399" s="1"/>
      <c r="J399" s="2"/>
      <c r="AN399" s="1"/>
      <c r="AO399" s="1"/>
      <c r="AP399" s="1"/>
      <c r="AW399" s="1"/>
      <c r="AX399" s="1"/>
      <c r="BD399" s="1"/>
    </row>
    <row r="400" spans="2:56" x14ac:dyDescent="0.3">
      <c r="B400" s="1"/>
      <c r="J400" s="2"/>
      <c r="AN400" s="1"/>
      <c r="AO400" s="1"/>
      <c r="AP400" s="1"/>
      <c r="AW400" s="1"/>
      <c r="AX400" s="1"/>
      <c r="BD400" s="1"/>
    </row>
    <row r="401" spans="2:57" x14ac:dyDescent="0.3">
      <c r="B401" s="1"/>
      <c r="J401" s="2"/>
      <c r="AN401" s="1"/>
      <c r="AO401" s="1"/>
      <c r="AP401" s="1"/>
      <c r="AW401" s="1"/>
      <c r="AX401" s="1"/>
      <c r="BD401" s="1"/>
    </row>
    <row r="402" spans="2:57" x14ac:dyDescent="0.3">
      <c r="B402" s="1"/>
      <c r="J402" s="2"/>
      <c r="AN402" s="1"/>
      <c r="AO402" s="1"/>
      <c r="AP402" s="1"/>
      <c r="AW402" s="1"/>
      <c r="AX402" s="1"/>
      <c r="BD402" s="1"/>
    </row>
    <row r="403" spans="2:57" x14ac:dyDescent="0.3">
      <c r="B403" s="1"/>
      <c r="J403" s="2"/>
      <c r="AN403" s="1"/>
      <c r="AO403" s="1"/>
      <c r="AP403" s="1"/>
      <c r="AW403" s="1"/>
      <c r="AX403" s="1"/>
      <c r="BD403" s="1"/>
    </row>
    <row r="404" spans="2:57" x14ac:dyDescent="0.3">
      <c r="B404" s="1"/>
      <c r="J404" s="2"/>
      <c r="AN404" s="1"/>
      <c r="AP404" s="1"/>
      <c r="AW404" s="1"/>
      <c r="AX404" s="1"/>
      <c r="BD404" s="1"/>
    </row>
    <row r="405" spans="2:57" x14ac:dyDescent="0.3">
      <c r="B405" s="1"/>
      <c r="J405" s="2"/>
      <c r="AN405" s="1"/>
      <c r="AO405" s="1"/>
      <c r="AP405" s="1"/>
      <c r="AW405" s="1"/>
      <c r="AX405" s="1"/>
      <c r="BD405" s="1"/>
    </row>
    <row r="406" spans="2:57" x14ac:dyDescent="0.3">
      <c r="B406" s="1"/>
      <c r="J406" s="2"/>
      <c r="AW406" s="1"/>
      <c r="AX406" s="1"/>
      <c r="BD406" s="1"/>
    </row>
    <row r="407" spans="2:57" x14ac:dyDescent="0.3">
      <c r="B407" s="1"/>
      <c r="J407" s="2"/>
      <c r="AW407" s="1"/>
      <c r="AX407" s="1"/>
      <c r="BD407" s="1"/>
    </row>
    <row r="408" spans="2:57" x14ac:dyDescent="0.3">
      <c r="B408" s="1"/>
      <c r="J408" s="2"/>
      <c r="AN408" s="1"/>
      <c r="AO408" s="1"/>
      <c r="AP408" s="1"/>
      <c r="AW408" s="1"/>
      <c r="AX408" s="1"/>
      <c r="BD408" s="1"/>
    </row>
    <row r="409" spans="2:57" x14ac:dyDescent="0.3">
      <c r="B409" s="1"/>
      <c r="J409" s="2"/>
      <c r="AN409" s="1"/>
      <c r="AO409" s="1"/>
      <c r="AP409" s="1"/>
      <c r="AW409" s="1"/>
      <c r="AX409" s="1"/>
      <c r="BD409" s="1"/>
    </row>
    <row r="410" spans="2:57" x14ac:dyDescent="0.3">
      <c r="B410" s="1"/>
      <c r="J410" s="2"/>
      <c r="AN410" s="1"/>
      <c r="AO410" s="1"/>
      <c r="AP410" s="1"/>
      <c r="AW410" s="1"/>
      <c r="AX410" s="1"/>
      <c r="BD410" s="1"/>
    </row>
    <row r="411" spans="2:57" x14ac:dyDescent="0.3">
      <c r="B411" s="1"/>
      <c r="J411" s="2"/>
      <c r="AN411" s="1"/>
      <c r="AO411" s="1"/>
      <c r="AP411" s="1"/>
      <c r="AW411" s="1"/>
      <c r="AX411" s="1"/>
      <c r="BD411" s="1"/>
    </row>
    <row r="412" spans="2:57" x14ac:dyDescent="0.3">
      <c r="B412" s="1"/>
      <c r="J412" s="2"/>
      <c r="AN412" s="1"/>
      <c r="AO412" s="1"/>
      <c r="AP412" s="1"/>
      <c r="AW412" s="1"/>
      <c r="AX412" s="1"/>
      <c r="BD412" s="1"/>
    </row>
    <row r="413" spans="2:57" x14ac:dyDescent="0.3">
      <c r="B413" s="1"/>
      <c r="J413" s="2"/>
      <c r="AN413" s="1"/>
      <c r="AO413" s="1"/>
      <c r="AP413" s="1"/>
      <c r="AW413" s="1"/>
      <c r="AX413" s="1"/>
      <c r="BD413" s="1"/>
    </row>
    <row r="414" spans="2:57" x14ac:dyDescent="0.3">
      <c r="B414" s="1"/>
      <c r="J414" s="2"/>
      <c r="AN414" s="1"/>
      <c r="AO414" s="1"/>
      <c r="AP414" s="1"/>
      <c r="AW414" s="1"/>
      <c r="AX414" s="1"/>
      <c r="BD414" s="1"/>
    </row>
    <row r="415" spans="2:57" x14ac:dyDescent="0.3">
      <c r="B415" s="1"/>
      <c r="J415" s="2"/>
      <c r="AN415" s="1"/>
      <c r="AO415" s="1"/>
      <c r="AP415" s="1"/>
      <c r="AW415" s="1"/>
      <c r="AX415" s="1"/>
      <c r="BD415" s="1"/>
    </row>
    <row r="416" spans="2:57" x14ac:dyDescent="0.3">
      <c r="B416" s="1"/>
      <c r="J416" s="2"/>
      <c r="AN416" s="1"/>
      <c r="AO416" s="1"/>
      <c r="AP416" s="1"/>
      <c r="AW416" s="1"/>
      <c r="AX416" s="1"/>
      <c r="BD416" s="1"/>
      <c r="BE416" s="1"/>
    </row>
    <row r="417" spans="2:57" x14ac:dyDescent="0.3">
      <c r="B417" s="1"/>
      <c r="J417" s="2"/>
      <c r="AN417" s="1"/>
      <c r="AO417" s="1"/>
      <c r="AP417" s="1"/>
      <c r="AW417" s="1"/>
      <c r="AX417" s="1"/>
      <c r="BD417" s="1"/>
    </row>
    <row r="418" spans="2:57" x14ac:dyDescent="0.3">
      <c r="B418" s="1"/>
      <c r="J418" s="2"/>
      <c r="AN418" s="1"/>
      <c r="AO418" s="1"/>
      <c r="AP418" s="1"/>
      <c r="AW418" s="1"/>
      <c r="AX418" s="1"/>
      <c r="BD418" s="1"/>
    </row>
    <row r="419" spans="2:57" x14ac:dyDescent="0.3">
      <c r="B419" s="1"/>
      <c r="J419" s="2"/>
      <c r="AN419" s="1"/>
      <c r="AO419" s="1"/>
      <c r="AP419" s="1"/>
      <c r="AW419" s="1"/>
      <c r="AX419" s="1"/>
      <c r="BD419" s="1"/>
      <c r="BE419" s="1"/>
    </row>
    <row r="420" spans="2:57" x14ac:dyDescent="0.3">
      <c r="B420" s="1"/>
      <c r="J420" s="2"/>
      <c r="AP420" s="1"/>
      <c r="AW420" s="1"/>
      <c r="AX420" s="1"/>
      <c r="BD420" s="1"/>
    </row>
    <row r="421" spans="2:57" x14ac:dyDescent="0.3">
      <c r="B421" s="1"/>
      <c r="J421" s="2"/>
      <c r="AN421" s="1"/>
      <c r="AO421" s="1"/>
      <c r="AP421" s="1"/>
      <c r="AW421" s="1"/>
      <c r="AX421" s="1"/>
      <c r="BD421" s="1"/>
    </row>
    <row r="422" spans="2:57" x14ac:dyDescent="0.3">
      <c r="B422" s="1"/>
      <c r="J422" s="2"/>
      <c r="AN422" s="1"/>
      <c r="AO422" s="1"/>
      <c r="AP422" s="1"/>
      <c r="AW422" s="1"/>
      <c r="AX422" s="1"/>
      <c r="BD422" s="1"/>
    </row>
    <row r="423" spans="2:57" x14ac:dyDescent="0.3">
      <c r="B423" s="1"/>
      <c r="J423" s="2"/>
      <c r="AN423" s="1"/>
      <c r="AO423" s="1"/>
      <c r="AW423" s="1"/>
      <c r="AX423" s="1"/>
      <c r="BD423" s="1"/>
    </row>
    <row r="424" spans="2:57" x14ac:dyDescent="0.3">
      <c r="B424" s="1"/>
      <c r="J424" s="2"/>
      <c r="AN424" s="1"/>
      <c r="AO424" s="1"/>
      <c r="AP424" s="1"/>
      <c r="AW424" s="1"/>
      <c r="AX424" s="1"/>
      <c r="BD424" s="1"/>
    </row>
    <row r="425" spans="2:57" x14ac:dyDescent="0.3">
      <c r="B425" s="1"/>
      <c r="J425" s="2"/>
      <c r="AN425" s="1"/>
      <c r="AO425" s="1"/>
      <c r="AP425" s="1"/>
      <c r="AW425" s="1"/>
      <c r="AX425" s="1"/>
      <c r="BD425" s="1"/>
    </row>
    <row r="426" spans="2:57" x14ac:dyDescent="0.3">
      <c r="B426" s="1"/>
      <c r="J426" s="2"/>
      <c r="AN426" s="1"/>
      <c r="AO426" s="1"/>
      <c r="AP426" s="1"/>
      <c r="AW426" s="1"/>
      <c r="AX426" s="1"/>
      <c r="BD426" s="1"/>
    </row>
    <row r="427" spans="2:57" x14ac:dyDescent="0.3">
      <c r="B427" s="1"/>
      <c r="J427" s="2"/>
      <c r="AN427" s="1"/>
      <c r="AO427" s="1"/>
      <c r="AP427" s="1"/>
      <c r="AW427" s="1"/>
      <c r="AX427" s="1"/>
      <c r="BD427" s="1"/>
    </row>
    <row r="428" spans="2:57" x14ac:dyDescent="0.3">
      <c r="B428" s="1"/>
      <c r="J428" s="2"/>
      <c r="AN428" s="1"/>
      <c r="AO428" s="1"/>
      <c r="AP428" s="1"/>
      <c r="AW428" s="1"/>
      <c r="AX428" s="1"/>
      <c r="BD428" s="1"/>
    </row>
    <row r="429" spans="2:57" x14ac:dyDescent="0.3">
      <c r="B429" s="1"/>
      <c r="J429" s="2"/>
      <c r="AW429" s="1"/>
      <c r="AX429" s="1"/>
      <c r="BD429" s="1"/>
    </row>
    <row r="430" spans="2:57" x14ac:dyDescent="0.3">
      <c r="B430" s="1"/>
      <c r="J430" s="2"/>
      <c r="AN430" s="1"/>
      <c r="AO430" s="1"/>
      <c r="AP430" s="1"/>
      <c r="AW430" s="1"/>
      <c r="AX430" s="1"/>
      <c r="BD430" s="1"/>
    </row>
    <row r="431" spans="2:57" x14ac:dyDescent="0.3">
      <c r="B431" s="1"/>
      <c r="J431" s="2"/>
      <c r="AN431" s="1"/>
      <c r="AO431" s="1"/>
      <c r="AP431" s="1"/>
      <c r="AW431" s="1"/>
      <c r="AX431" s="1"/>
      <c r="BD431" s="1"/>
    </row>
    <row r="432" spans="2:57" x14ac:dyDescent="0.3">
      <c r="B432" s="1"/>
      <c r="J432" s="2"/>
      <c r="AN432" s="1"/>
      <c r="AO432" s="1"/>
      <c r="AW432" s="1"/>
      <c r="AX432" s="1"/>
      <c r="BD432" s="1"/>
    </row>
    <row r="433" spans="2:57" x14ac:dyDescent="0.3">
      <c r="B433" s="1"/>
      <c r="J433" s="2"/>
      <c r="AN433" s="1"/>
      <c r="AO433" s="1"/>
      <c r="AP433" s="1"/>
      <c r="AW433" s="1"/>
      <c r="AX433" s="1"/>
      <c r="BD433" s="1"/>
      <c r="BE433" s="1"/>
    </row>
    <row r="434" spans="2:57" x14ac:dyDescent="0.3">
      <c r="B434" s="1"/>
      <c r="J434" s="2"/>
      <c r="AN434" s="1"/>
      <c r="AO434" s="1"/>
      <c r="AP434" s="1"/>
      <c r="AW434" s="1"/>
      <c r="AX434" s="1"/>
      <c r="BD434" s="1"/>
      <c r="BE434" s="1"/>
    </row>
    <row r="435" spans="2:57" x14ac:dyDescent="0.3">
      <c r="B435" s="1"/>
      <c r="J435" s="2"/>
      <c r="AN435" s="1"/>
      <c r="AO435" s="1"/>
      <c r="AP435" s="1"/>
      <c r="AW435" s="1"/>
      <c r="AX435" s="1"/>
      <c r="BD435" s="1"/>
    </row>
    <row r="436" spans="2:57" x14ac:dyDescent="0.3">
      <c r="B436" s="1"/>
      <c r="J436" s="2"/>
      <c r="AN436" s="1"/>
      <c r="AO436" s="1"/>
      <c r="AP436" s="1"/>
      <c r="AW436" s="1"/>
      <c r="AX436" s="1"/>
      <c r="BD436" s="1"/>
    </row>
    <row r="437" spans="2:57" x14ac:dyDescent="0.3">
      <c r="B437" s="1"/>
      <c r="J437" s="2"/>
      <c r="AP437" s="1"/>
      <c r="AW437" s="1"/>
      <c r="AX437" s="1"/>
      <c r="BD437" s="1"/>
    </row>
    <row r="438" spans="2:57" x14ac:dyDescent="0.3">
      <c r="B438" s="1"/>
      <c r="J438" s="2"/>
      <c r="AN438" s="1"/>
      <c r="AO438" s="1"/>
      <c r="AP438" s="1"/>
      <c r="AW438" s="1"/>
      <c r="AX438" s="1"/>
      <c r="BD438" s="1"/>
      <c r="BE438" s="1"/>
    </row>
    <row r="439" spans="2:57" x14ac:dyDescent="0.3">
      <c r="B439" s="1"/>
      <c r="J439" s="2"/>
      <c r="AN439" s="1"/>
      <c r="AO439" s="1"/>
      <c r="AP439" s="1"/>
      <c r="AW439" s="1"/>
      <c r="AX439" s="1"/>
      <c r="BD439" s="1"/>
    </row>
    <row r="440" spans="2:57" x14ac:dyDescent="0.3">
      <c r="B440" s="1"/>
      <c r="J440" s="2"/>
      <c r="AN440" s="1"/>
      <c r="AO440" s="1"/>
      <c r="AP440" s="1"/>
      <c r="AW440" s="1"/>
      <c r="AX440" s="1"/>
      <c r="BD440" s="1"/>
    </row>
    <row r="441" spans="2:57" x14ac:dyDescent="0.3">
      <c r="B441" s="1"/>
      <c r="J441" s="2"/>
      <c r="AN441" s="1"/>
      <c r="AO441" s="1"/>
      <c r="AP441" s="1"/>
      <c r="AW441" s="1"/>
      <c r="AX441" s="1"/>
      <c r="BD441" s="1"/>
    </row>
    <row r="442" spans="2:57" x14ac:dyDescent="0.3">
      <c r="B442" s="1"/>
      <c r="J442" s="2"/>
      <c r="AN442" s="1"/>
      <c r="AO442" s="1"/>
      <c r="AP442" s="1"/>
      <c r="AW442" s="1"/>
      <c r="AX442" s="1"/>
      <c r="BD442" s="1"/>
    </row>
    <row r="443" spans="2:57" x14ac:dyDescent="0.3">
      <c r="B443" s="1"/>
      <c r="J443" s="2"/>
      <c r="AN443" s="1"/>
      <c r="AO443" s="1"/>
      <c r="AP443" s="1"/>
      <c r="AW443" s="1"/>
      <c r="AX443" s="1"/>
      <c r="BD443" s="1"/>
    </row>
    <row r="444" spans="2:57" x14ac:dyDescent="0.3">
      <c r="B444" s="1"/>
      <c r="J444" s="2"/>
      <c r="AP444" s="1"/>
      <c r="AW444" s="1"/>
      <c r="AX444" s="1"/>
      <c r="BD444" s="1"/>
    </row>
    <row r="445" spans="2:57" x14ac:dyDescent="0.3">
      <c r="B445" s="1"/>
      <c r="J445" s="2"/>
      <c r="AN445" s="1"/>
      <c r="AO445" s="1"/>
      <c r="AP445" s="1"/>
      <c r="AW445" s="1"/>
      <c r="AX445" s="1"/>
      <c r="BD445" s="1"/>
    </row>
    <row r="446" spans="2:57" x14ac:dyDescent="0.3">
      <c r="B446" s="1"/>
      <c r="J446" s="2"/>
      <c r="AN446" s="1"/>
      <c r="AO446" s="1"/>
      <c r="AP446" s="1"/>
      <c r="AW446" s="1"/>
      <c r="AX446" s="1"/>
      <c r="BD446" s="1"/>
    </row>
    <row r="447" spans="2:57" x14ac:dyDescent="0.3">
      <c r="B447" s="1"/>
      <c r="J447" s="2"/>
      <c r="AN447" s="1"/>
      <c r="AO447" s="1"/>
      <c r="AP447" s="1"/>
      <c r="AW447" s="1"/>
      <c r="AX447" s="1"/>
      <c r="BD447" s="1"/>
    </row>
    <row r="448" spans="2:57" x14ac:dyDescent="0.3">
      <c r="B448" s="1"/>
      <c r="J448" s="2"/>
      <c r="AN448" s="1"/>
      <c r="AO448" s="1"/>
      <c r="AP448" s="1"/>
      <c r="AW448" s="1"/>
      <c r="AX448" s="1"/>
      <c r="BD448" s="1"/>
    </row>
    <row r="449" spans="2:57" x14ac:dyDescent="0.3">
      <c r="B449" s="1"/>
      <c r="J449" s="2"/>
      <c r="AN449" s="1"/>
      <c r="AO449" s="1"/>
      <c r="AP449" s="1"/>
      <c r="AW449" s="1"/>
      <c r="AX449" s="1"/>
      <c r="BD449" s="1"/>
    </row>
    <row r="450" spans="2:57" x14ac:dyDescent="0.3">
      <c r="B450" s="1"/>
      <c r="J450" s="2"/>
      <c r="AN450" s="1"/>
      <c r="AO450" s="1"/>
      <c r="AP450" s="1"/>
      <c r="AW450" s="1"/>
      <c r="AX450" s="1"/>
      <c r="BD450" s="1"/>
      <c r="BE450" s="1"/>
    </row>
    <row r="451" spans="2:57" x14ac:dyDescent="0.3">
      <c r="B451" s="1"/>
      <c r="J451" s="2"/>
      <c r="AN451" s="1"/>
      <c r="AO451" s="1"/>
      <c r="AP451" s="1"/>
      <c r="AW451" s="1"/>
      <c r="AX451" s="1"/>
      <c r="BD451" s="1"/>
    </row>
    <row r="452" spans="2:57" x14ac:dyDescent="0.3">
      <c r="B452" s="1"/>
      <c r="J452" s="2"/>
      <c r="AN452" s="1"/>
      <c r="AO452" s="1"/>
      <c r="AP452" s="1"/>
      <c r="AW452" s="1"/>
      <c r="AX452" s="1"/>
      <c r="BD452" s="1"/>
    </row>
    <row r="453" spans="2:57" x14ac:dyDescent="0.3">
      <c r="B453" s="1"/>
      <c r="J453" s="2"/>
      <c r="AN453" s="1"/>
      <c r="AO453" s="1"/>
      <c r="AP453" s="1"/>
      <c r="AW453" s="1"/>
      <c r="AX453" s="1"/>
      <c r="BD453" s="1"/>
    </row>
    <row r="454" spans="2:57" x14ac:dyDescent="0.3">
      <c r="B454" s="1"/>
      <c r="J454" s="2"/>
      <c r="AN454" s="1"/>
      <c r="AO454" s="1"/>
      <c r="AW454" s="1"/>
      <c r="AX454" s="1"/>
      <c r="BD454" s="1"/>
    </row>
    <row r="455" spans="2:57" x14ac:dyDescent="0.3">
      <c r="B455" s="1"/>
      <c r="J455" s="2"/>
      <c r="AN455" s="1"/>
      <c r="AO455" s="1"/>
      <c r="AP455" s="1"/>
      <c r="AW455" s="1"/>
      <c r="AX455" s="1"/>
      <c r="BD455" s="1"/>
    </row>
    <row r="456" spans="2:57" x14ac:dyDescent="0.3">
      <c r="B456" s="1"/>
      <c r="J456" s="2"/>
      <c r="AN456" s="1"/>
      <c r="AO456" s="1"/>
      <c r="AP456" s="1"/>
      <c r="AW456" s="1"/>
      <c r="AX456" s="1"/>
      <c r="BD456" s="1"/>
    </row>
    <row r="457" spans="2:57" x14ac:dyDescent="0.3">
      <c r="B457" s="1"/>
      <c r="J457" s="2"/>
      <c r="AP457" s="1"/>
      <c r="AW457" s="1"/>
      <c r="AX457" s="1"/>
      <c r="BD457" s="1"/>
    </row>
    <row r="458" spans="2:57" x14ac:dyDescent="0.3">
      <c r="B458" s="1"/>
      <c r="J458" s="2"/>
      <c r="AN458" s="1"/>
      <c r="AO458" s="1"/>
      <c r="AW458" s="1"/>
      <c r="AX458" s="1"/>
      <c r="BD458" s="1"/>
    </row>
    <row r="459" spans="2:57" x14ac:dyDescent="0.3">
      <c r="B459" s="1"/>
      <c r="J459" s="2"/>
      <c r="AN459" s="1"/>
      <c r="AO459" s="1"/>
      <c r="AP459" s="1"/>
      <c r="AW459" s="1"/>
      <c r="AX459" s="1"/>
      <c r="BD459" s="1"/>
      <c r="BE459" s="1"/>
    </row>
    <row r="460" spans="2:57" x14ac:dyDescent="0.3">
      <c r="B460" s="1"/>
      <c r="J460" s="2"/>
      <c r="AN460" s="1"/>
      <c r="AO460" s="1"/>
      <c r="AP460" s="1"/>
      <c r="AW460" s="1"/>
      <c r="AX460" s="1"/>
      <c r="BD460" s="1"/>
    </row>
    <row r="461" spans="2:57" x14ac:dyDescent="0.3">
      <c r="B461" s="1"/>
      <c r="J461" s="2"/>
      <c r="AN461" s="1"/>
      <c r="AO461" s="1"/>
      <c r="AP461" s="1"/>
      <c r="AW461" s="1"/>
      <c r="AX461" s="1"/>
      <c r="BD461" s="1"/>
    </row>
    <row r="462" spans="2:57" x14ac:dyDescent="0.3">
      <c r="B462" s="1"/>
      <c r="J462" s="2"/>
      <c r="AN462" s="1"/>
      <c r="AO462" s="1"/>
      <c r="AP462" s="1"/>
      <c r="AW462" s="1"/>
      <c r="AX462" s="1"/>
      <c r="BD462" s="1"/>
    </row>
    <row r="463" spans="2:57" x14ac:dyDescent="0.3">
      <c r="B463" s="1"/>
      <c r="J463" s="2"/>
      <c r="AN463" s="1"/>
      <c r="AO463" s="1"/>
      <c r="AP463" s="1"/>
      <c r="AW463" s="1"/>
      <c r="AX463" s="1"/>
      <c r="BD463" s="1"/>
      <c r="BE463" s="1"/>
    </row>
    <row r="464" spans="2:57" x14ac:dyDescent="0.3">
      <c r="B464" s="1"/>
      <c r="J464" s="2"/>
      <c r="AN464" s="1"/>
      <c r="AO464" s="1"/>
      <c r="AP464" s="1"/>
      <c r="AW464" s="1"/>
      <c r="AX464" s="1"/>
      <c r="BD464" s="1"/>
    </row>
    <row r="465" spans="2:57" x14ac:dyDescent="0.3">
      <c r="B465" s="1"/>
      <c r="J465" s="2"/>
      <c r="AN465" s="1"/>
      <c r="AO465" s="1"/>
      <c r="AW465" s="1"/>
      <c r="AX465" s="1"/>
      <c r="BD465" s="1"/>
    </row>
    <row r="466" spans="2:57" x14ac:dyDescent="0.3">
      <c r="B466" s="1"/>
      <c r="J466" s="2"/>
      <c r="AN466" s="1"/>
      <c r="AO466" s="1"/>
      <c r="AP466" s="1"/>
      <c r="AW466" s="1"/>
      <c r="AX466" s="1"/>
      <c r="BD466" s="1"/>
    </row>
    <row r="467" spans="2:57" x14ac:dyDescent="0.3">
      <c r="B467" s="1"/>
      <c r="J467" s="2"/>
      <c r="AN467" s="1"/>
      <c r="AO467" s="1"/>
      <c r="AP467" s="1"/>
      <c r="AW467" s="1"/>
      <c r="AX467" s="1"/>
      <c r="BD467" s="1"/>
    </row>
    <row r="468" spans="2:57" x14ac:dyDescent="0.3">
      <c r="B468" s="1"/>
      <c r="J468" s="2"/>
      <c r="AN468" s="1"/>
      <c r="AO468" s="1"/>
      <c r="AP468" s="1"/>
      <c r="AW468" s="1"/>
      <c r="AX468" s="1"/>
      <c r="BD468" s="1"/>
    </row>
    <row r="469" spans="2:57" x14ac:dyDescent="0.3">
      <c r="B469" s="1"/>
      <c r="J469" s="2"/>
      <c r="AN469" s="1"/>
      <c r="AO469" s="1"/>
      <c r="AP469" s="1"/>
      <c r="AW469" s="1"/>
      <c r="AX469" s="1"/>
      <c r="BD469" s="1"/>
      <c r="BE469" s="1"/>
    </row>
    <row r="470" spans="2:57" x14ac:dyDescent="0.3">
      <c r="B470" s="1"/>
      <c r="J470" s="2"/>
      <c r="AP470" s="1"/>
      <c r="AW470" s="1"/>
      <c r="AX470" s="1"/>
      <c r="BD470" s="1"/>
    </row>
    <row r="471" spans="2:57" x14ac:dyDescent="0.3">
      <c r="B471" s="1"/>
      <c r="J471" s="2"/>
      <c r="AN471" s="1"/>
      <c r="AO471" s="1"/>
      <c r="AP471" s="1"/>
      <c r="AW471" s="1"/>
      <c r="AX471" s="1"/>
      <c r="BD471" s="1"/>
    </row>
    <row r="472" spans="2:57" x14ac:dyDescent="0.3">
      <c r="B472" s="1"/>
      <c r="J472" s="2"/>
      <c r="AN472" s="1"/>
      <c r="AO472" s="1"/>
      <c r="AP472" s="1"/>
      <c r="AW472" s="1"/>
      <c r="AX472" s="1"/>
      <c r="BD472" s="1"/>
    </row>
    <row r="473" spans="2:57" x14ac:dyDescent="0.3">
      <c r="B473" s="1"/>
      <c r="J473" s="2"/>
      <c r="AN473" s="1"/>
      <c r="AO473" s="1"/>
      <c r="AW473" s="1"/>
      <c r="AX473" s="1"/>
      <c r="BD473" s="1"/>
    </row>
    <row r="474" spans="2:57" x14ac:dyDescent="0.3">
      <c r="B474" s="1"/>
      <c r="J474" s="2"/>
      <c r="AN474" s="1"/>
      <c r="AO474" s="1"/>
      <c r="AP474" s="1"/>
      <c r="AW474" s="1"/>
      <c r="AX474" s="1"/>
      <c r="BD474" s="1"/>
    </row>
    <row r="475" spans="2:57" x14ac:dyDescent="0.3">
      <c r="B475" s="1"/>
      <c r="J475" s="2"/>
      <c r="AN475" s="1"/>
      <c r="AO475" s="1"/>
      <c r="AP475" s="1"/>
      <c r="AW475" s="1"/>
      <c r="AX475" s="1"/>
      <c r="BD475" s="1"/>
    </row>
    <row r="476" spans="2:57" x14ac:dyDescent="0.3">
      <c r="B476" s="1"/>
      <c r="J476" s="2"/>
      <c r="AN476" s="1"/>
      <c r="AO476" s="1"/>
      <c r="AP476" s="1"/>
      <c r="AW476" s="1"/>
      <c r="AX476" s="1"/>
      <c r="BD476" s="1"/>
      <c r="BE476" s="1"/>
    </row>
    <row r="477" spans="2:57" x14ac:dyDescent="0.3">
      <c r="B477" s="1"/>
      <c r="J477" s="2"/>
      <c r="AN477" s="1"/>
      <c r="AO477" s="1"/>
      <c r="AP477" s="1"/>
      <c r="AW477" s="1"/>
      <c r="AX477" s="1"/>
      <c r="BD477" s="1"/>
    </row>
    <row r="478" spans="2:57" x14ac:dyDescent="0.3">
      <c r="B478" s="1"/>
      <c r="J478" s="2"/>
      <c r="AN478" s="1"/>
      <c r="AO478" s="1"/>
      <c r="AP478" s="1"/>
      <c r="AW478" s="1"/>
      <c r="AX478" s="1"/>
      <c r="BD478" s="1"/>
    </row>
    <row r="479" spans="2:57" x14ac:dyDescent="0.3">
      <c r="B479" s="1"/>
      <c r="J479" s="2"/>
      <c r="AN479" s="1"/>
      <c r="AO479" s="1"/>
      <c r="AP479" s="1"/>
      <c r="AW479" s="1"/>
      <c r="AX479" s="1"/>
      <c r="BD479" s="1"/>
    </row>
    <row r="480" spans="2:57" x14ac:dyDescent="0.3">
      <c r="B480" s="1"/>
      <c r="J480" s="2"/>
      <c r="AN480" s="1"/>
      <c r="AO480" s="1"/>
      <c r="AP480" s="1"/>
      <c r="AW480" s="1"/>
      <c r="AX480" s="1"/>
      <c r="BD480" s="1"/>
    </row>
    <row r="481" spans="2:56" x14ac:dyDescent="0.3">
      <c r="B481" s="1"/>
      <c r="J481" s="2"/>
      <c r="AN481" s="1"/>
      <c r="AO481" s="1"/>
      <c r="AP481" s="1"/>
      <c r="AW481" s="1"/>
      <c r="AX481" s="1"/>
      <c r="BD481" s="1"/>
    </row>
    <row r="482" spans="2:56" x14ac:dyDescent="0.3">
      <c r="B482" s="1"/>
      <c r="J482" s="2"/>
      <c r="AN482" s="1"/>
      <c r="AO482" s="1"/>
      <c r="AP482" s="1"/>
      <c r="AW482" s="1"/>
      <c r="AX482" s="1"/>
      <c r="BD482" s="1"/>
    </row>
    <row r="483" spans="2:56" x14ac:dyDescent="0.3">
      <c r="B483" s="1"/>
      <c r="J483" s="2"/>
      <c r="AW483" s="1"/>
      <c r="AX483" s="1"/>
      <c r="BD483" s="1"/>
    </row>
    <row r="484" spans="2:56" x14ac:dyDescent="0.3">
      <c r="B484" s="1"/>
      <c r="J484" s="2"/>
      <c r="AN484" s="1"/>
      <c r="AO484" s="1"/>
      <c r="AP484" s="1"/>
      <c r="AW484" s="1"/>
      <c r="AX484" s="1"/>
      <c r="BD484" s="1"/>
    </row>
    <row r="485" spans="2:56" x14ac:dyDescent="0.3">
      <c r="B485" s="1"/>
      <c r="J485" s="2"/>
      <c r="AN485" s="1"/>
      <c r="AO485" s="1"/>
      <c r="AP485" s="1"/>
      <c r="AW485" s="1"/>
      <c r="AX485" s="1"/>
      <c r="BD485" s="1"/>
    </row>
    <row r="486" spans="2:56" x14ac:dyDescent="0.3">
      <c r="B486" s="1"/>
      <c r="J486" s="2"/>
      <c r="AW486" s="1"/>
      <c r="AX486" s="1"/>
      <c r="BD486" s="1"/>
    </row>
    <row r="487" spans="2:56" x14ac:dyDescent="0.3">
      <c r="B487" s="1"/>
      <c r="J487" s="2"/>
      <c r="AN487" s="1"/>
      <c r="AO487" s="1"/>
      <c r="AP487" s="1"/>
      <c r="AW487" s="1"/>
      <c r="AX487" s="1"/>
      <c r="BD487" s="1"/>
    </row>
    <row r="488" spans="2:56" x14ac:dyDescent="0.3">
      <c r="B488" s="1"/>
      <c r="J488" s="2"/>
      <c r="AP488" s="1"/>
      <c r="AW488" s="1"/>
      <c r="AX488" s="1"/>
      <c r="BD488" s="1"/>
    </row>
    <row r="489" spans="2:56" x14ac:dyDescent="0.3">
      <c r="B489" s="1"/>
      <c r="J489" s="2"/>
      <c r="AN489" s="1"/>
      <c r="AO489" s="1"/>
      <c r="AP489" s="1"/>
      <c r="AW489" s="1"/>
      <c r="AX489" s="1"/>
      <c r="BD489" s="1"/>
    </row>
    <row r="490" spans="2:56" x14ac:dyDescent="0.3">
      <c r="B490" s="1"/>
      <c r="J490" s="2"/>
      <c r="AN490" s="1"/>
      <c r="AO490" s="1"/>
      <c r="AW490" s="1"/>
      <c r="AX490" s="1"/>
      <c r="BD490" s="1"/>
    </row>
    <row r="491" spans="2:56" x14ac:dyDescent="0.3">
      <c r="B491" s="1"/>
      <c r="J491" s="2"/>
      <c r="AN491" s="1"/>
      <c r="AO491" s="1"/>
      <c r="AP491" s="1"/>
      <c r="AW491" s="1"/>
      <c r="AX491" s="1"/>
      <c r="BD491" s="1"/>
    </row>
    <row r="492" spans="2:56" x14ac:dyDescent="0.3">
      <c r="B492" s="1"/>
      <c r="J492" s="2"/>
      <c r="AW492" s="1"/>
      <c r="AX492" s="1"/>
      <c r="BD492" s="1"/>
    </row>
    <row r="493" spans="2:56" x14ac:dyDescent="0.3">
      <c r="B493" s="1"/>
      <c r="J493" s="2"/>
      <c r="AW493" s="1"/>
      <c r="AX493" s="1"/>
      <c r="BD493" s="1"/>
    </row>
    <row r="494" spans="2:56" x14ac:dyDescent="0.3">
      <c r="B494" s="1"/>
      <c r="J494" s="2"/>
      <c r="AN494" s="1"/>
      <c r="AO494" s="1"/>
      <c r="AW494" s="1"/>
      <c r="AX494" s="1"/>
      <c r="BD494" s="1"/>
    </row>
    <row r="495" spans="2:56" x14ac:dyDescent="0.3">
      <c r="B495" s="1"/>
      <c r="J495" s="2"/>
      <c r="AN495" s="1"/>
      <c r="AO495" s="1"/>
      <c r="AP495" s="1"/>
      <c r="AW495" s="1"/>
      <c r="AX495" s="1"/>
      <c r="BD495" s="1"/>
    </row>
    <row r="496" spans="2:56" x14ac:dyDescent="0.3">
      <c r="B496" s="1"/>
      <c r="J496" s="2"/>
      <c r="AN496" s="1"/>
      <c r="AO496" s="1"/>
      <c r="AW496" s="1"/>
      <c r="AX496" s="1"/>
      <c r="BD496" s="1"/>
    </row>
    <row r="497" spans="2:57" x14ac:dyDescent="0.3">
      <c r="B497" s="1"/>
      <c r="J497" s="2"/>
      <c r="AN497" s="1"/>
      <c r="AO497" s="1"/>
      <c r="AP497" s="1"/>
      <c r="AW497" s="1"/>
      <c r="AX497" s="1"/>
      <c r="BD497" s="1"/>
    </row>
    <row r="498" spans="2:57" x14ac:dyDescent="0.3">
      <c r="B498" s="1"/>
      <c r="J498" s="2"/>
      <c r="AN498" s="1"/>
      <c r="AW498" s="1"/>
      <c r="AX498" s="1"/>
      <c r="BD498" s="1"/>
    </row>
    <row r="499" spans="2:57" x14ac:dyDescent="0.3">
      <c r="B499" s="1"/>
      <c r="J499" s="2"/>
      <c r="AN499" s="1"/>
      <c r="AO499" s="1"/>
      <c r="AP499" s="1"/>
      <c r="AW499" s="1"/>
      <c r="AX499" s="1"/>
      <c r="BD499" s="1"/>
    </row>
    <row r="500" spans="2:57" x14ac:dyDescent="0.3">
      <c r="B500" s="1"/>
      <c r="J500" s="2"/>
      <c r="AN500" s="1"/>
      <c r="AO500" s="1"/>
      <c r="AP500" s="1"/>
      <c r="AW500" s="1"/>
      <c r="AX500" s="1"/>
      <c r="BD500" s="1"/>
    </row>
    <row r="501" spans="2:57" x14ac:dyDescent="0.3">
      <c r="B501" s="1"/>
      <c r="J501" s="2"/>
      <c r="AN501" s="1"/>
      <c r="AO501" s="1"/>
      <c r="AW501" s="1"/>
      <c r="AX501" s="1"/>
      <c r="BD501" s="1"/>
    </row>
    <row r="502" spans="2:57" x14ac:dyDescent="0.3">
      <c r="B502" s="1"/>
      <c r="J502" s="2"/>
      <c r="AN502" s="1"/>
      <c r="AO502" s="1"/>
      <c r="AP502" s="1"/>
      <c r="AW502" s="1"/>
      <c r="AX502" s="1"/>
      <c r="BD502" s="1"/>
    </row>
    <row r="503" spans="2:57" x14ac:dyDescent="0.3">
      <c r="B503" s="1"/>
      <c r="J503" s="2"/>
      <c r="AN503" s="1"/>
      <c r="AO503" s="1"/>
      <c r="AP503" s="1"/>
      <c r="AW503" s="1"/>
      <c r="AX503" s="1"/>
      <c r="BD503" s="1"/>
    </row>
    <row r="504" spans="2:57" x14ac:dyDescent="0.3">
      <c r="B504" s="1"/>
      <c r="J504" s="2"/>
      <c r="AW504" s="1"/>
      <c r="AX504" s="1"/>
      <c r="BD504" s="1"/>
    </row>
    <row r="505" spans="2:57" x14ac:dyDescent="0.3">
      <c r="B505" s="1"/>
      <c r="J505" s="2"/>
      <c r="AN505" s="1"/>
      <c r="AO505" s="1"/>
      <c r="AP505" s="1"/>
      <c r="AW505" s="1"/>
      <c r="AX505" s="1"/>
      <c r="BD505" s="1"/>
    </row>
    <row r="506" spans="2:57" x14ac:dyDescent="0.3">
      <c r="B506" s="1"/>
      <c r="J506" s="2"/>
      <c r="AN506" s="1"/>
      <c r="AO506" s="1"/>
      <c r="AP506" s="1"/>
      <c r="AW506" s="1"/>
      <c r="AX506" s="1"/>
      <c r="BD506" s="1"/>
    </row>
    <row r="507" spans="2:57" x14ac:dyDescent="0.3">
      <c r="B507" s="1"/>
      <c r="J507" s="2"/>
      <c r="AN507" s="1"/>
      <c r="AO507" s="1"/>
      <c r="AP507" s="1"/>
      <c r="AW507" s="1"/>
      <c r="AX507" s="1"/>
      <c r="BD507" s="1"/>
    </row>
    <row r="508" spans="2:57" x14ac:dyDescent="0.3">
      <c r="B508" s="1"/>
      <c r="J508" s="2"/>
      <c r="AG508" s="1"/>
      <c r="AU508" s="1"/>
      <c r="AV508" s="1"/>
      <c r="AW508" s="1"/>
      <c r="AX508" s="1"/>
    </row>
    <row r="509" spans="2:57" x14ac:dyDescent="0.3">
      <c r="B509" s="1"/>
      <c r="J509" s="2"/>
      <c r="AV509" s="1"/>
      <c r="AW509" s="1"/>
      <c r="AX509" s="1"/>
      <c r="BE509" s="1"/>
    </row>
    <row r="510" spans="2:57" x14ac:dyDescent="0.3">
      <c r="B510" s="1"/>
      <c r="J510" s="2"/>
      <c r="AV510" s="1"/>
      <c r="AW510" s="1"/>
      <c r="AX510" s="1"/>
    </row>
    <row r="511" spans="2:57" x14ac:dyDescent="0.3">
      <c r="B511" s="1"/>
      <c r="J511" s="2"/>
      <c r="AG511" s="1"/>
      <c r="AU511" s="1"/>
      <c r="AV511" s="1"/>
      <c r="AW511" s="1"/>
      <c r="AX511" s="1"/>
    </row>
    <row r="512" spans="2:57" x14ac:dyDescent="0.3">
      <c r="B512" s="1"/>
      <c r="J512" s="2"/>
      <c r="AG512" s="1"/>
      <c r="AU512" s="1"/>
      <c r="AV512" s="1"/>
      <c r="AW512" s="1"/>
      <c r="AX512" s="1"/>
    </row>
    <row r="513" spans="2:50" x14ac:dyDescent="0.3">
      <c r="B513" s="1"/>
      <c r="J513" s="2"/>
      <c r="AG513" s="1"/>
      <c r="AU513" s="1"/>
      <c r="AV513" s="1"/>
      <c r="AW513" s="1"/>
      <c r="AX513" s="1"/>
    </row>
    <row r="514" spans="2:50" x14ac:dyDescent="0.3">
      <c r="B514" s="1"/>
      <c r="J514" s="2"/>
      <c r="AW514" s="1"/>
      <c r="AX514" s="1"/>
    </row>
    <row r="515" spans="2:50" x14ac:dyDescent="0.3">
      <c r="B515" s="1"/>
      <c r="J515" s="2"/>
      <c r="AE515" s="1"/>
      <c r="AK515" s="1"/>
      <c r="AW515" s="1"/>
      <c r="AX515" s="1"/>
    </row>
    <row r="516" spans="2:50" x14ac:dyDescent="0.3">
      <c r="B516" s="1"/>
      <c r="J516" s="2"/>
      <c r="AE516" s="1"/>
      <c r="AK516" s="1"/>
      <c r="AW516" s="1"/>
      <c r="AX516" s="1"/>
    </row>
    <row r="517" spans="2:50" x14ac:dyDescent="0.3">
      <c r="B517" s="1"/>
      <c r="J517" s="2"/>
      <c r="AE517" s="1"/>
      <c r="AK517" s="1"/>
      <c r="AW517" s="1"/>
      <c r="AX517" s="1"/>
    </row>
    <row r="518" spans="2:50" x14ac:dyDescent="0.3">
      <c r="B518" s="1"/>
      <c r="J518" s="2"/>
      <c r="AE518" s="1"/>
      <c r="AK518" s="1"/>
      <c r="AW518" s="1"/>
      <c r="AX518" s="1"/>
    </row>
    <row r="519" spans="2:50" x14ac:dyDescent="0.3">
      <c r="B519" s="1"/>
      <c r="J519" s="2"/>
      <c r="AE519" s="1"/>
      <c r="AK519" s="1"/>
      <c r="AW519" s="1"/>
      <c r="AX519" s="1"/>
    </row>
    <row r="520" spans="2:50" x14ac:dyDescent="0.3">
      <c r="B520" s="1"/>
      <c r="J520" s="2"/>
      <c r="AE520" s="1"/>
      <c r="AK520" s="1"/>
      <c r="AW520" s="1"/>
      <c r="AX520" s="1"/>
    </row>
    <row r="521" spans="2:50" x14ac:dyDescent="0.3">
      <c r="B521" s="1"/>
      <c r="J521" s="2"/>
      <c r="AE521" s="1"/>
      <c r="AK521" s="1"/>
      <c r="AW521" s="1"/>
      <c r="AX521" s="1"/>
    </row>
    <row r="522" spans="2:50" x14ac:dyDescent="0.3">
      <c r="B522" s="1"/>
      <c r="J522" s="2"/>
      <c r="AE522" s="1"/>
      <c r="AK522" s="1"/>
      <c r="AW522" s="1"/>
      <c r="AX522" s="1"/>
    </row>
    <row r="523" spans="2:50" x14ac:dyDescent="0.3">
      <c r="B523" s="1"/>
      <c r="J523" s="2"/>
      <c r="AE523" s="1"/>
      <c r="AK523" s="1"/>
      <c r="AW523" s="1"/>
      <c r="AX523" s="1"/>
    </row>
    <row r="524" spans="2:50" x14ac:dyDescent="0.3">
      <c r="B524" s="1"/>
      <c r="J524" s="2"/>
      <c r="AE524" s="1"/>
      <c r="AK524" s="1"/>
      <c r="AW524" s="1"/>
      <c r="AX524" s="1"/>
    </row>
    <row r="525" spans="2:50" x14ac:dyDescent="0.3">
      <c r="B525" s="1"/>
      <c r="J525" s="2"/>
      <c r="AE525" s="1"/>
      <c r="AK525" s="1"/>
      <c r="AW525" s="1"/>
      <c r="AX525" s="1"/>
    </row>
    <row r="526" spans="2:50" x14ac:dyDescent="0.3">
      <c r="B526" s="1"/>
      <c r="J526" s="2"/>
      <c r="AE526" s="1"/>
      <c r="AK526" s="1"/>
      <c r="AW526" s="1"/>
      <c r="AX526" s="1"/>
    </row>
    <row r="527" spans="2:50" x14ac:dyDescent="0.3">
      <c r="B527" s="1"/>
      <c r="J527" s="2"/>
      <c r="AE527" s="1"/>
      <c r="AK527" s="1"/>
      <c r="AW527" s="1"/>
      <c r="AX527" s="1"/>
    </row>
    <row r="528" spans="2:50" x14ac:dyDescent="0.3">
      <c r="B528" s="1"/>
      <c r="J528" s="2"/>
      <c r="AE528" s="1"/>
      <c r="AK528" s="1"/>
      <c r="AW528" s="1"/>
      <c r="AX528" s="1"/>
    </row>
    <row r="529" spans="2:50" x14ac:dyDescent="0.3">
      <c r="B529" s="1"/>
      <c r="J529" s="2"/>
      <c r="AE529" s="1"/>
      <c r="AK529" s="1"/>
      <c r="AW529" s="1"/>
      <c r="AX529" s="1"/>
    </row>
    <row r="530" spans="2:50" x14ac:dyDescent="0.3">
      <c r="B530" s="1"/>
      <c r="J530" s="2"/>
      <c r="AE530" s="1"/>
      <c r="AK530" s="1"/>
      <c r="AW530" s="1"/>
      <c r="AX530" s="1"/>
    </row>
    <row r="531" spans="2:50" x14ac:dyDescent="0.3">
      <c r="B531" s="1"/>
      <c r="J531" s="2"/>
      <c r="AE531" s="1"/>
      <c r="AK531" s="1"/>
      <c r="AW531" s="1"/>
      <c r="AX531" s="1"/>
    </row>
    <row r="532" spans="2:50" x14ac:dyDescent="0.3">
      <c r="B532" s="1"/>
      <c r="J532" s="2"/>
      <c r="AE532" s="1"/>
      <c r="AK532" s="1"/>
      <c r="AW532" s="1"/>
      <c r="AX532" s="1"/>
    </row>
    <row r="533" spans="2:50" x14ac:dyDescent="0.3">
      <c r="B533" s="1"/>
      <c r="J533" s="2"/>
      <c r="AE533" s="1"/>
      <c r="AK533" s="1"/>
      <c r="AW533" s="1"/>
      <c r="AX533" s="1"/>
    </row>
    <row r="534" spans="2:50" x14ac:dyDescent="0.3">
      <c r="B534" s="1"/>
      <c r="J534" s="2"/>
      <c r="AE534" s="1"/>
      <c r="AK534" s="1"/>
      <c r="AW534" s="1"/>
      <c r="AX534" s="1"/>
    </row>
    <row r="535" spans="2:50" x14ac:dyDescent="0.3">
      <c r="B535" s="1"/>
      <c r="J535" s="2"/>
      <c r="AE535" s="1"/>
      <c r="AK535" s="1"/>
      <c r="AW535" s="1"/>
      <c r="AX535" s="1"/>
    </row>
    <row r="536" spans="2:50" x14ac:dyDescent="0.3">
      <c r="B536" s="1"/>
      <c r="J536" s="2"/>
      <c r="AE536" s="1"/>
      <c r="AK536" s="1"/>
      <c r="AW536" s="1"/>
      <c r="AX536" s="1"/>
    </row>
    <row r="537" spans="2:50" x14ac:dyDescent="0.3">
      <c r="B537" s="1"/>
      <c r="J537" s="2"/>
      <c r="AE537" s="1"/>
      <c r="AK537" s="1"/>
      <c r="AW537" s="1"/>
      <c r="AX537" s="1"/>
    </row>
    <row r="538" spans="2:50" x14ac:dyDescent="0.3">
      <c r="B538" s="1"/>
      <c r="J538" s="2"/>
      <c r="AE538" s="1"/>
      <c r="AK538" s="1"/>
      <c r="AW538" s="1"/>
      <c r="AX538" s="1"/>
    </row>
    <row r="539" spans="2:50" x14ac:dyDescent="0.3">
      <c r="B539" s="1"/>
      <c r="J539" s="2"/>
      <c r="AE539" s="1"/>
      <c r="AK539" s="1"/>
      <c r="AW539" s="1"/>
      <c r="AX539" s="1"/>
    </row>
    <row r="540" spans="2:50" x14ac:dyDescent="0.3">
      <c r="B540" s="1"/>
      <c r="J540" s="2"/>
      <c r="AE540" s="1"/>
      <c r="AK540" s="1"/>
      <c r="AW540" s="1"/>
      <c r="AX540" s="1"/>
    </row>
    <row r="541" spans="2:50" x14ac:dyDescent="0.3">
      <c r="B541" s="1"/>
      <c r="J541" s="2"/>
      <c r="AE541" s="1"/>
      <c r="AK541" s="1"/>
      <c r="AW541" s="1"/>
      <c r="AX541" s="1"/>
    </row>
    <row r="542" spans="2:50" x14ac:dyDescent="0.3">
      <c r="B542" s="1"/>
      <c r="J542" s="2"/>
      <c r="AE542" s="1"/>
      <c r="AK542" s="1"/>
      <c r="AW542" s="1"/>
      <c r="AX542" s="1"/>
    </row>
    <row r="543" spans="2:50" x14ac:dyDescent="0.3">
      <c r="B543" s="1"/>
      <c r="J543" s="2"/>
      <c r="AE543" s="1"/>
      <c r="AK543" s="1"/>
      <c r="AW543" s="1"/>
      <c r="AX543" s="1"/>
    </row>
    <row r="544" spans="2:50" x14ac:dyDescent="0.3">
      <c r="B544" s="1"/>
      <c r="J544" s="2"/>
      <c r="AE544" s="1"/>
      <c r="AK544" s="1"/>
      <c r="AW544" s="1"/>
      <c r="AX544" s="1"/>
    </row>
    <row r="545" spans="2:50" x14ac:dyDescent="0.3">
      <c r="B545" s="1"/>
      <c r="J545" s="2"/>
      <c r="AE545" s="1"/>
      <c r="AK545" s="1"/>
      <c r="AW545" s="1"/>
      <c r="AX545" s="1"/>
    </row>
    <row r="546" spans="2:50" x14ac:dyDescent="0.3">
      <c r="B546" s="1"/>
      <c r="J546" s="2"/>
      <c r="AE546" s="1"/>
      <c r="AK546" s="1"/>
      <c r="AW546" s="1"/>
      <c r="AX546" s="1"/>
    </row>
    <row r="547" spans="2:50" x14ac:dyDescent="0.3">
      <c r="B547" s="1"/>
      <c r="J547" s="2"/>
      <c r="AE547" s="1"/>
      <c r="AK547" s="1"/>
      <c r="AW547" s="1"/>
      <c r="AX547" s="1"/>
    </row>
    <row r="548" spans="2:50" x14ac:dyDescent="0.3">
      <c r="B548" s="1"/>
      <c r="J548" s="2"/>
      <c r="AE548" s="1"/>
      <c r="AK548" s="1"/>
      <c r="AW548" s="1"/>
      <c r="AX548" s="1"/>
    </row>
    <row r="549" spans="2:50" x14ac:dyDescent="0.3">
      <c r="B549" s="1"/>
      <c r="J549" s="2"/>
      <c r="AE549" s="1"/>
      <c r="AK549" s="1"/>
      <c r="AW549" s="1"/>
      <c r="AX549" s="1"/>
    </row>
    <row r="550" spans="2:50" x14ac:dyDescent="0.3">
      <c r="B550" s="1"/>
      <c r="J550" s="2"/>
      <c r="AE550" s="1"/>
      <c r="AK550" s="1"/>
      <c r="AW550" s="1"/>
      <c r="AX550" s="1"/>
    </row>
    <row r="551" spans="2:50" x14ac:dyDescent="0.3">
      <c r="B551" s="1"/>
      <c r="J551" s="2"/>
      <c r="AE551" s="1"/>
      <c r="AK551" s="1"/>
      <c r="AW551" s="1"/>
      <c r="AX551" s="1"/>
    </row>
    <row r="552" spans="2:50" x14ac:dyDescent="0.3">
      <c r="B552" s="1"/>
      <c r="J552" s="2"/>
      <c r="AE552" s="1"/>
      <c r="AK552" s="1"/>
      <c r="AW552" s="1"/>
      <c r="AX552" s="1"/>
    </row>
    <row r="553" spans="2:50" x14ac:dyDescent="0.3">
      <c r="B553" s="1"/>
      <c r="J553" s="2"/>
      <c r="AE553" s="1"/>
      <c r="AK553" s="1"/>
      <c r="AW553" s="1"/>
      <c r="AX553" s="1"/>
    </row>
    <row r="554" spans="2:50" x14ac:dyDescent="0.3">
      <c r="B554" s="1"/>
      <c r="J554" s="2"/>
      <c r="AE554" s="1"/>
      <c r="AK554" s="1"/>
      <c r="AW554" s="1"/>
      <c r="AX554" s="1"/>
    </row>
    <row r="555" spans="2:50" x14ac:dyDescent="0.3">
      <c r="B555" s="1"/>
      <c r="J555" s="2"/>
      <c r="AE555" s="1"/>
      <c r="AK555" s="1"/>
      <c r="AW555" s="1"/>
      <c r="AX555" s="1"/>
    </row>
    <row r="556" spans="2:50" x14ac:dyDescent="0.3">
      <c r="B556" s="1"/>
      <c r="J556" s="2"/>
      <c r="AE556" s="1"/>
      <c r="AK556" s="1"/>
      <c r="AW556" s="1"/>
      <c r="AX556" s="1"/>
    </row>
    <row r="557" spans="2:50" x14ac:dyDescent="0.3">
      <c r="B557" s="1"/>
      <c r="J557" s="2"/>
      <c r="AE557" s="1"/>
      <c r="AK557" s="1"/>
      <c r="AW557" s="1"/>
      <c r="AX557" s="1"/>
    </row>
    <row r="558" spans="2:50" x14ac:dyDescent="0.3">
      <c r="B558" s="1"/>
      <c r="J558" s="2"/>
      <c r="AE558" s="1"/>
      <c r="AK558" s="1"/>
      <c r="AW558" s="1"/>
      <c r="AX558" s="1"/>
    </row>
    <row r="559" spans="2:50" x14ac:dyDescent="0.3">
      <c r="B559" s="1"/>
      <c r="J559" s="2"/>
      <c r="AE559" s="1"/>
      <c r="AK559" s="1"/>
      <c r="AW559" s="1"/>
      <c r="AX559" s="1"/>
    </row>
    <row r="560" spans="2:50" x14ac:dyDescent="0.3">
      <c r="B560" s="1"/>
      <c r="J560" s="2"/>
      <c r="AE560" s="1"/>
      <c r="AK560" s="1"/>
      <c r="AW560" s="1"/>
      <c r="AX560" s="1"/>
    </row>
    <row r="561" spans="2:57" x14ac:dyDescent="0.3">
      <c r="B561" s="1"/>
      <c r="J561" s="2"/>
      <c r="AE561" s="1"/>
      <c r="AK561" s="1"/>
      <c r="AW561" s="1"/>
      <c r="AX561" s="1"/>
    </row>
    <row r="562" spans="2:57" x14ac:dyDescent="0.3">
      <c r="B562" s="1"/>
      <c r="J562" s="2"/>
      <c r="AE562" s="1"/>
      <c r="AK562" s="1"/>
      <c r="AW562" s="1"/>
      <c r="AX562" s="1"/>
    </row>
    <row r="563" spans="2:57" x14ac:dyDescent="0.3">
      <c r="B563" s="1"/>
      <c r="J563" s="2"/>
      <c r="AE563" s="1"/>
      <c r="AK563" s="1"/>
      <c r="AW563" s="1"/>
      <c r="AX563" s="1"/>
    </row>
    <row r="564" spans="2:57" x14ac:dyDescent="0.3">
      <c r="B564" s="1"/>
      <c r="J564" s="2"/>
      <c r="AE564" s="1"/>
      <c r="AK564" s="1"/>
      <c r="AW564" s="1"/>
      <c r="AX564" s="1"/>
    </row>
    <row r="565" spans="2:57" x14ac:dyDescent="0.3">
      <c r="B565" s="1"/>
      <c r="J565" s="2"/>
      <c r="AE565" s="1"/>
      <c r="AK565" s="1"/>
      <c r="AW565" s="1"/>
      <c r="AX565" s="1"/>
    </row>
    <row r="566" spans="2:57" x14ac:dyDescent="0.3">
      <c r="B566" s="1"/>
      <c r="J566" s="2"/>
      <c r="AE566" s="1"/>
      <c r="AK566" s="1"/>
      <c r="AW566" s="1"/>
      <c r="AX566" s="1"/>
    </row>
    <row r="567" spans="2:57" x14ac:dyDescent="0.3">
      <c r="B567" s="1"/>
      <c r="J567" s="2"/>
      <c r="AE567" s="1"/>
      <c r="AK567" s="1"/>
      <c r="AW567" s="1"/>
      <c r="AX567" s="1"/>
    </row>
    <row r="568" spans="2:57" x14ac:dyDescent="0.3">
      <c r="B568" s="1"/>
      <c r="J568" s="2"/>
      <c r="AV568" s="1"/>
      <c r="AW568" s="1"/>
      <c r="AX568" s="1"/>
      <c r="BA568" s="1"/>
      <c r="BE568" s="1"/>
    </row>
    <row r="569" spans="2:57" x14ac:dyDescent="0.3">
      <c r="B569" s="1"/>
      <c r="J569" s="2"/>
      <c r="AV569" s="1"/>
      <c r="AW569" s="1"/>
      <c r="AX569" s="1"/>
      <c r="BE569" s="1"/>
    </row>
    <row r="570" spans="2:57" x14ac:dyDescent="0.3">
      <c r="B570" s="1"/>
      <c r="J570" s="2"/>
      <c r="AV570" s="1"/>
      <c r="AW570" s="1"/>
      <c r="AX570" s="1"/>
      <c r="BA570" s="1"/>
      <c r="BE570" s="1"/>
    </row>
    <row r="571" spans="2:57" x14ac:dyDescent="0.3">
      <c r="B571" s="1"/>
      <c r="J571" s="2"/>
      <c r="AW571" s="1"/>
      <c r="AX571" s="1"/>
      <c r="BA571" s="1"/>
    </row>
    <row r="572" spans="2:57" x14ac:dyDescent="0.3">
      <c r="B572" s="1"/>
      <c r="J572" s="2"/>
      <c r="AV572" s="1"/>
      <c r="AW572" s="1"/>
      <c r="AX572" s="1"/>
      <c r="BE572" s="1"/>
    </row>
    <row r="573" spans="2:57" x14ac:dyDescent="0.3">
      <c r="B573" s="1"/>
      <c r="J573" s="2"/>
      <c r="AV573" s="1"/>
      <c r="AW573" s="1"/>
      <c r="AX573" s="1"/>
      <c r="BA573" s="1"/>
      <c r="BD573" s="1"/>
      <c r="BE573" s="1"/>
    </row>
    <row r="574" spans="2:57" x14ac:dyDescent="0.3">
      <c r="B574" s="1"/>
      <c r="J574" s="2"/>
      <c r="AV574" s="1"/>
      <c r="AW574" s="1"/>
      <c r="AX574" s="1"/>
      <c r="BA574" s="1"/>
      <c r="BD574" s="1"/>
      <c r="BE574" s="1"/>
    </row>
    <row r="575" spans="2:57" x14ac:dyDescent="0.3">
      <c r="B575" s="1"/>
      <c r="J575" s="2"/>
      <c r="AV575" s="1"/>
      <c r="AW575" s="1"/>
      <c r="AX575" s="1"/>
      <c r="BA575" s="1"/>
      <c r="BD575" s="1"/>
      <c r="BE575" s="1"/>
    </row>
    <row r="576" spans="2:57" x14ac:dyDescent="0.3">
      <c r="B576" s="1"/>
      <c r="J576" s="2"/>
      <c r="AV576" s="1"/>
      <c r="AW576" s="1"/>
      <c r="AX576" s="1"/>
      <c r="BA576" s="1"/>
      <c r="BD576" s="1"/>
      <c r="BE576" s="1"/>
    </row>
    <row r="577" spans="2:57" x14ac:dyDescent="0.3">
      <c r="B577" s="1"/>
      <c r="J577" s="2"/>
      <c r="AV577" s="1"/>
      <c r="AW577" s="1"/>
      <c r="AX577" s="1"/>
      <c r="BA577" s="1"/>
      <c r="BD577" s="1"/>
      <c r="BE577" s="1"/>
    </row>
    <row r="578" spans="2:57" x14ac:dyDescent="0.3">
      <c r="B578" s="1"/>
      <c r="J578" s="2"/>
      <c r="AV578" s="1"/>
      <c r="AW578" s="1"/>
      <c r="AX578" s="1"/>
      <c r="BA578" s="1"/>
      <c r="BD578" s="1"/>
      <c r="BE578" s="1"/>
    </row>
    <row r="579" spans="2:57" x14ac:dyDescent="0.3">
      <c r="B579" s="1"/>
      <c r="J579" s="2"/>
      <c r="AV579" s="1"/>
      <c r="AW579" s="1"/>
      <c r="AX579" s="1"/>
      <c r="BA579" s="1"/>
      <c r="BD579" s="1"/>
      <c r="BE579" s="1"/>
    </row>
    <row r="580" spans="2:57" x14ac:dyDescent="0.3">
      <c r="B580" s="1"/>
      <c r="J580" s="2"/>
      <c r="AV580" s="1"/>
      <c r="AW580" s="1"/>
      <c r="AX580" s="1"/>
      <c r="BA580" s="1"/>
      <c r="BD580" s="1"/>
      <c r="BE580" s="1"/>
    </row>
    <row r="581" spans="2:57" x14ac:dyDescent="0.3">
      <c r="B581" s="1"/>
      <c r="J581" s="2"/>
      <c r="AV581" s="1"/>
      <c r="AW581" s="1"/>
      <c r="AX581" s="1"/>
      <c r="BD581" s="1"/>
      <c r="BE581" s="1"/>
    </row>
    <row r="582" spans="2:57" x14ac:dyDescent="0.3">
      <c r="B582" s="1"/>
      <c r="J582" s="2"/>
      <c r="AV582" s="1"/>
      <c r="AW582" s="1"/>
      <c r="AX582" s="1"/>
      <c r="BA582" s="1"/>
      <c r="BD582" s="1"/>
      <c r="BE582" s="1"/>
    </row>
    <row r="583" spans="2:57" x14ac:dyDescent="0.3">
      <c r="B583" s="1"/>
      <c r="J583" s="2"/>
      <c r="AV583" s="1"/>
      <c r="AW583" s="1"/>
      <c r="AX583" s="1"/>
      <c r="BA583" s="1"/>
      <c r="BD583" s="1"/>
      <c r="BE583" s="1"/>
    </row>
    <row r="584" spans="2:57" x14ac:dyDescent="0.3">
      <c r="B584" s="1"/>
      <c r="J584" s="2"/>
      <c r="AV584" s="1"/>
      <c r="AW584" s="1"/>
      <c r="AX584" s="1"/>
      <c r="BD584" s="1"/>
      <c r="BE584" s="1"/>
    </row>
    <row r="585" spans="2:57" x14ac:dyDescent="0.3">
      <c r="B585" s="1"/>
      <c r="J585" s="2"/>
      <c r="AV585" s="1"/>
      <c r="AW585" s="1"/>
      <c r="AX585" s="1"/>
      <c r="BD585" s="1"/>
      <c r="BE585" s="1"/>
    </row>
    <row r="586" spans="2:57" x14ac:dyDescent="0.3">
      <c r="B586" s="1"/>
      <c r="J586" s="2"/>
      <c r="AV586" s="1"/>
      <c r="AW586" s="1"/>
      <c r="AX586" s="1"/>
      <c r="BA586" s="1"/>
      <c r="BD586" s="1"/>
      <c r="BE586" s="1"/>
    </row>
    <row r="587" spans="2:57" x14ac:dyDescent="0.3">
      <c r="B587" s="1"/>
      <c r="J587" s="2"/>
      <c r="AV587" s="1"/>
      <c r="AW587" s="1"/>
      <c r="AX587" s="1"/>
      <c r="BA587" s="1"/>
      <c r="BD587" s="1"/>
      <c r="BE587" s="1"/>
    </row>
    <row r="588" spans="2:57" x14ac:dyDescent="0.3">
      <c r="B588" s="1"/>
      <c r="J588" s="2"/>
      <c r="AG588" s="1"/>
      <c r="AU588" s="1"/>
      <c r="AV588" s="1"/>
      <c r="AW588" s="1"/>
      <c r="AX588" s="1"/>
      <c r="BD588" s="1"/>
    </row>
    <row r="589" spans="2:57" x14ac:dyDescent="0.3">
      <c r="B589" s="1"/>
      <c r="J589" s="2"/>
      <c r="AG589" s="1"/>
      <c r="AU589" s="1"/>
      <c r="AV589" s="1"/>
      <c r="AW589" s="1"/>
      <c r="AX589" s="1"/>
      <c r="BD589" s="1"/>
    </row>
    <row r="590" spans="2:57" x14ac:dyDescent="0.3">
      <c r="B590" s="1"/>
      <c r="J590" s="2"/>
      <c r="AG590" s="1"/>
      <c r="AU590" s="1"/>
      <c r="AV590" s="1"/>
      <c r="AW590" s="1"/>
      <c r="AX590" s="1"/>
      <c r="BD590" s="1"/>
    </row>
    <row r="591" spans="2:57" x14ac:dyDescent="0.3">
      <c r="B591" s="1"/>
      <c r="J591" s="2"/>
      <c r="AV591" s="1"/>
      <c r="AW591" s="1"/>
      <c r="AX591" s="1"/>
      <c r="BD591" s="1"/>
      <c r="BE591" s="1"/>
    </row>
    <row r="592" spans="2:57" x14ac:dyDescent="0.3">
      <c r="B592" s="1"/>
      <c r="J592" s="2"/>
      <c r="AV592" s="1"/>
      <c r="AW592" s="1"/>
      <c r="AX592" s="1"/>
      <c r="BD592" s="1"/>
      <c r="BE592" s="1"/>
    </row>
    <row r="593" spans="2:57" x14ac:dyDescent="0.3">
      <c r="B593" s="1"/>
      <c r="J593" s="2"/>
      <c r="AV593" s="1"/>
      <c r="AW593" s="1"/>
      <c r="AX593" s="1"/>
      <c r="BD593" s="1"/>
      <c r="BE593" s="1"/>
    </row>
    <row r="594" spans="2:57" x14ac:dyDescent="0.3">
      <c r="B594" s="1"/>
      <c r="J594" s="2"/>
      <c r="AV594" s="1"/>
      <c r="AW594" s="1"/>
      <c r="AX594" s="1"/>
      <c r="BD594" s="1"/>
      <c r="BE594" s="1"/>
    </row>
    <row r="595" spans="2:57" x14ac:dyDescent="0.3">
      <c r="B595" s="1"/>
      <c r="J595" s="2"/>
      <c r="AV595" s="1"/>
      <c r="AW595" s="1"/>
      <c r="AX595" s="1"/>
      <c r="BD595" s="1"/>
      <c r="BE595" s="1"/>
    </row>
    <row r="596" spans="2:57" x14ac:dyDescent="0.3">
      <c r="B596" s="1"/>
      <c r="J596" s="2"/>
      <c r="AV596" s="1"/>
      <c r="AW596" s="1"/>
      <c r="AX596" s="1"/>
      <c r="BD596" s="1"/>
      <c r="BE596" s="1"/>
    </row>
    <row r="597" spans="2:57" x14ac:dyDescent="0.3">
      <c r="B597" s="1"/>
      <c r="J597" s="2"/>
      <c r="AV597" s="1"/>
      <c r="AW597" s="1"/>
      <c r="AX597" s="1"/>
      <c r="BD597" s="1"/>
      <c r="BE597" s="1"/>
    </row>
    <row r="598" spans="2:57" x14ac:dyDescent="0.3">
      <c r="B598" s="1"/>
      <c r="J598" s="2"/>
      <c r="AV598" s="1"/>
      <c r="AW598" s="1"/>
      <c r="AX598" s="1"/>
      <c r="BD598" s="1"/>
      <c r="BE598" s="1"/>
    </row>
    <row r="599" spans="2:57" x14ac:dyDescent="0.3">
      <c r="B599" s="1"/>
      <c r="J599" s="2"/>
      <c r="AV599" s="1"/>
      <c r="AW599" s="1"/>
      <c r="AX599" s="1"/>
      <c r="BD599" s="1"/>
      <c r="BE599" s="1"/>
    </row>
    <row r="600" spans="2:57" x14ac:dyDescent="0.3">
      <c r="B600" s="1"/>
      <c r="J600" s="2"/>
      <c r="AV600" s="1"/>
      <c r="AW600" s="1"/>
      <c r="AX600" s="1"/>
      <c r="BD600" s="1"/>
      <c r="BE600" s="1"/>
    </row>
    <row r="601" spans="2:57" x14ac:dyDescent="0.3">
      <c r="B601" s="1"/>
      <c r="J601" s="2"/>
      <c r="AV601" s="1"/>
      <c r="AW601" s="1"/>
      <c r="AX601" s="1"/>
      <c r="BD601" s="1"/>
      <c r="BE601" s="1"/>
    </row>
    <row r="602" spans="2:57" x14ac:dyDescent="0.3">
      <c r="B602" s="1"/>
      <c r="J602" s="2"/>
      <c r="AV602" s="1"/>
      <c r="AW602" s="1"/>
      <c r="AX602" s="1"/>
      <c r="BD602" s="1"/>
      <c r="BE602" s="1"/>
    </row>
    <row r="603" spans="2:57" x14ac:dyDescent="0.3">
      <c r="B603" s="1"/>
      <c r="J603" s="2"/>
      <c r="AV603" s="1"/>
      <c r="AW603" s="1"/>
      <c r="AX603" s="1"/>
      <c r="BD603" s="1"/>
      <c r="BE603" s="1"/>
    </row>
    <row r="604" spans="2:57" x14ac:dyDescent="0.3">
      <c r="B604" s="1"/>
      <c r="J604" s="2"/>
      <c r="AV604" s="1"/>
      <c r="AW604" s="1"/>
      <c r="AX604" s="1"/>
      <c r="BD604" s="1"/>
      <c r="BE604" s="1"/>
    </row>
    <row r="605" spans="2:57" x14ac:dyDescent="0.3">
      <c r="B605" s="1"/>
      <c r="J605" s="2"/>
      <c r="AV605" s="1"/>
      <c r="AW605" s="1"/>
      <c r="AX605" s="1"/>
      <c r="BD605" s="1"/>
      <c r="BE605" s="1"/>
    </row>
    <row r="606" spans="2:57" x14ac:dyDescent="0.3">
      <c r="B606" s="1"/>
      <c r="J606" s="2"/>
      <c r="AV606" s="1"/>
      <c r="AW606" s="1"/>
      <c r="AX606" s="1"/>
      <c r="BD606" s="1"/>
      <c r="BE606" s="1"/>
    </row>
    <row r="607" spans="2:57" x14ac:dyDescent="0.3">
      <c r="B607" s="1"/>
      <c r="J607" s="2"/>
      <c r="AV607" s="1"/>
      <c r="AW607" s="1"/>
      <c r="AX607" s="1"/>
      <c r="BD607" s="1"/>
      <c r="BE607" s="1"/>
    </row>
    <row r="608" spans="2:57" x14ac:dyDescent="0.3">
      <c r="B608" s="1"/>
      <c r="J608" s="2"/>
      <c r="AV608" s="1"/>
      <c r="AW608" s="1"/>
      <c r="AX608" s="1"/>
      <c r="BD608" s="1"/>
      <c r="BE608" s="1"/>
    </row>
    <row r="609" spans="2:57" x14ac:dyDescent="0.3">
      <c r="B609" s="1"/>
      <c r="J609" s="2"/>
      <c r="AV609" s="1"/>
      <c r="AW609" s="1"/>
      <c r="AX609" s="1"/>
      <c r="BD609" s="1"/>
      <c r="BE609" s="1"/>
    </row>
    <row r="610" spans="2:57" x14ac:dyDescent="0.3">
      <c r="B610" s="1"/>
      <c r="J610" s="2"/>
      <c r="AV610" s="1"/>
      <c r="AW610" s="1"/>
      <c r="AX610" s="1"/>
      <c r="BD610" s="1"/>
      <c r="BE610" s="1"/>
    </row>
    <row r="611" spans="2:57" x14ac:dyDescent="0.3">
      <c r="B611" s="1"/>
      <c r="J611" s="2"/>
      <c r="AV611" s="1"/>
      <c r="AW611" s="1"/>
      <c r="AX611" s="1"/>
      <c r="BD611" s="1"/>
      <c r="BE611" s="1"/>
    </row>
    <row r="612" spans="2:57" x14ac:dyDescent="0.3">
      <c r="B612" s="1"/>
      <c r="J612" s="2"/>
      <c r="AV612" s="1"/>
      <c r="AW612" s="1"/>
      <c r="AX612" s="1"/>
      <c r="BD612" s="1"/>
      <c r="BE612" s="1"/>
    </row>
    <row r="613" spans="2:57" x14ac:dyDescent="0.3">
      <c r="B613" s="1"/>
      <c r="J613" s="2"/>
      <c r="AV613" s="1"/>
      <c r="AW613" s="1"/>
      <c r="AX613" s="1"/>
      <c r="BD613" s="1"/>
      <c r="BE613" s="1"/>
    </row>
    <row r="614" spans="2:57" x14ac:dyDescent="0.3">
      <c r="B614" s="1"/>
      <c r="J614" s="2"/>
      <c r="AV614" s="1"/>
      <c r="AW614" s="1"/>
      <c r="AX614" s="1"/>
      <c r="BD614" s="1"/>
      <c r="BE614" s="1"/>
    </row>
    <row r="615" spans="2:57" x14ac:dyDescent="0.3">
      <c r="B615" s="1"/>
      <c r="J615" s="2"/>
      <c r="AV615" s="1"/>
      <c r="AW615" s="1"/>
      <c r="AX615" s="1"/>
      <c r="BD615" s="1"/>
      <c r="BE615" s="1"/>
    </row>
    <row r="616" spans="2:57" x14ac:dyDescent="0.3">
      <c r="B616" s="1"/>
      <c r="J616" s="2"/>
      <c r="AV616" s="1"/>
      <c r="AW616" s="1"/>
      <c r="AX616" s="1"/>
      <c r="BD616" s="1"/>
      <c r="BE616" s="1"/>
    </row>
    <row r="617" spans="2:57" x14ac:dyDescent="0.3">
      <c r="B617" s="1"/>
      <c r="J617" s="2"/>
      <c r="AV617" s="1"/>
      <c r="AW617" s="1"/>
      <c r="AX617" s="1"/>
      <c r="BD617" s="1"/>
      <c r="BE617" s="1"/>
    </row>
    <row r="618" spans="2:57" x14ac:dyDescent="0.3">
      <c r="B618" s="1"/>
      <c r="J618" s="2"/>
      <c r="AV618" s="1"/>
      <c r="AW618" s="1"/>
      <c r="AX618" s="1"/>
      <c r="BD618" s="1"/>
      <c r="BE618" s="1"/>
    </row>
    <row r="619" spans="2:57" x14ac:dyDescent="0.3">
      <c r="B619" s="1"/>
      <c r="J619" s="2"/>
      <c r="AV619" s="1"/>
      <c r="AW619" s="1"/>
      <c r="AX619" s="1"/>
      <c r="BD619" s="1"/>
      <c r="BE619" s="1"/>
    </row>
    <row r="620" spans="2:57" x14ac:dyDescent="0.3">
      <c r="B620" s="1"/>
      <c r="J620" s="2"/>
      <c r="AV620" s="1"/>
      <c r="AW620" s="1"/>
      <c r="AX620" s="1"/>
      <c r="BD620" s="1"/>
      <c r="BE620" s="1"/>
    </row>
    <row r="621" spans="2:57" x14ac:dyDescent="0.3">
      <c r="B621" s="1"/>
      <c r="J621" s="2"/>
      <c r="AV621" s="1"/>
      <c r="AW621" s="1"/>
      <c r="AX621" s="1"/>
      <c r="BD621" s="1"/>
      <c r="BE621" s="1"/>
    </row>
    <row r="622" spans="2:57" x14ac:dyDescent="0.3">
      <c r="B622" s="1"/>
      <c r="J622" s="2"/>
      <c r="AV622" s="1"/>
      <c r="AW622" s="1"/>
      <c r="AX622" s="1"/>
      <c r="BD622" s="1"/>
      <c r="BE622" s="1"/>
    </row>
    <row r="623" spans="2:57" x14ac:dyDescent="0.3">
      <c r="B623" s="1"/>
      <c r="J623" s="2"/>
      <c r="AV623" s="1"/>
      <c r="AW623" s="1"/>
      <c r="AX623" s="1"/>
      <c r="BD623" s="1"/>
      <c r="BE623" s="1"/>
    </row>
    <row r="624" spans="2:57" x14ac:dyDescent="0.3">
      <c r="B624" s="1"/>
      <c r="J624" s="2"/>
      <c r="AV624" s="1"/>
      <c r="AW624" s="1"/>
      <c r="AX624" s="1"/>
      <c r="BD624" s="1"/>
      <c r="BE624" s="1"/>
    </row>
    <row r="625" spans="2:57" x14ac:dyDescent="0.3">
      <c r="B625" s="1"/>
      <c r="J625" s="2"/>
      <c r="AV625" s="1"/>
      <c r="AW625" s="1"/>
      <c r="AX625" s="1"/>
      <c r="BD625" s="1"/>
    </row>
    <row r="626" spans="2:57" x14ac:dyDescent="0.3">
      <c r="B626" s="1"/>
      <c r="J626" s="2"/>
      <c r="AV626" s="1"/>
      <c r="AW626" s="1"/>
      <c r="AX626" s="1"/>
      <c r="BD626" s="1"/>
    </row>
    <row r="627" spans="2:57" x14ac:dyDescent="0.3">
      <c r="B627" s="1"/>
      <c r="J627" s="2"/>
      <c r="AV627" s="1"/>
      <c r="AW627" s="1"/>
      <c r="AX627" s="1"/>
      <c r="BD627" s="1"/>
    </row>
    <row r="628" spans="2:57" x14ac:dyDescent="0.3">
      <c r="B628" s="1"/>
      <c r="J628" s="2"/>
      <c r="AG628" s="1"/>
      <c r="AU628" s="1"/>
      <c r="AV628" s="1"/>
      <c r="AW628" s="1"/>
      <c r="AX628" s="1"/>
      <c r="BD628" s="1"/>
    </row>
    <row r="629" spans="2:57" x14ac:dyDescent="0.3">
      <c r="B629" s="1"/>
      <c r="J629" s="2"/>
      <c r="AG629" s="1"/>
      <c r="AU629" s="1"/>
      <c r="AV629" s="1"/>
      <c r="AW629" s="1"/>
      <c r="AX629" s="1"/>
      <c r="BD629" s="1"/>
    </row>
    <row r="630" spans="2:57" x14ac:dyDescent="0.3">
      <c r="B630" s="1"/>
      <c r="J630" s="2"/>
      <c r="AG630" s="1"/>
      <c r="AU630" s="1"/>
      <c r="AV630" s="1"/>
      <c r="AW630" s="1"/>
      <c r="AX630" s="1"/>
      <c r="BD630" s="1"/>
    </row>
    <row r="631" spans="2:57" x14ac:dyDescent="0.3">
      <c r="B631" s="1"/>
      <c r="J631" s="2"/>
      <c r="AG631" s="1"/>
      <c r="AU631" s="1"/>
      <c r="AV631" s="1"/>
      <c r="AW631" s="1"/>
      <c r="AX631" s="1"/>
      <c r="BD631" s="1"/>
    </row>
    <row r="632" spans="2:57" x14ac:dyDescent="0.3">
      <c r="B632" s="1"/>
      <c r="J632" s="2"/>
      <c r="AV632" s="1"/>
      <c r="AW632" s="1"/>
      <c r="AX632" s="1"/>
      <c r="BD632" s="1"/>
    </row>
    <row r="633" spans="2:57" x14ac:dyDescent="0.3">
      <c r="B633" s="1"/>
      <c r="J633" s="2"/>
      <c r="AG633" s="1"/>
      <c r="AU633" s="1"/>
      <c r="AV633" s="1"/>
      <c r="AW633" s="1"/>
      <c r="AX633" s="1"/>
      <c r="BD633" s="1"/>
    </row>
    <row r="634" spans="2:57" x14ac:dyDescent="0.3">
      <c r="B634" s="1"/>
      <c r="J634" s="2"/>
      <c r="AG634" s="1"/>
      <c r="AU634" s="1"/>
      <c r="AV634" s="1"/>
      <c r="AW634" s="1"/>
      <c r="AX634" s="1"/>
      <c r="BD634" s="1"/>
    </row>
    <row r="635" spans="2:57" x14ac:dyDescent="0.3">
      <c r="B635" s="1"/>
      <c r="J635" s="2"/>
      <c r="AG635" s="1"/>
      <c r="AU635" s="1"/>
      <c r="AV635" s="1"/>
      <c r="AW635" s="1"/>
      <c r="AX635" s="1"/>
      <c r="BD635" s="1"/>
    </row>
    <row r="636" spans="2:57" x14ac:dyDescent="0.3">
      <c r="B636" s="1"/>
      <c r="J636" s="2"/>
      <c r="AG636" s="1"/>
      <c r="AU636" s="1"/>
      <c r="AV636" s="1"/>
      <c r="AW636" s="1"/>
      <c r="AX636" s="1"/>
      <c r="BD636" s="1"/>
    </row>
    <row r="637" spans="2:57" x14ac:dyDescent="0.3">
      <c r="B637" s="1"/>
      <c r="J637" s="2"/>
      <c r="AG637" s="1"/>
      <c r="AU637" s="1"/>
      <c r="AV637" s="1"/>
      <c r="AW637" s="1"/>
      <c r="AX637" s="1"/>
      <c r="BD637" s="1"/>
    </row>
    <row r="638" spans="2:57" x14ac:dyDescent="0.3">
      <c r="B638" s="1"/>
      <c r="J638" s="2"/>
      <c r="AV638" s="1"/>
      <c r="AW638" s="1"/>
      <c r="AX638" s="1"/>
      <c r="BA638" s="1"/>
      <c r="BD638" s="1"/>
      <c r="BE638" s="1"/>
    </row>
    <row r="639" spans="2:57" x14ac:dyDescent="0.3">
      <c r="B639" s="1"/>
      <c r="J639" s="2"/>
      <c r="AG639" s="1"/>
      <c r="AU639" s="1"/>
      <c r="AV639" s="1"/>
      <c r="AW639" s="1"/>
      <c r="AX639" s="1"/>
      <c r="BD639" s="1"/>
    </row>
    <row r="640" spans="2:57" x14ac:dyDescent="0.3">
      <c r="B640" s="1"/>
      <c r="J640" s="2"/>
      <c r="AV640" s="1"/>
      <c r="AW640" s="1"/>
      <c r="AX640" s="1"/>
      <c r="BD640" s="1"/>
    </row>
    <row r="641" spans="2:56" x14ac:dyDescent="0.3">
      <c r="B641" s="1"/>
      <c r="J641" s="2"/>
      <c r="AV641" s="1"/>
      <c r="AW641" s="1"/>
      <c r="AX641" s="1"/>
      <c r="BD641" s="1"/>
    </row>
    <row r="642" spans="2:56" x14ac:dyDescent="0.3">
      <c r="B642" s="1"/>
      <c r="J642" s="2"/>
      <c r="AV642" s="1"/>
      <c r="AW642" s="1"/>
      <c r="AX642" s="1"/>
      <c r="BD642" s="1"/>
    </row>
    <row r="643" spans="2:56" x14ac:dyDescent="0.3">
      <c r="B643" s="1"/>
      <c r="J643" s="2"/>
      <c r="AV643" s="1"/>
      <c r="AW643" s="1"/>
      <c r="AX643" s="1"/>
      <c r="BD643" s="1"/>
    </row>
    <row r="644" spans="2:56" x14ac:dyDescent="0.3">
      <c r="B644" s="1"/>
      <c r="J644" s="2"/>
      <c r="AV644" s="1"/>
      <c r="AW644" s="1"/>
      <c r="AX644" s="1"/>
      <c r="BD644" s="1"/>
    </row>
    <row r="645" spans="2:56" x14ac:dyDescent="0.3">
      <c r="B645" s="1"/>
      <c r="J645" s="2"/>
      <c r="AV645" s="1"/>
      <c r="AW645" s="1"/>
      <c r="AX645" s="1"/>
      <c r="BD645" s="1"/>
    </row>
    <row r="646" spans="2:56" x14ac:dyDescent="0.3">
      <c r="B646" s="1"/>
      <c r="J646" s="2"/>
      <c r="AV646" s="1"/>
      <c r="AW646" s="1"/>
      <c r="AX646" s="1"/>
      <c r="BD646" s="1"/>
    </row>
    <row r="647" spans="2:56" x14ac:dyDescent="0.3">
      <c r="B647" s="1"/>
      <c r="J647" s="2"/>
      <c r="AV647" s="1"/>
      <c r="AW647" s="1"/>
      <c r="AX647" s="1"/>
      <c r="BD647" s="1"/>
    </row>
    <row r="648" spans="2:56" x14ac:dyDescent="0.3">
      <c r="B648" s="1"/>
      <c r="J648" s="2"/>
      <c r="AV648" s="1"/>
      <c r="AW648" s="1"/>
      <c r="AX648" s="1"/>
      <c r="BD648" s="1"/>
    </row>
    <row r="649" spans="2:56" x14ac:dyDescent="0.3">
      <c r="B649" s="1"/>
      <c r="J649" s="2"/>
      <c r="AV649" s="1"/>
      <c r="AW649" s="1"/>
      <c r="AX649" s="1"/>
      <c r="BD649" s="1"/>
    </row>
    <row r="650" spans="2:56" x14ac:dyDescent="0.3">
      <c r="B650" s="1"/>
      <c r="J650" s="2"/>
      <c r="AV650" s="1"/>
      <c r="AW650" s="1"/>
      <c r="AX650" s="1"/>
      <c r="BD650" s="1"/>
    </row>
    <row r="651" spans="2:56" x14ac:dyDescent="0.3">
      <c r="B651" s="1"/>
      <c r="J651" s="2"/>
      <c r="AV651" s="1"/>
      <c r="AW651" s="1"/>
      <c r="AX651" s="1"/>
      <c r="BD651" s="1"/>
    </row>
    <row r="652" spans="2:56" x14ac:dyDescent="0.3">
      <c r="B652" s="1"/>
      <c r="J652" s="2"/>
      <c r="AV652" s="1"/>
      <c r="AW652" s="1"/>
      <c r="AX652" s="1"/>
      <c r="BD652" s="1"/>
    </row>
    <row r="653" spans="2:56" x14ac:dyDescent="0.3">
      <c r="B653" s="1"/>
      <c r="J653" s="2"/>
      <c r="AV653" s="1"/>
      <c r="AW653" s="1"/>
      <c r="AX653" s="1"/>
      <c r="BD653" s="1"/>
    </row>
    <row r="654" spans="2:56" x14ac:dyDescent="0.3">
      <c r="B654" s="1"/>
      <c r="J654" s="2"/>
      <c r="AV654" s="1"/>
      <c r="AW654" s="1"/>
      <c r="AX654" s="1"/>
      <c r="BD654" s="1"/>
    </row>
    <row r="655" spans="2:56" x14ac:dyDescent="0.3">
      <c r="B655" s="1"/>
      <c r="J655" s="2"/>
      <c r="AV655" s="1"/>
      <c r="AW655" s="1"/>
      <c r="AX655" s="1"/>
      <c r="BD655" s="1"/>
    </row>
    <row r="656" spans="2:56" x14ac:dyDescent="0.3">
      <c r="B656" s="1"/>
      <c r="J656" s="2"/>
      <c r="AV656" s="1"/>
      <c r="AW656" s="1"/>
      <c r="AX656" s="1"/>
      <c r="BD656" s="1"/>
    </row>
    <row r="657" spans="2:56" x14ac:dyDescent="0.3">
      <c r="B657" s="1"/>
      <c r="J657" s="2"/>
      <c r="AV657" s="1"/>
      <c r="AW657" s="1"/>
      <c r="AX657" s="1"/>
      <c r="BD657" s="1"/>
    </row>
    <row r="658" spans="2:56" x14ac:dyDescent="0.3">
      <c r="B658" s="1"/>
      <c r="J658" s="2"/>
      <c r="AV658" s="1"/>
      <c r="AW658" s="1"/>
      <c r="AX658" s="1"/>
      <c r="BD658" s="1"/>
    </row>
    <row r="659" spans="2:56" x14ac:dyDescent="0.3">
      <c r="B659" s="1"/>
      <c r="J659" s="2"/>
      <c r="AV659" s="1"/>
      <c r="AW659" s="1"/>
      <c r="AX659" s="1"/>
      <c r="BD659" s="1"/>
    </row>
    <row r="660" spans="2:56" x14ac:dyDescent="0.3">
      <c r="B660" s="1"/>
      <c r="J660" s="2"/>
      <c r="AV660" s="1"/>
      <c r="AW660" s="1"/>
      <c r="AX660" s="1"/>
      <c r="BD660" s="1"/>
    </row>
    <row r="661" spans="2:56" x14ac:dyDescent="0.3">
      <c r="B661" s="1"/>
      <c r="J661" s="2"/>
      <c r="AV661" s="1"/>
      <c r="AW661" s="1"/>
      <c r="AX661" s="1"/>
      <c r="BD661" s="1"/>
    </row>
    <row r="662" spans="2:56" x14ac:dyDescent="0.3">
      <c r="B662" s="1"/>
      <c r="J662" s="2"/>
      <c r="AV662" s="1"/>
      <c r="AW662" s="1"/>
      <c r="AX662" s="1"/>
      <c r="BD662" s="1"/>
    </row>
    <row r="663" spans="2:56" x14ac:dyDescent="0.3">
      <c r="B663" s="1"/>
      <c r="J663" s="2"/>
      <c r="AV663" s="1"/>
      <c r="AW663" s="1"/>
      <c r="AX663" s="1"/>
      <c r="BD663" s="1"/>
    </row>
    <row r="664" spans="2:56" x14ac:dyDescent="0.3">
      <c r="B664" s="1"/>
      <c r="J664" s="2"/>
      <c r="AV664" s="1"/>
      <c r="AW664" s="1"/>
      <c r="AX664" s="1"/>
      <c r="BD664" s="1"/>
    </row>
    <row r="665" spans="2:56" x14ac:dyDescent="0.3">
      <c r="B665" s="1"/>
      <c r="J665" s="2"/>
      <c r="AV665" s="1"/>
      <c r="AW665" s="1"/>
      <c r="AX665" s="1"/>
      <c r="BD665" s="1"/>
    </row>
    <row r="666" spans="2:56" x14ac:dyDescent="0.3">
      <c r="B666" s="1"/>
      <c r="J666" s="2"/>
      <c r="AV666" s="1"/>
      <c r="AW666" s="1"/>
      <c r="AX666" s="1"/>
      <c r="BD666" s="1"/>
    </row>
    <row r="667" spans="2:56" x14ac:dyDescent="0.3">
      <c r="B667" s="1"/>
      <c r="J667" s="2"/>
      <c r="AV667" s="1"/>
      <c r="AW667" s="1"/>
      <c r="AX667" s="1"/>
      <c r="BD667" s="1"/>
    </row>
    <row r="668" spans="2:56" x14ac:dyDescent="0.3">
      <c r="B668" s="1"/>
      <c r="J668" s="2"/>
      <c r="AV668" s="1"/>
      <c r="AW668" s="1"/>
      <c r="AX668" s="1"/>
      <c r="BD668" s="1"/>
    </row>
    <row r="669" spans="2:56" x14ac:dyDescent="0.3">
      <c r="B669" s="1"/>
      <c r="J669" s="2"/>
      <c r="AV669" s="1"/>
      <c r="AW669" s="1"/>
      <c r="AX669" s="1"/>
      <c r="BD669" s="1"/>
    </row>
    <row r="670" spans="2:56" x14ac:dyDescent="0.3">
      <c r="B670" s="1"/>
      <c r="J670" s="2"/>
      <c r="AV670" s="1"/>
      <c r="AW670" s="1"/>
      <c r="AX670" s="1"/>
      <c r="BD670" s="1"/>
    </row>
    <row r="671" spans="2:56" x14ac:dyDescent="0.3">
      <c r="B671" s="1"/>
      <c r="J671" s="2"/>
      <c r="AV671" s="1"/>
      <c r="AW671" s="1"/>
      <c r="AX671" s="1"/>
      <c r="BD671" s="1"/>
    </row>
    <row r="672" spans="2:56" x14ac:dyDescent="0.3">
      <c r="B672" s="1"/>
      <c r="J672" s="2"/>
      <c r="AV672" s="1"/>
      <c r="AW672" s="1"/>
      <c r="AX672" s="1"/>
      <c r="BD672" s="1"/>
    </row>
    <row r="673" spans="2:57" x14ac:dyDescent="0.3">
      <c r="B673" s="1"/>
      <c r="J673" s="2"/>
      <c r="AV673" s="1"/>
      <c r="AW673" s="1"/>
      <c r="AX673" s="1"/>
      <c r="BD673" s="1"/>
    </row>
    <row r="674" spans="2:57" x14ac:dyDescent="0.3">
      <c r="B674" s="1"/>
      <c r="J674" s="2"/>
      <c r="AV674" s="1"/>
      <c r="AW674" s="1"/>
      <c r="AX674" s="1"/>
      <c r="BD674" s="1"/>
    </row>
    <row r="675" spans="2:57" x14ac:dyDescent="0.3">
      <c r="B675" s="1"/>
      <c r="J675" s="2"/>
      <c r="AV675" s="1"/>
      <c r="AW675" s="1"/>
      <c r="AX675" s="1"/>
      <c r="BD675" s="1"/>
    </row>
    <row r="676" spans="2:57" x14ac:dyDescent="0.3">
      <c r="B676" s="1"/>
      <c r="J676" s="2"/>
      <c r="AV676" s="1"/>
      <c r="AW676" s="1"/>
      <c r="AX676" s="1"/>
      <c r="BD676" s="1"/>
    </row>
    <row r="677" spans="2:57" x14ac:dyDescent="0.3">
      <c r="B677" s="1"/>
      <c r="J677" s="2"/>
      <c r="AV677" s="1"/>
      <c r="AW677" s="1"/>
      <c r="AX677" s="1"/>
      <c r="BD677" s="1"/>
    </row>
    <row r="678" spans="2:57" x14ac:dyDescent="0.3">
      <c r="B678" s="1"/>
      <c r="J678" s="2"/>
      <c r="AV678" s="1"/>
      <c r="AW678" s="1"/>
      <c r="AX678" s="1"/>
      <c r="BD678" s="1"/>
    </row>
    <row r="679" spans="2:57" x14ac:dyDescent="0.3">
      <c r="B679" s="1"/>
      <c r="J679" s="2"/>
      <c r="AV679" s="1"/>
      <c r="AW679" s="1"/>
      <c r="AX679" s="1"/>
      <c r="BD679" s="1"/>
    </row>
    <row r="680" spans="2:57" x14ac:dyDescent="0.3">
      <c r="B680" s="1"/>
      <c r="J680" s="2"/>
      <c r="AV680" s="1"/>
      <c r="AW680" s="1"/>
      <c r="AX680" s="1"/>
      <c r="BD680" s="1"/>
    </row>
    <row r="681" spans="2:57" x14ac:dyDescent="0.3">
      <c r="B681" s="1"/>
      <c r="J681" s="2"/>
      <c r="AV681" s="1"/>
      <c r="AW681" s="1"/>
      <c r="AX681" s="1"/>
      <c r="BD681" s="1"/>
    </row>
    <row r="682" spans="2:57" x14ac:dyDescent="0.3">
      <c r="B682" s="1"/>
      <c r="J682" s="2"/>
      <c r="AG682" s="1"/>
      <c r="AU682" s="1"/>
      <c r="AV682" s="1"/>
      <c r="AW682" s="1"/>
      <c r="AX682" s="1"/>
      <c r="BD682" s="1"/>
    </row>
    <row r="683" spans="2:57" x14ac:dyDescent="0.3">
      <c r="B683" s="1"/>
      <c r="J683" s="2"/>
      <c r="AG683" s="1"/>
      <c r="AU683" s="1"/>
      <c r="AV683" s="1"/>
      <c r="AW683" s="1"/>
      <c r="AX683" s="1"/>
      <c r="BD683" s="1"/>
    </row>
    <row r="684" spans="2:57" x14ac:dyDescent="0.3">
      <c r="B684" s="1"/>
      <c r="J684" s="2"/>
      <c r="AG684" s="1"/>
      <c r="AU684" s="1"/>
      <c r="AV684" s="1"/>
      <c r="AW684" s="1"/>
      <c r="AX684" s="1"/>
      <c r="BD684" s="1"/>
    </row>
    <row r="685" spans="2:57" x14ac:dyDescent="0.3">
      <c r="B685" s="1"/>
      <c r="J685" s="2"/>
      <c r="AG685" s="1"/>
      <c r="AU685" s="1"/>
      <c r="AV685" s="1"/>
      <c r="AW685" s="1"/>
      <c r="AX685" s="1"/>
      <c r="BD685" s="1"/>
    </row>
    <row r="686" spans="2:57" x14ac:dyDescent="0.3">
      <c r="B686" s="1"/>
      <c r="J686" s="2"/>
      <c r="AG686" s="1"/>
      <c r="AU686" s="1"/>
      <c r="AV686" s="1"/>
      <c r="AW686" s="1"/>
      <c r="AX686" s="1"/>
      <c r="BD686" s="1"/>
    </row>
    <row r="687" spans="2:57" x14ac:dyDescent="0.3">
      <c r="B687" s="1"/>
      <c r="J687" s="2"/>
      <c r="AV687" s="1"/>
      <c r="AW687" s="1"/>
      <c r="AX687" s="1"/>
      <c r="BD687" s="1"/>
      <c r="BE687" s="1"/>
    </row>
    <row r="688" spans="2:57" x14ac:dyDescent="0.3">
      <c r="B688" s="1"/>
      <c r="J688" s="2"/>
      <c r="AV688" s="1"/>
      <c r="AW688" s="1"/>
      <c r="AX688" s="1"/>
      <c r="BD688" s="1"/>
    </row>
    <row r="689" spans="2:57" x14ac:dyDescent="0.3">
      <c r="B689" s="1"/>
      <c r="J689" s="2"/>
      <c r="AG689" s="1"/>
      <c r="AU689" s="1"/>
      <c r="AV689" s="1"/>
      <c r="AW689" s="1"/>
      <c r="AX689" s="1"/>
      <c r="BD689" s="1"/>
    </row>
    <row r="690" spans="2:57" x14ac:dyDescent="0.3">
      <c r="B690" s="1"/>
      <c r="J690" s="2"/>
      <c r="AG690" s="1"/>
      <c r="AU690" s="1"/>
      <c r="AV690" s="1"/>
      <c r="AW690" s="1"/>
      <c r="AX690" s="1"/>
      <c r="BD690" s="1"/>
    </row>
    <row r="691" spans="2:57" x14ac:dyDescent="0.3">
      <c r="B691" s="1"/>
      <c r="J691" s="2"/>
      <c r="AV691" s="1"/>
      <c r="AW691" s="1"/>
      <c r="AX691" s="1"/>
      <c r="BA691" s="1"/>
      <c r="BD691" s="1"/>
      <c r="BE691" s="1"/>
    </row>
    <row r="692" spans="2:57" x14ac:dyDescent="0.3">
      <c r="B692" s="1"/>
      <c r="J692" s="2"/>
      <c r="AV692" s="1"/>
      <c r="AW692" s="1"/>
      <c r="AX692" s="1"/>
      <c r="BD692" s="1"/>
    </row>
    <row r="693" spans="2:57" x14ac:dyDescent="0.3">
      <c r="B693" s="1"/>
      <c r="J693" s="2"/>
      <c r="AG693" s="1"/>
      <c r="AU693" s="1"/>
      <c r="AV693" s="1"/>
      <c r="AW693" s="1"/>
      <c r="AX693" s="1"/>
      <c r="BD693" s="1"/>
    </row>
    <row r="694" spans="2:57" x14ac:dyDescent="0.3">
      <c r="B694" s="1"/>
      <c r="J694" s="2"/>
      <c r="AG694" s="1"/>
      <c r="AU694" s="1"/>
      <c r="AV694" s="1"/>
      <c r="AW694" s="1"/>
      <c r="AX694" s="1"/>
      <c r="BD694" s="1"/>
    </row>
    <row r="695" spans="2:57" x14ac:dyDescent="0.3">
      <c r="B695" s="1"/>
      <c r="J695" s="2"/>
      <c r="AV695" s="1"/>
      <c r="AW695" s="1"/>
      <c r="AX695" s="1"/>
      <c r="BD695" s="1"/>
    </row>
    <row r="696" spans="2:57" x14ac:dyDescent="0.3">
      <c r="B696" s="1"/>
      <c r="J696" s="2"/>
      <c r="AG696" s="1"/>
      <c r="AU696" s="1"/>
      <c r="AV696" s="1"/>
      <c r="AW696" s="1"/>
      <c r="AX696" s="1"/>
      <c r="BD696" s="1"/>
    </row>
    <row r="697" spans="2:57" x14ac:dyDescent="0.3">
      <c r="B697" s="1"/>
      <c r="J697" s="2"/>
      <c r="AG697" s="1"/>
      <c r="AU697" s="1"/>
      <c r="AV697" s="1"/>
      <c r="AW697" s="1"/>
      <c r="AX697" s="1"/>
      <c r="BD697" s="1"/>
    </row>
    <row r="698" spans="2:57" x14ac:dyDescent="0.3">
      <c r="B698" s="1"/>
      <c r="J698" s="2"/>
      <c r="AG698" s="1"/>
      <c r="AU698" s="1"/>
      <c r="AV698" s="1"/>
      <c r="AW698" s="1"/>
      <c r="AX698" s="1"/>
      <c r="BD698" s="1"/>
    </row>
    <row r="699" spans="2:57" x14ac:dyDescent="0.3">
      <c r="B699" s="1"/>
      <c r="J699" s="2"/>
      <c r="AV699" s="1"/>
      <c r="AW699" s="1"/>
      <c r="AX699" s="1"/>
      <c r="BD699" s="1"/>
      <c r="BE699" s="1"/>
    </row>
    <row r="700" spans="2:57" x14ac:dyDescent="0.3">
      <c r="B700" s="1"/>
      <c r="J700" s="2"/>
      <c r="AG700" s="1"/>
      <c r="AU700" s="1"/>
      <c r="AV700" s="1"/>
      <c r="AW700" s="1"/>
      <c r="AX700" s="1"/>
      <c r="BD700" s="1"/>
    </row>
    <row r="701" spans="2:57" x14ac:dyDescent="0.3">
      <c r="B701" s="1"/>
      <c r="J701" s="2"/>
      <c r="AV701" s="1"/>
      <c r="AW701" s="1"/>
      <c r="AX701" s="1"/>
      <c r="BA701" s="1"/>
      <c r="BD701" s="1"/>
      <c r="BE701" s="1"/>
    </row>
    <row r="702" spans="2:57" x14ac:dyDescent="0.3">
      <c r="B702" s="1"/>
      <c r="J702" s="2"/>
      <c r="AV702" s="1"/>
      <c r="AW702" s="1"/>
      <c r="AX702" s="1"/>
      <c r="BD702" s="1"/>
      <c r="BE702" s="1"/>
    </row>
    <row r="703" spans="2:57" x14ac:dyDescent="0.3">
      <c r="B703" s="1"/>
      <c r="J703" s="2"/>
      <c r="AV703" s="1"/>
      <c r="AW703" s="1"/>
      <c r="AX703" s="1"/>
      <c r="BD703" s="1"/>
      <c r="BE703" s="1"/>
    </row>
    <row r="704" spans="2:57" x14ac:dyDescent="0.3">
      <c r="B704" s="1"/>
      <c r="J704" s="2"/>
      <c r="AG704" s="1"/>
      <c r="AU704" s="1"/>
      <c r="AV704" s="1"/>
      <c r="AW704" s="1"/>
      <c r="AX704" s="1"/>
      <c r="BD704" s="1"/>
    </row>
    <row r="705" spans="2:57" x14ac:dyDescent="0.3">
      <c r="B705" s="1"/>
      <c r="J705" s="2"/>
      <c r="AG705" s="1"/>
      <c r="AU705" s="1"/>
      <c r="AV705" s="1"/>
      <c r="AW705" s="1"/>
      <c r="AX705" s="1"/>
      <c r="BD705" s="1"/>
    </row>
    <row r="706" spans="2:57" x14ac:dyDescent="0.3">
      <c r="B706" s="1"/>
      <c r="J706" s="2"/>
      <c r="AV706" s="1"/>
      <c r="AW706" s="1"/>
      <c r="AX706" s="1"/>
      <c r="BD706" s="1"/>
      <c r="BE706" s="1"/>
    </row>
    <row r="707" spans="2:57" x14ac:dyDescent="0.3">
      <c r="B707" s="1"/>
      <c r="J707" s="2"/>
      <c r="AV707" s="1"/>
      <c r="AW707" s="1"/>
      <c r="AX707" s="1"/>
      <c r="BD707" s="1"/>
    </row>
    <row r="708" spans="2:57" x14ac:dyDescent="0.3">
      <c r="B708" s="1"/>
      <c r="J708" s="2"/>
      <c r="AV708" s="1"/>
      <c r="AW708" s="1"/>
      <c r="AX708" s="1"/>
      <c r="BD708" s="1"/>
    </row>
    <row r="709" spans="2:57" x14ac:dyDescent="0.3">
      <c r="B709" s="1"/>
      <c r="J709" s="2"/>
      <c r="AV709" s="1"/>
      <c r="AW709" s="1"/>
      <c r="AX709" s="1"/>
      <c r="BD709" s="1"/>
    </row>
    <row r="710" spans="2:57" x14ac:dyDescent="0.3">
      <c r="B710" s="1"/>
      <c r="J710" s="2"/>
      <c r="AV710" s="1"/>
      <c r="AW710" s="1"/>
      <c r="AX710" s="1"/>
      <c r="BD710" s="1"/>
    </row>
    <row r="711" spans="2:57" x14ac:dyDescent="0.3">
      <c r="B711" s="1"/>
      <c r="J711" s="2"/>
      <c r="AV711" s="1"/>
      <c r="AW711" s="1"/>
      <c r="AX711" s="1"/>
      <c r="BD711" s="1"/>
    </row>
    <row r="712" spans="2:57" x14ac:dyDescent="0.3">
      <c r="B712" s="1"/>
      <c r="J712" s="2"/>
      <c r="AV712" s="1"/>
      <c r="AW712" s="1"/>
      <c r="AX712" s="1"/>
      <c r="BD712" s="1"/>
    </row>
    <row r="713" spans="2:57" x14ac:dyDescent="0.3">
      <c r="B713" s="1"/>
      <c r="J713" s="2"/>
      <c r="AV713" s="1"/>
      <c r="AW713" s="1"/>
      <c r="AX713" s="1"/>
      <c r="BD713" s="1"/>
    </row>
    <row r="714" spans="2:57" x14ac:dyDescent="0.3">
      <c r="B714" s="1"/>
      <c r="J714" s="2"/>
      <c r="AV714" s="1"/>
      <c r="AW714" s="1"/>
      <c r="AX714" s="1"/>
      <c r="BD714" s="1"/>
    </row>
    <row r="715" spans="2:57" x14ac:dyDescent="0.3">
      <c r="B715" s="1"/>
      <c r="J715" s="2"/>
      <c r="AV715" s="1"/>
      <c r="AW715" s="1"/>
      <c r="AX715" s="1"/>
      <c r="BD715" s="1"/>
      <c r="BE715" s="1"/>
    </row>
    <row r="716" spans="2:57" x14ac:dyDescent="0.3">
      <c r="B716" s="1"/>
      <c r="J716" s="2"/>
      <c r="AV716" s="1"/>
      <c r="AW716" s="1"/>
      <c r="AX716" s="1"/>
      <c r="BD716" s="1"/>
      <c r="BE716" s="1"/>
    </row>
    <row r="717" spans="2:57" x14ac:dyDescent="0.3">
      <c r="B717" s="1"/>
      <c r="J717" s="2"/>
      <c r="AV717" s="1"/>
      <c r="AW717" s="1"/>
      <c r="AX717" s="1"/>
      <c r="BD717" s="1"/>
      <c r="BE717" s="1"/>
    </row>
    <row r="718" spans="2:57" x14ac:dyDescent="0.3">
      <c r="B718" s="1"/>
      <c r="J718" s="2"/>
      <c r="AV718" s="1"/>
      <c r="AW718" s="1"/>
      <c r="AX718" s="1"/>
      <c r="BD718" s="1"/>
      <c r="BE718" s="1"/>
    </row>
    <row r="719" spans="2:57" x14ac:dyDescent="0.3">
      <c r="B719" s="1"/>
      <c r="J719" s="2"/>
      <c r="AW719" s="1"/>
      <c r="AX719" s="1"/>
      <c r="BD719" s="1"/>
      <c r="BE719" s="1"/>
    </row>
    <row r="720" spans="2:57" x14ac:dyDescent="0.3">
      <c r="B720" s="1"/>
      <c r="J720" s="2"/>
      <c r="AV720" s="1"/>
      <c r="AW720" s="1"/>
      <c r="AX720" s="1"/>
      <c r="BD720" s="1"/>
      <c r="BE720" s="1"/>
    </row>
    <row r="721" spans="2:57" x14ac:dyDescent="0.3">
      <c r="B721" s="1"/>
      <c r="J721" s="2"/>
      <c r="AV721" s="1"/>
      <c r="AW721" s="1"/>
      <c r="AX721" s="1"/>
      <c r="BA721" s="1"/>
      <c r="BD721" s="1"/>
      <c r="BE721" s="1"/>
    </row>
    <row r="722" spans="2:57" x14ac:dyDescent="0.3">
      <c r="B722" s="1"/>
      <c r="J722" s="2"/>
      <c r="AV722" s="1"/>
      <c r="AW722" s="1"/>
      <c r="AX722" s="1"/>
      <c r="BD722" s="1"/>
      <c r="BE722" s="1"/>
    </row>
    <row r="723" spans="2:57" x14ac:dyDescent="0.3">
      <c r="B723" s="1"/>
      <c r="J723" s="2"/>
      <c r="AV723" s="1"/>
      <c r="AW723" s="1"/>
      <c r="AX723" s="1"/>
      <c r="BD723" s="1"/>
      <c r="BE723" s="1"/>
    </row>
    <row r="724" spans="2:57" x14ac:dyDescent="0.3">
      <c r="B724" s="1"/>
      <c r="J724" s="2"/>
      <c r="AV724" s="1"/>
      <c r="AW724" s="1"/>
      <c r="AX724" s="1"/>
      <c r="BD724" s="1"/>
      <c r="BE724" s="1"/>
    </row>
    <row r="725" spans="2:57" x14ac:dyDescent="0.3">
      <c r="B725" s="1"/>
      <c r="J725" s="2"/>
      <c r="AV725" s="1"/>
      <c r="AW725" s="1"/>
      <c r="AX725" s="1"/>
      <c r="BD725" s="1"/>
      <c r="BE725" s="1"/>
    </row>
    <row r="726" spans="2:57" x14ac:dyDescent="0.3">
      <c r="B726" s="1"/>
      <c r="J726" s="2"/>
      <c r="AG726" s="1"/>
      <c r="AU726" s="1"/>
      <c r="AV726" s="1"/>
      <c r="AW726" s="1"/>
      <c r="AX726" s="1"/>
      <c r="BD726" s="1"/>
    </row>
    <row r="727" spans="2:57" x14ac:dyDescent="0.3">
      <c r="B727" s="1"/>
      <c r="J727" s="2"/>
      <c r="AG727" s="1"/>
      <c r="AU727" s="1"/>
      <c r="AV727" s="1"/>
      <c r="AW727" s="1"/>
      <c r="AX727" s="1"/>
      <c r="BD727" s="1"/>
      <c r="BE727" s="1"/>
    </row>
    <row r="728" spans="2:57" x14ac:dyDescent="0.3">
      <c r="B728" s="1"/>
      <c r="J728" s="2"/>
      <c r="AG728" s="1"/>
      <c r="AU728" s="1"/>
      <c r="AV728" s="1"/>
      <c r="AW728" s="1"/>
      <c r="AX728" s="1"/>
      <c r="BD728" s="1"/>
    </row>
    <row r="729" spans="2:57" x14ac:dyDescent="0.3">
      <c r="B729" s="1"/>
      <c r="J729" s="2"/>
      <c r="AG729" s="1"/>
      <c r="AU729" s="1"/>
      <c r="AV729" s="1"/>
      <c r="AW729" s="1"/>
      <c r="AX729" s="1"/>
      <c r="BD729" s="1"/>
    </row>
    <row r="730" spans="2:57" x14ac:dyDescent="0.3">
      <c r="B730" s="1"/>
      <c r="J730" s="2"/>
      <c r="AV730" s="1"/>
      <c r="AW730" s="1"/>
      <c r="AX730" s="1"/>
      <c r="BD730" s="1"/>
      <c r="BE730" s="1"/>
    </row>
    <row r="731" spans="2:57" x14ac:dyDescent="0.3">
      <c r="B731" s="1"/>
      <c r="J731" s="2"/>
      <c r="AV731" s="1"/>
      <c r="AW731" s="1"/>
      <c r="AX731" s="1"/>
      <c r="BD731" s="1"/>
      <c r="BE731" s="1"/>
    </row>
    <row r="732" spans="2:57" x14ac:dyDescent="0.3">
      <c r="B732" s="1"/>
      <c r="J732" s="2"/>
      <c r="AV732" s="1"/>
      <c r="AW732" s="1"/>
      <c r="AX732" s="1"/>
      <c r="BD732" s="1"/>
      <c r="BE732" s="1"/>
    </row>
    <row r="733" spans="2:57" x14ac:dyDescent="0.3">
      <c r="B733" s="1"/>
      <c r="J733" s="2"/>
      <c r="AV733" s="1"/>
      <c r="AW733" s="1"/>
      <c r="AX733" s="1"/>
      <c r="BD733" s="1"/>
      <c r="BE733" s="1"/>
    </row>
    <row r="734" spans="2:57" x14ac:dyDescent="0.3">
      <c r="B734" s="1"/>
      <c r="J734" s="2"/>
      <c r="AV734" s="1"/>
      <c r="AW734" s="1"/>
      <c r="AX734" s="1"/>
      <c r="BD734" s="1"/>
      <c r="BE734" s="1"/>
    </row>
    <row r="735" spans="2:57" x14ac:dyDescent="0.3">
      <c r="B735" s="1"/>
      <c r="J735" s="2"/>
      <c r="AV735" s="1"/>
      <c r="AW735" s="1"/>
      <c r="AX735" s="1"/>
      <c r="BD735" s="1"/>
      <c r="BE735" s="1"/>
    </row>
    <row r="736" spans="2:57" x14ac:dyDescent="0.3">
      <c r="B736" s="1"/>
      <c r="J736" s="2"/>
      <c r="AV736" s="1"/>
      <c r="AW736" s="1"/>
      <c r="AX736" s="1"/>
      <c r="BD736" s="1"/>
      <c r="BE736" s="1"/>
    </row>
    <row r="737" spans="2:57" x14ac:dyDescent="0.3">
      <c r="B737" s="1"/>
      <c r="J737" s="2"/>
      <c r="AV737" s="1"/>
      <c r="AW737" s="1"/>
      <c r="AX737" s="1"/>
      <c r="BD737" s="1"/>
      <c r="BE737" s="1"/>
    </row>
    <row r="738" spans="2:57" x14ac:dyDescent="0.3">
      <c r="B738" s="1"/>
      <c r="J738" s="2"/>
      <c r="AW738" s="1"/>
      <c r="AX738" s="1"/>
      <c r="BA738" s="1"/>
      <c r="BD738" s="1"/>
      <c r="BE738" s="1"/>
    </row>
    <row r="739" spans="2:57" x14ac:dyDescent="0.3">
      <c r="B739" s="1"/>
      <c r="J739" s="2"/>
      <c r="AW739" s="1"/>
      <c r="AX739" s="1"/>
      <c r="BA739" s="1"/>
      <c r="BD739" s="1"/>
      <c r="BE739" s="1"/>
    </row>
    <row r="740" spans="2:57" x14ac:dyDescent="0.3">
      <c r="B740" s="1"/>
      <c r="J740" s="2"/>
      <c r="AV740" s="1"/>
      <c r="AW740" s="1"/>
      <c r="AX740" s="1"/>
      <c r="BD740" s="1"/>
      <c r="BE740" s="1"/>
    </row>
    <row r="741" spans="2:57" x14ac:dyDescent="0.3">
      <c r="B741" s="1"/>
      <c r="J741" s="2"/>
      <c r="AV741" s="1"/>
      <c r="AW741" s="1"/>
      <c r="AX741" s="1"/>
      <c r="BD741" s="1"/>
      <c r="BE741" s="1"/>
    </row>
    <row r="742" spans="2:57" x14ac:dyDescent="0.3">
      <c r="B742" s="1"/>
      <c r="J742" s="2"/>
      <c r="AV742" s="1"/>
      <c r="AW742" s="1"/>
      <c r="AX742" s="1"/>
      <c r="BD742" s="1"/>
      <c r="BE742" s="1"/>
    </row>
    <row r="743" spans="2:57" x14ac:dyDescent="0.3">
      <c r="B743" s="1"/>
      <c r="J743" s="2"/>
      <c r="AV743" s="1"/>
      <c r="AW743" s="1"/>
      <c r="AX743" s="1"/>
      <c r="BD743" s="1"/>
      <c r="BE743" s="1"/>
    </row>
    <row r="744" spans="2:57" x14ac:dyDescent="0.3">
      <c r="B744" s="1"/>
      <c r="J744" s="2"/>
      <c r="AV744" s="1"/>
      <c r="AW744" s="1"/>
      <c r="AX744" s="1"/>
      <c r="BD744" s="1"/>
      <c r="BE744" s="1"/>
    </row>
    <row r="745" spans="2:57" x14ac:dyDescent="0.3">
      <c r="B745" s="1"/>
      <c r="J745" s="2"/>
      <c r="AV745" s="1"/>
      <c r="AW745" s="1"/>
      <c r="AX745" s="1"/>
      <c r="BD745" s="1"/>
      <c r="BE745" s="1"/>
    </row>
    <row r="746" spans="2:57" x14ac:dyDescent="0.3">
      <c r="B746" s="1"/>
      <c r="J746" s="2"/>
      <c r="AV746" s="1"/>
      <c r="AW746" s="1"/>
      <c r="AX746" s="1"/>
      <c r="BD746" s="1"/>
      <c r="BE746" s="1"/>
    </row>
    <row r="747" spans="2:57" x14ac:dyDescent="0.3">
      <c r="B747" s="1"/>
      <c r="J747" s="2"/>
      <c r="AV747" s="1"/>
      <c r="AW747" s="1"/>
      <c r="AX747" s="1"/>
      <c r="BD747" s="1"/>
      <c r="BE747" s="1"/>
    </row>
    <row r="748" spans="2:57" x14ac:dyDescent="0.3">
      <c r="B748" s="1"/>
      <c r="J748" s="2"/>
      <c r="AV748" s="1"/>
      <c r="AW748" s="1"/>
      <c r="AX748" s="1"/>
      <c r="BD748" s="1"/>
      <c r="BE748" s="1"/>
    </row>
    <row r="749" spans="2:57" x14ac:dyDescent="0.3">
      <c r="B749" s="1"/>
      <c r="J749" s="2"/>
      <c r="AV749" s="1"/>
      <c r="AW749" s="1"/>
      <c r="AX749" s="1"/>
      <c r="BD749" s="1"/>
      <c r="BE749" s="1"/>
    </row>
    <row r="750" spans="2:57" x14ac:dyDescent="0.3">
      <c r="B750" s="1"/>
      <c r="J750" s="2"/>
      <c r="AW750" s="1"/>
      <c r="AX750" s="1"/>
      <c r="BD750" s="1"/>
      <c r="BE750" s="1"/>
    </row>
    <row r="753" spans="2:56" x14ac:dyDescent="0.3">
      <c r="B753" s="1"/>
      <c r="J753" s="2"/>
      <c r="AV753" s="1"/>
      <c r="AW753" s="1"/>
      <c r="AX753" s="1"/>
      <c r="BA753" s="1"/>
      <c r="BD753" s="1"/>
    </row>
    <row r="754" spans="2:56" x14ac:dyDescent="0.3">
      <c r="B754" s="1"/>
      <c r="J754" s="2"/>
      <c r="AV754" s="1"/>
      <c r="AW754" s="1"/>
      <c r="AX754" s="1"/>
      <c r="BA754" s="1"/>
      <c r="BD754" s="1"/>
    </row>
    <row r="755" spans="2:56" x14ac:dyDescent="0.3">
      <c r="B755" s="1"/>
      <c r="J755" s="2"/>
      <c r="AV755" s="1"/>
      <c r="AW755" s="1"/>
      <c r="AX755" s="1"/>
      <c r="BA755" s="1"/>
      <c r="BD755" s="1"/>
    </row>
    <row r="756" spans="2:56" x14ac:dyDescent="0.3">
      <c r="B756" s="1"/>
      <c r="J756" s="2"/>
      <c r="AV756" s="1"/>
      <c r="AW756" s="1"/>
      <c r="AX756" s="1"/>
      <c r="BA756" s="1"/>
      <c r="BD756" s="1"/>
    </row>
    <row r="757" spans="2:56" x14ac:dyDescent="0.3">
      <c r="B757" s="1"/>
      <c r="J757" s="2"/>
      <c r="AV757" s="1"/>
      <c r="AW757" s="1"/>
      <c r="AX757" s="1"/>
      <c r="BA757" s="1"/>
      <c r="BD757" s="1"/>
    </row>
    <row r="758" spans="2:56" x14ac:dyDescent="0.3">
      <c r="B758" s="1"/>
      <c r="J758" s="2"/>
      <c r="AV758" s="1"/>
      <c r="AW758" s="1"/>
      <c r="AX758" s="1"/>
      <c r="BA758" s="1"/>
      <c r="BD758" s="1"/>
    </row>
    <row r="759" spans="2:56" x14ac:dyDescent="0.3">
      <c r="B759" s="1"/>
      <c r="J759" s="2"/>
      <c r="AV759" s="1"/>
      <c r="AW759" s="1"/>
      <c r="AX759" s="1"/>
      <c r="BA759" s="1"/>
      <c r="BD759" s="1"/>
    </row>
    <row r="760" spans="2:56" x14ac:dyDescent="0.3">
      <c r="B760" s="1"/>
      <c r="J760" s="2"/>
      <c r="AW760" s="1"/>
      <c r="AX760" s="1"/>
      <c r="BA760" s="1"/>
      <c r="BD76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8DC7-D9F7-4A59-86A3-E722CAEC8013}">
  <sheetPr codeName="Sheet7">
    <tabColor theme="5" tint="-0.249977111117893"/>
  </sheetPr>
  <dimension ref="A1:BI1207"/>
  <sheetViews>
    <sheetView workbookViewId="0">
      <selection activeCell="A2" sqref="A2:BI1207"/>
    </sheetView>
  </sheetViews>
  <sheetFormatPr defaultRowHeight="14.4" x14ac:dyDescent="0.3"/>
  <cols>
    <col min="1" max="1" width="14" bestFit="1" customWidth="1"/>
    <col min="2" max="2" width="21.5546875" customWidth="1"/>
    <col min="3" max="3" width="12.44140625" customWidth="1"/>
    <col min="4" max="5" width="10.44140625" customWidth="1"/>
    <col min="6" max="6" width="22" customWidth="1"/>
    <col min="7" max="7" width="9.33203125" customWidth="1"/>
    <col min="8" max="8" width="10.109375" customWidth="1"/>
    <col min="10" max="10" width="20.44140625" customWidth="1"/>
    <col min="12" max="12" width="12.6640625" customWidth="1"/>
    <col min="14" max="14" width="19.109375" customWidth="1"/>
    <col min="17" max="17" width="16.44140625" customWidth="1"/>
    <col min="18" max="18" width="20.6640625" customWidth="1"/>
    <col min="21" max="21" width="10.5546875" customWidth="1"/>
    <col min="22" max="22" width="11.6640625" customWidth="1"/>
    <col min="23" max="23" width="12.6640625" customWidth="1"/>
    <col min="24" max="24" width="17" customWidth="1"/>
    <col min="25" max="25" width="21.6640625" customWidth="1"/>
    <col min="26" max="26" width="18.6640625" customWidth="1"/>
    <col min="27" max="27" width="20" customWidth="1"/>
    <col min="29" max="29" width="15.33203125" customWidth="1"/>
    <col min="31" max="31" width="15.33203125" customWidth="1"/>
    <col min="32" max="32" width="21.6640625" customWidth="1"/>
    <col min="33" max="33" width="24.44140625" customWidth="1"/>
    <col min="34" max="34" width="23.6640625" customWidth="1"/>
    <col min="35" max="35" width="32.6640625" customWidth="1"/>
    <col min="36" max="36" width="35.44140625" customWidth="1"/>
    <col min="37" max="37" width="14.6640625" customWidth="1"/>
    <col min="38" max="38" width="20" customWidth="1"/>
    <col min="39" max="39" width="15.33203125" customWidth="1"/>
    <col min="40" max="40" width="17.44140625" customWidth="1"/>
    <col min="41" max="41" width="21.33203125" customWidth="1"/>
    <col min="42" max="42" width="17.44140625" customWidth="1"/>
    <col min="43" max="43" width="9.6640625" customWidth="1"/>
    <col min="44" max="44" width="10.44140625" customWidth="1"/>
    <col min="45" max="45" width="20.33203125" customWidth="1"/>
    <col min="46" max="46" width="11.33203125" customWidth="1"/>
    <col min="47" max="47" width="23" customWidth="1"/>
    <col min="48" max="48" width="20.33203125" customWidth="1"/>
    <col min="49" max="50" width="16.109375" customWidth="1"/>
    <col min="51" max="51" width="25.33203125" bestFit="1" customWidth="1"/>
    <col min="52" max="52" width="14.88671875" customWidth="1"/>
    <col min="53" max="53" width="18.6640625" customWidth="1"/>
    <col min="55" max="55" width="22.88671875" customWidth="1"/>
    <col min="56" max="56" width="15.33203125" customWidth="1"/>
    <col min="57" max="57" width="14.33203125" customWidth="1"/>
    <col min="58" max="58" width="18.6640625" customWidth="1"/>
    <col min="59" max="59" width="20.33203125" customWidth="1"/>
    <col min="60" max="60" width="21.6640625" customWidth="1"/>
    <col min="61" max="61" width="23.109375" customWidth="1"/>
  </cols>
  <sheetData>
    <row r="1" spans="1:61" x14ac:dyDescent="0.3">
      <c r="A1" s="4" t="s">
        <v>128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4" t="s">
        <v>6</v>
      </c>
      <c r="I1" s="4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5" t="s">
        <v>129</v>
      </c>
      <c r="P1" s="4" t="s">
        <v>63</v>
      </c>
      <c r="Q1" t="s">
        <v>14</v>
      </c>
      <c r="R1" s="4" t="s">
        <v>86</v>
      </c>
      <c r="S1" s="4" t="s">
        <v>130</v>
      </c>
      <c r="T1" s="4" t="s">
        <v>131</v>
      </c>
      <c r="U1" s="4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s="4" t="s">
        <v>132</v>
      </c>
      <c r="AC1" t="s">
        <v>22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s="4" t="s">
        <v>133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s="4" t="s">
        <v>94</v>
      </c>
      <c r="BA1" t="s">
        <v>44</v>
      </c>
      <c r="BB1" t="s">
        <v>337</v>
      </c>
      <c r="BC1" t="s">
        <v>45</v>
      </c>
      <c r="BD1" t="s">
        <v>46</v>
      </c>
      <c r="BE1" t="s">
        <v>47</v>
      </c>
      <c r="BF1" t="s">
        <v>48</v>
      </c>
      <c r="BG1" t="s">
        <v>49</v>
      </c>
      <c r="BH1" t="s">
        <v>50</v>
      </c>
      <c r="BI1" t="s">
        <v>51</v>
      </c>
    </row>
    <row r="2" spans="1:61" x14ac:dyDescent="0.3">
      <c r="B2" s="1"/>
      <c r="J2" s="2"/>
      <c r="BD2" s="1"/>
    </row>
    <row r="3" spans="1:61" x14ac:dyDescent="0.3">
      <c r="B3" s="1"/>
      <c r="J3" s="2"/>
      <c r="BD3" s="1"/>
    </row>
    <row r="4" spans="1:61" x14ac:dyDescent="0.3">
      <c r="B4" s="1"/>
      <c r="J4" s="2"/>
      <c r="BD4" s="1"/>
    </row>
    <row r="5" spans="1:61" x14ac:dyDescent="0.3">
      <c r="B5" s="1"/>
      <c r="J5" s="2"/>
      <c r="BD5" s="1"/>
    </row>
    <row r="6" spans="1:61" x14ac:dyDescent="0.3">
      <c r="B6" s="1"/>
      <c r="J6" s="2"/>
      <c r="BD6" s="1"/>
    </row>
    <row r="7" spans="1:61" x14ac:dyDescent="0.3">
      <c r="B7" s="1"/>
      <c r="J7" s="2"/>
      <c r="BD7" s="1"/>
    </row>
    <row r="8" spans="1:61" x14ac:dyDescent="0.3">
      <c r="B8" s="1"/>
      <c r="J8" s="2"/>
      <c r="BD8" s="1"/>
    </row>
    <row r="9" spans="1:61" x14ac:dyDescent="0.3">
      <c r="B9" s="1"/>
      <c r="J9" s="2"/>
      <c r="BD9" s="1"/>
    </row>
    <row r="10" spans="1:61" x14ac:dyDescent="0.3">
      <c r="B10" s="1"/>
      <c r="J10" s="2"/>
      <c r="BD10" s="1"/>
    </row>
    <row r="11" spans="1:61" x14ac:dyDescent="0.3">
      <c r="B11" s="1"/>
      <c r="J11" s="2"/>
      <c r="BD11" s="1"/>
    </row>
    <row r="12" spans="1:61" x14ac:dyDescent="0.3">
      <c r="B12" s="1"/>
      <c r="J12" s="2"/>
      <c r="BD12" s="1"/>
    </row>
    <row r="13" spans="1:61" x14ac:dyDescent="0.3">
      <c r="B13" s="1"/>
      <c r="J13" s="2"/>
      <c r="BD13" s="1"/>
    </row>
    <row r="14" spans="1:61" x14ac:dyDescent="0.3">
      <c r="B14" s="1"/>
      <c r="J14" s="2"/>
      <c r="BD14" s="1"/>
    </row>
    <row r="15" spans="1:61" x14ac:dyDescent="0.3">
      <c r="B15" s="1"/>
      <c r="J15" s="2"/>
      <c r="BD15" s="1"/>
    </row>
    <row r="16" spans="1:61" x14ac:dyDescent="0.3">
      <c r="B16" s="1"/>
      <c r="J16" s="2"/>
      <c r="BD16" s="1"/>
    </row>
    <row r="17" spans="2:56" x14ac:dyDescent="0.3">
      <c r="B17" s="1"/>
      <c r="J17" s="2"/>
      <c r="BD17" s="1"/>
    </row>
    <row r="18" spans="2:56" x14ac:dyDescent="0.3">
      <c r="B18" s="1"/>
      <c r="J18" s="2"/>
      <c r="BD18" s="1"/>
    </row>
    <row r="19" spans="2:56" x14ac:dyDescent="0.3">
      <c r="B19" s="1"/>
      <c r="J19" s="2"/>
      <c r="BD19" s="1"/>
    </row>
    <row r="20" spans="2:56" x14ac:dyDescent="0.3">
      <c r="B20" s="1"/>
      <c r="J20" s="2"/>
      <c r="BD20" s="1"/>
    </row>
    <row r="21" spans="2:56" x14ac:dyDescent="0.3">
      <c r="B21" s="1"/>
      <c r="J21" s="2"/>
      <c r="BD21" s="1"/>
    </row>
    <row r="22" spans="2:56" x14ac:dyDescent="0.3">
      <c r="B22" s="1"/>
      <c r="J22" s="2"/>
      <c r="BD22" s="1"/>
    </row>
    <row r="23" spans="2:56" x14ac:dyDescent="0.3">
      <c r="B23" s="1"/>
      <c r="J23" s="2"/>
      <c r="BD23" s="1"/>
    </row>
    <row r="24" spans="2:56" x14ac:dyDescent="0.3">
      <c r="B24" s="1"/>
      <c r="J24" s="2"/>
      <c r="BD24" s="1"/>
    </row>
    <row r="25" spans="2:56" x14ac:dyDescent="0.3">
      <c r="B25" s="1"/>
      <c r="J25" s="2"/>
      <c r="BD25" s="1"/>
    </row>
    <row r="26" spans="2:56" x14ac:dyDescent="0.3">
      <c r="B26" s="1"/>
      <c r="J26" s="2"/>
      <c r="BD26" s="1"/>
    </row>
    <row r="27" spans="2:56" x14ac:dyDescent="0.3">
      <c r="B27" s="1"/>
      <c r="J27" s="2"/>
      <c r="BD27" s="1"/>
    </row>
    <row r="28" spans="2:56" x14ac:dyDescent="0.3">
      <c r="B28" s="1"/>
      <c r="J28" s="2"/>
      <c r="BD28" s="1"/>
    </row>
    <row r="29" spans="2:56" x14ac:dyDescent="0.3">
      <c r="B29" s="1"/>
      <c r="J29" s="2"/>
      <c r="BD29" s="1"/>
    </row>
    <row r="30" spans="2:56" x14ac:dyDescent="0.3">
      <c r="B30" s="1"/>
      <c r="J30" s="2"/>
      <c r="BD30" s="1"/>
    </row>
    <row r="31" spans="2:56" x14ac:dyDescent="0.3">
      <c r="B31" s="1"/>
      <c r="J31" s="2"/>
      <c r="BD31" s="1"/>
    </row>
    <row r="32" spans="2:56" x14ac:dyDescent="0.3">
      <c r="B32" s="1"/>
      <c r="J32" s="2"/>
      <c r="BD32" s="1"/>
    </row>
    <row r="33" spans="2:56" x14ac:dyDescent="0.3">
      <c r="B33" s="1"/>
      <c r="J33" s="2"/>
      <c r="BD33" s="1"/>
    </row>
    <row r="34" spans="2:56" x14ac:dyDescent="0.3">
      <c r="B34" s="1"/>
      <c r="J34" s="2"/>
      <c r="BD34" s="1"/>
    </row>
    <row r="35" spans="2:56" x14ac:dyDescent="0.3">
      <c r="B35" s="1"/>
      <c r="J35" s="2"/>
      <c r="BD35" s="1"/>
    </row>
    <row r="36" spans="2:56" x14ac:dyDescent="0.3">
      <c r="B36" s="1"/>
      <c r="J36" s="2"/>
      <c r="BD36" s="1"/>
    </row>
    <row r="37" spans="2:56" x14ac:dyDescent="0.3">
      <c r="B37" s="1"/>
      <c r="J37" s="2"/>
      <c r="BD37" s="1"/>
    </row>
    <row r="38" spans="2:56" x14ac:dyDescent="0.3">
      <c r="B38" s="1"/>
      <c r="J38" s="2"/>
      <c r="BD38" s="1"/>
    </row>
    <row r="39" spans="2:56" x14ac:dyDescent="0.3">
      <c r="B39" s="1"/>
      <c r="J39" s="2"/>
      <c r="BD39" s="1"/>
    </row>
    <row r="40" spans="2:56" x14ac:dyDescent="0.3">
      <c r="B40" s="1"/>
      <c r="J40" s="2"/>
      <c r="BD40" s="1"/>
    </row>
    <row r="41" spans="2:56" x14ac:dyDescent="0.3">
      <c r="B41" s="1"/>
      <c r="J41" s="2"/>
      <c r="BD41" s="1"/>
    </row>
    <row r="42" spans="2:56" x14ac:dyDescent="0.3">
      <c r="B42" s="1"/>
      <c r="J42" s="2"/>
      <c r="BD42" s="1"/>
    </row>
    <row r="43" spans="2:56" x14ac:dyDescent="0.3">
      <c r="B43" s="1"/>
      <c r="J43" s="2"/>
      <c r="BD43" s="1"/>
    </row>
    <row r="44" spans="2:56" x14ac:dyDescent="0.3">
      <c r="B44" s="1"/>
      <c r="J44" s="2"/>
      <c r="BD44" s="1"/>
    </row>
    <row r="45" spans="2:56" x14ac:dyDescent="0.3">
      <c r="B45" s="1"/>
      <c r="J45" s="2"/>
      <c r="BD45" s="1"/>
    </row>
    <row r="46" spans="2:56" x14ac:dyDescent="0.3">
      <c r="B46" s="1"/>
      <c r="J46" s="2"/>
      <c r="BD46" s="1"/>
    </row>
    <row r="47" spans="2:56" x14ac:dyDescent="0.3">
      <c r="B47" s="1"/>
      <c r="J47" s="2"/>
      <c r="BD47" s="1"/>
    </row>
    <row r="48" spans="2:56" x14ac:dyDescent="0.3">
      <c r="B48" s="1"/>
      <c r="J48" s="2"/>
      <c r="BD48" s="1"/>
    </row>
    <row r="49" spans="2:56" x14ac:dyDescent="0.3">
      <c r="B49" s="1"/>
      <c r="J49" s="2"/>
      <c r="BD49" s="1"/>
    </row>
    <row r="50" spans="2:56" x14ac:dyDescent="0.3">
      <c r="B50" s="1"/>
      <c r="J50" s="2"/>
      <c r="BD50" s="1"/>
    </row>
    <row r="51" spans="2:56" x14ac:dyDescent="0.3">
      <c r="B51" s="1"/>
      <c r="J51" s="2"/>
      <c r="BD51" s="1"/>
    </row>
    <row r="52" spans="2:56" x14ac:dyDescent="0.3">
      <c r="B52" s="1"/>
      <c r="J52" s="2"/>
      <c r="BD52" s="1"/>
    </row>
    <row r="53" spans="2:56" x14ac:dyDescent="0.3">
      <c r="B53" s="1"/>
      <c r="J53" s="2"/>
      <c r="BD53" s="1"/>
    </row>
    <row r="54" spans="2:56" x14ac:dyDescent="0.3">
      <c r="B54" s="1"/>
      <c r="J54" s="2"/>
      <c r="BD54" s="1"/>
    </row>
    <row r="55" spans="2:56" x14ac:dyDescent="0.3">
      <c r="B55" s="1"/>
      <c r="J55" s="2"/>
      <c r="BD55" s="1"/>
    </row>
    <row r="56" spans="2:56" x14ac:dyDescent="0.3">
      <c r="B56" s="1"/>
      <c r="J56" s="2"/>
      <c r="BD56" s="1"/>
    </row>
    <row r="57" spans="2:56" x14ac:dyDescent="0.3">
      <c r="B57" s="1"/>
      <c r="J57" s="2"/>
      <c r="BD57" s="1"/>
    </row>
    <row r="58" spans="2:56" x14ac:dyDescent="0.3">
      <c r="B58" s="1"/>
      <c r="J58" s="2"/>
      <c r="BD58" s="1"/>
    </row>
    <row r="59" spans="2:56" x14ac:dyDescent="0.3">
      <c r="B59" s="1"/>
      <c r="J59" s="2"/>
      <c r="BD59" s="1"/>
    </row>
    <row r="60" spans="2:56" x14ac:dyDescent="0.3">
      <c r="B60" s="1"/>
      <c r="J60" s="2"/>
      <c r="BD60" s="1"/>
    </row>
    <row r="61" spans="2:56" x14ac:dyDescent="0.3">
      <c r="B61" s="1"/>
      <c r="J61" s="2"/>
      <c r="BD61" s="1"/>
    </row>
    <row r="62" spans="2:56" x14ac:dyDescent="0.3">
      <c r="B62" s="1"/>
      <c r="J62" s="2"/>
      <c r="BD62" s="1"/>
    </row>
    <row r="63" spans="2:56" x14ac:dyDescent="0.3">
      <c r="B63" s="1"/>
      <c r="J63" s="2"/>
      <c r="BD63" s="1"/>
    </row>
    <row r="64" spans="2:56" x14ac:dyDescent="0.3">
      <c r="B64" s="1"/>
      <c r="J64" s="2"/>
      <c r="BD64" s="1"/>
    </row>
    <row r="65" spans="2:56" x14ac:dyDescent="0.3">
      <c r="B65" s="1"/>
      <c r="J65" s="2"/>
      <c r="BD65" s="1"/>
    </row>
    <row r="66" spans="2:56" x14ac:dyDescent="0.3">
      <c r="B66" s="1"/>
      <c r="J66" s="2"/>
      <c r="BD66" s="1"/>
    </row>
    <row r="67" spans="2:56" x14ac:dyDescent="0.3">
      <c r="B67" s="1"/>
      <c r="J67" s="2"/>
      <c r="BD67" s="1"/>
    </row>
    <row r="68" spans="2:56" x14ac:dyDescent="0.3">
      <c r="B68" s="1"/>
      <c r="J68" s="2"/>
      <c r="BD68" s="1"/>
    </row>
    <row r="69" spans="2:56" x14ac:dyDescent="0.3">
      <c r="B69" s="1"/>
      <c r="J69" s="2"/>
      <c r="BD69" s="1"/>
    </row>
    <row r="70" spans="2:56" x14ac:dyDescent="0.3">
      <c r="B70" s="1"/>
      <c r="J70" s="2"/>
      <c r="BD70" s="1"/>
    </row>
    <row r="71" spans="2:56" x14ac:dyDescent="0.3">
      <c r="B71" s="1"/>
      <c r="J71" s="2"/>
      <c r="BD71" s="1"/>
    </row>
    <row r="72" spans="2:56" x14ac:dyDescent="0.3">
      <c r="B72" s="1"/>
      <c r="J72" s="2"/>
      <c r="BD72" s="1"/>
    </row>
    <row r="73" spans="2:56" x14ac:dyDescent="0.3">
      <c r="B73" s="1"/>
      <c r="J73" s="2"/>
      <c r="BD73" s="1"/>
    </row>
    <row r="74" spans="2:56" x14ac:dyDescent="0.3">
      <c r="B74" s="1"/>
      <c r="J74" s="2"/>
      <c r="BD74" s="1"/>
    </row>
    <row r="75" spans="2:56" x14ac:dyDescent="0.3">
      <c r="B75" s="1"/>
      <c r="J75" s="2"/>
      <c r="BD75" s="1"/>
    </row>
    <row r="76" spans="2:56" x14ac:dyDescent="0.3">
      <c r="B76" s="1"/>
      <c r="J76" s="2"/>
      <c r="BD76" s="1"/>
    </row>
    <row r="77" spans="2:56" x14ac:dyDescent="0.3">
      <c r="B77" s="1"/>
      <c r="J77" s="2"/>
      <c r="BD77" s="1"/>
    </row>
    <row r="78" spans="2:56" x14ac:dyDescent="0.3">
      <c r="B78" s="1"/>
      <c r="J78" s="2"/>
      <c r="BD78" s="1"/>
    </row>
    <row r="79" spans="2:56" x14ac:dyDescent="0.3">
      <c r="B79" s="1"/>
      <c r="J79" s="2"/>
      <c r="BD79" s="1"/>
    </row>
    <row r="80" spans="2:56" x14ac:dyDescent="0.3">
      <c r="B80" s="1"/>
      <c r="J80" s="2"/>
      <c r="BD80" s="1"/>
    </row>
    <row r="81" spans="2:56" x14ac:dyDescent="0.3">
      <c r="B81" s="1"/>
      <c r="J81" s="2"/>
      <c r="BD81" s="1"/>
    </row>
    <row r="82" spans="2:56" x14ac:dyDescent="0.3">
      <c r="B82" s="1"/>
      <c r="J82" s="2"/>
      <c r="BD82" s="1"/>
    </row>
    <row r="83" spans="2:56" x14ac:dyDescent="0.3">
      <c r="B83" s="1"/>
      <c r="J83" s="2"/>
      <c r="BD83" s="1"/>
    </row>
    <row r="84" spans="2:56" x14ac:dyDescent="0.3">
      <c r="B84" s="1"/>
      <c r="J84" s="2"/>
      <c r="AN84" s="1"/>
      <c r="AO84" s="1"/>
      <c r="BD84" s="1"/>
    </row>
    <row r="85" spans="2:56" x14ac:dyDescent="0.3">
      <c r="B85" s="1"/>
      <c r="J85" s="2"/>
      <c r="BD85" s="1"/>
    </row>
    <row r="86" spans="2:56" x14ac:dyDescent="0.3">
      <c r="B86" s="1"/>
      <c r="J86" s="2"/>
      <c r="BD86" s="1"/>
    </row>
    <row r="87" spans="2:56" x14ac:dyDescent="0.3">
      <c r="B87" s="1"/>
      <c r="J87" s="2"/>
      <c r="BD87" s="1"/>
    </row>
    <row r="88" spans="2:56" x14ac:dyDescent="0.3">
      <c r="B88" s="1"/>
      <c r="J88" s="2"/>
      <c r="BD88" s="1"/>
    </row>
    <row r="89" spans="2:56" x14ac:dyDescent="0.3">
      <c r="B89" s="1"/>
      <c r="J89" s="2"/>
      <c r="BD89" s="1"/>
    </row>
    <row r="90" spans="2:56" x14ac:dyDescent="0.3">
      <c r="B90" s="1"/>
      <c r="J90" s="2"/>
      <c r="BD90" s="1"/>
    </row>
    <row r="91" spans="2:56" x14ac:dyDescent="0.3">
      <c r="B91" s="1"/>
      <c r="J91" s="2"/>
      <c r="BD91" s="1"/>
    </row>
    <row r="92" spans="2:56" x14ac:dyDescent="0.3">
      <c r="B92" s="1"/>
      <c r="J92" s="2"/>
      <c r="BD92" s="1"/>
    </row>
    <row r="93" spans="2:56" x14ac:dyDescent="0.3">
      <c r="B93" s="1"/>
      <c r="J93" s="2"/>
      <c r="BD93" s="1"/>
    </row>
    <row r="94" spans="2:56" x14ac:dyDescent="0.3">
      <c r="B94" s="1"/>
      <c r="J94" s="2"/>
      <c r="BD94" s="1"/>
    </row>
    <row r="95" spans="2:56" x14ac:dyDescent="0.3">
      <c r="B95" s="1"/>
      <c r="J95" s="2"/>
      <c r="BD95" s="1"/>
    </row>
    <row r="96" spans="2:56" x14ac:dyDescent="0.3">
      <c r="B96" s="1"/>
      <c r="J96" s="2"/>
      <c r="BD96" s="1"/>
    </row>
    <row r="97" spans="2:56" x14ac:dyDescent="0.3">
      <c r="B97" s="1"/>
      <c r="J97" s="2"/>
      <c r="BD97" s="1"/>
    </row>
    <row r="98" spans="2:56" x14ac:dyDescent="0.3">
      <c r="B98" s="1"/>
      <c r="J98" s="2"/>
      <c r="BD98" s="1"/>
    </row>
    <row r="99" spans="2:56" x14ac:dyDescent="0.3">
      <c r="B99" s="1"/>
      <c r="J99" s="2"/>
      <c r="BD99" s="1"/>
    </row>
    <row r="100" spans="2:56" x14ac:dyDescent="0.3">
      <c r="B100" s="1"/>
      <c r="J100" s="2"/>
      <c r="BD100" s="1"/>
    </row>
    <row r="101" spans="2:56" x14ac:dyDescent="0.3">
      <c r="B101" s="1"/>
      <c r="J101" s="2"/>
      <c r="BD101" s="1"/>
    </row>
    <row r="102" spans="2:56" x14ac:dyDescent="0.3">
      <c r="B102" s="1"/>
      <c r="J102" s="2"/>
      <c r="BD102" s="1"/>
    </row>
    <row r="103" spans="2:56" x14ac:dyDescent="0.3">
      <c r="B103" s="1"/>
      <c r="J103" s="2"/>
      <c r="BD103" s="1"/>
    </row>
    <row r="104" spans="2:56" x14ac:dyDescent="0.3">
      <c r="B104" s="1"/>
      <c r="J104" s="2"/>
      <c r="BD104" s="1"/>
    </row>
    <row r="105" spans="2:56" x14ac:dyDescent="0.3">
      <c r="B105" s="1"/>
      <c r="J105" s="2"/>
      <c r="BD105" s="1"/>
    </row>
    <row r="106" spans="2:56" x14ac:dyDescent="0.3">
      <c r="B106" s="1"/>
      <c r="J106" s="2"/>
      <c r="BD106" s="1"/>
    </row>
    <row r="107" spans="2:56" x14ac:dyDescent="0.3">
      <c r="B107" s="1"/>
      <c r="J107" s="2"/>
      <c r="BD107" s="1"/>
    </row>
    <row r="108" spans="2:56" x14ac:dyDescent="0.3">
      <c r="B108" s="1"/>
      <c r="J108" s="2"/>
      <c r="AN108" s="1"/>
      <c r="AO108" s="1"/>
      <c r="BD108" s="1"/>
    </row>
    <row r="109" spans="2:56" x14ac:dyDescent="0.3">
      <c r="B109" s="1"/>
      <c r="J109" s="2"/>
      <c r="BD109" s="1"/>
    </row>
    <row r="110" spans="2:56" x14ac:dyDescent="0.3">
      <c r="B110" s="1"/>
      <c r="J110" s="2"/>
      <c r="BD110" s="1"/>
    </row>
    <row r="111" spans="2:56" x14ac:dyDescent="0.3">
      <c r="B111" s="1"/>
      <c r="J111" s="2"/>
      <c r="BD111" s="1"/>
    </row>
    <row r="112" spans="2:56" x14ac:dyDescent="0.3">
      <c r="B112" s="1"/>
      <c r="J112" s="2"/>
      <c r="BD112" s="1"/>
    </row>
    <row r="113" spans="2:56" x14ac:dyDescent="0.3">
      <c r="B113" s="1"/>
      <c r="J113" s="2"/>
      <c r="BD113" s="1"/>
    </row>
    <row r="114" spans="2:56" x14ac:dyDescent="0.3">
      <c r="B114" s="1"/>
      <c r="J114" s="2"/>
      <c r="BD114" s="1"/>
    </row>
    <row r="115" spans="2:56" x14ac:dyDescent="0.3">
      <c r="B115" s="1"/>
      <c r="J115" s="2"/>
      <c r="BD115" s="1"/>
    </row>
    <row r="116" spans="2:56" x14ac:dyDescent="0.3">
      <c r="B116" s="1"/>
      <c r="J116" s="2"/>
      <c r="AP116" s="1"/>
      <c r="BD116" s="1"/>
    </row>
    <row r="117" spans="2:56" x14ac:dyDescent="0.3">
      <c r="B117" s="1"/>
      <c r="J117" s="2"/>
      <c r="BD117" s="1"/>
    </row>
    <row r="118" spans="2:56" x14ac:dyDescent="0.3">
      <c r="B118" s="1"/>
      <c r="J118" s="2"/>
      <c r="BD118" s="1"/>
    </row>
    <row r="119" spans="2:56" x14ac:dyDescent="0.3">
      <c r="B119" s="1"/>
      <c r="J119" s="2"/>
      <c r="BD119" s="1"/>
    </row>
    <row r="120" spans="2:56" x14ac:dyDescent="0.3">
      <c r="B120" s="1"/>
      <c r="J120" s="2"/>
      <c r="BD120" s="1"/>
    </row>
    <row r="121" spans="2:56" x14ac:dyDescent="0.3">
      <c r="B121" s="1"/>
      <c r="J121" s="2"/>
      <c r="BD121" s="1"/>
    </row>
    <row r="122" spans="2:56" x14ac:dyDescent="0.3">
      <c r="B122" s="1"/>
      <c r="J122" s="2"/>
      <c r="BD122" s="1"/>
    </row>
    <row r="123" spans="2:56" x14ac:dyDescent="0.3">
      <c r="B123" s="1"/>
      <c r="J123" s="2"/>
      <c r="BD123" s="1"/>
    </row>
    <row r="124" spans="2:56" x14ac:dyDescent="0.3">
      <c r="B124" s="1"/>
      <c r="J124" s="2"/>
      <c r="BD124" s="1"/>
    </row>
    <row r="125" spans="2:56" x14ac:dyDescent="0.3">
      <c r="B125" s="1"/>
      <c r="J125" s="2"/>
      <c r="BD125" s="1"/>
    </row>
    <row r="126" spans="2:56" x14ac:dyDescent="0.3">
      <c r="B126" s="1"/>
      <c r="J126" s="2"/>
      <c r="BD126" s="1"/>
    </row>
    <row r="127" spans="2:56" x14ac:dyDescent="0.3">
      <c r="B127" s="1"/>
      <c r="J127" s="2"/>
      <c r="BD127" s="1"/>
    </row>
    <row r="128" spans="2:56" x14ac:dyDescent="0.3">
      <c r="B128" s="1"/>
      <c r="J128" s="2"/>
      <c r="BD128" s="1"/>
    </row>
    <row r="129" spans="2:56" x14ac:dyDescent="0.3">
      <c r="B129" s="1"/>
      <c r="J129" s="2"/>
      <c r="BD129" s="1"/>
    </row>
    <row r="130" spans="2:56" x14ac:dyDescent="0.3">
      <c r="B130" s="1"/>
      <c r="J130" s="2"/>
      <c r="BD130" s="1"/>
    </row>
    <row r="131" spans="2:56" x14ac:dyDescent="0.3">
      <c r="B131" s="1"/>
      <c r="J131" s="2"/>
      <c r="BD131" s="1"/>
    </row>
    <row r="132" spans="2:56" x14ac:dyDescent="0.3">
      <c r="B132" s="1"/>
      <c r="J132" s="2"/>
      <c r="BD132" s="1"/>
    </row>
    <row r="133" spans="2:56" x14ac:dyDescent="0.3">
      <c r="B133" s="1"/>
      <c r="J133" s="2"/>
      <c r="BD133" s="1"/>
    </row>
    <row r="134" spans="2:56" x14ac:dyDescent="0.3">
      <c r="B134" s="1"/>
      <c r="J134" s="2"/>
      <c r="BD134" s="1"/>
    </row>
    <row r="135" spans="2:56" x14ac:dyDescent="0.3">
      <c r="B135" s="1"/>
      <c r="J135" s="2"/>
      <c r="BD135" s="1"/>
    </row>
    <row r="136" spans="2:56" x14ac:dyDescent="0.3">
      <c r="B136" s="1"/>
      <c r="J136" s="2"/>
      <c r="BD136" s="1"/>
    </row>
    <row r="137" spans="2:56" x14ac:dyDescent="0.3">
      <c r="B137" s="1"/>
      <c r="J137" s="2"/>
      <c r="BD137" s="1"/>
    </row>
    <row r="138" spans="2:56" x14ac:dyDescent="0.3">
      <c r="B138" s="1"/>
      <c r="J138" s="2"/>
      <c r="BD138" s="1"/>
    </row>
    <row r="139" spans="2:56" x14ac:dyDescent="0.3">
      <c r="B139" s="1"/>
      <c r="J139" s="2"/>
      <c r="BD139" s="1"/>
    </row>
    <row r="140" spans="2:56" x14ac:dyDescent="0.3">
      <c r="B140" s="1"/>
      <c r="J140" s="2"/>
      <c r="BD140" s="1"/>
    </row>
    <row r="141" spans="2:56" x14ac:dyDescent="0.3">
      <c r="B141" s="1"/>
      <c r="J141" s="2"/>
      <c r="BD141" s="1"/>
    </row>
    <row r="142" spans="2:56" x14ac:dyDescent="0.3">
      <c r="B142" s="1"/>
      <c r="J142" s="2"/>
      <c r="BD142" s="1"/>
    </row>
    <row r="143" spans="2:56" x14ac:dyDescent="0.3">
      <c r="B143" s="1"/>
      <c r="J143" s="2"/>
      <c r="BD143" s="1"/>
    </row>
    <row r="144" spans="2:56" x14ac:dyDescent="0.3">
      <c r="B144" s="1"/>
      <c r="J144" s="2"/>
      <c r="BD144" s="1"/>
    </row>
    <row r="145" spans="2:56" x14ac:dyDescent="0.3">
      <c r="B145" s="1"/>
      <c r="J145" s="2"/>
      <c r="BD145" s="1"/>
    </row>
    <row r="146" spans="2:56" x14ac:dyDescent="0.3">
      <c r="B146" s="1"/>
      <c r="J146" s="2"/>
      <c r="BD146" s="1"/>
    </row>
    <row r="147" spans="2:56" x14ac:dyDescent="0.3">
      <c r="B147" s="1"/>
      <c r="J147" s="2"/>
      <c r="BD147" s="1"/>
    </row>
    <row r="148" spans="2:56" x14ac:dyDescent="0.3">
      <c r="B148" s="1"/>
      <c r="J148" s="2"/>
      <c r="BD148" s="1"/>
    </row>
    <row r="149" spans="2:56" x14ac:dyDescent="0.3">
      <c r="B149" s="1"/>
      <c r="J149" s="2"/>
      <c r="BD149" s="1"/>
    </row>
    <row r="150" spans="2:56" x14ac:dyDescent="0.3">
      <c r="B150" s="1"/>
      <c r="J150" s="2"/>
      <c r="BD150" s="1"/>
    </row>
    <row r="151" spans="2:56" x14ac:dyDescent="0.3">
      <c r="B151" s="1"/>
      <c r="J151" s="2"/>
      <c r="BD151" s="1"/>
    </row>
    <row r="152" spans="2:56" x14ac:dyDescent="0.3">
      <c r="B152" s="1"/>
      <c r="J152" s="2"/>
      <c r="BD152" s="1"/>
    </row>
    <row r="153" spans="2:56" x14ac:dyDescent="0.3">
      <c r="B153" s="1"/>
      <c r="J153" s="2"/>
      <c r="BD153" s="1"/>
    </row>
    <row r="154" spans="2:56" x14ac:dyDescent="0.3">
      <c r="B154" s="1"/>
      <c r="J154" s="2"/>
      <c r="BD154" s="1"/>
    </row>
    <row r="155" spans="2:56" x14ac:dyDescent="0.3">
      <c r="B155" s="1"/>
      <c r="J155" s="2"/>
      <c r="BD155" s="1"/>
    </row>
    <row r="156" spans="2:56" x14ac:dyDescent="0.3">
      <c r="B156" s="1"/>
      <c r="J156" s="2"/>
      <c r="BD156" s="1"/>
    </row>
    <row r="157" spans="2:56" x14ac:dyDescent="0.3">
      <c r="B157" s="1"/>
      <c r="J157" s="2"/>
      <c r="BD157" s="1"/>
    </row>
    <row r="158" spans="2:56" x14ac:dyDescent="0.3">
      <c r="B158" s="1"/>
      <c r="J158" s="2"/>
      <c r="BD158" s="1"/>
    </row>
    <row r="159" spans="2:56" x14ac:dyDescent="0.3">
      <c r="B159" s="1"/>
      <c r="J159" s="2"/>
      <c r="BD159" s="1"/>
    </row>
    <row r="160" spans="2:56" x14ac:dyDescent="0.3">
      <c r="B160" s="1"/>
      <c r="J160" s="2"/>
      <c r="BD160" s="1"/>
    </row>
    <row r="161" spans="2:56" x14ac:dyDescent="0.3">
      <c r="B161" s="1"/>
      <c r="J161" s="2"/>
      <c r="BD161" s="1"/>
    </row>
    <row r="162" spans="2:56" x14ac:dyDescent="0.3">
      <c r="B162" s="1"/>
      <c r="J162" s="2"/>
      <c r="AP162" s="1"/>
      <c r="BD162" s="1"/>
    </row>
    <row r="163" spans="2:56" x14ac:dyDescent="0.3">
      <c r="B163" s="1"/>
      <c r="J163" s="2"/>
      <c r="BD163" s="1"/>
    </row>
    <row r="164" spans="2:56" x14ac:dyDescent="0.3">
      <c r="B164" s="1"/>
      <c r="J164" s="2"/>
      <c r="BD164" s="1"/>
    </row>
    <row r="165" spans="2:56" x14ac:dyDescent="0.3">
      <c r="B165" s="1"/>
      <c r="J165" s="2"/>
      <c r="BD165" s="1"/>
    </row>
    <row r="166" spans="2:56" x14ac:dyDescent="0.3">
      <c r="B166" s="1"/>
      <c r="J166" s="2"/>
      <c r="BD166" s="1"/>
    </row>
    <row r="167" spans="2:56" x14ac:dyDescent="0.3">
      <c r="B167" s="1"/>
      <c r="J167" s="2"/>
      <c r="BD167" s="1"/>
    </row>
    <row r="168" spans="2:56" x14ac:dyDescent="0.3">
      <c r="B168" s="1"/>
      <c r="J168" s="2"/>
      <c r="BD168" s="1"/>
    </row>
    <row r="169" spans="2:56" x14ac:dyDescent="0.3">
      <c r="B169" s="1"/>
      <c r="J169" s="2"/>
      <c r="BD169" s="1"/>
    </row>
    <row r="170" spans="2:56" x14ac:dyDescent="0.3">
      <c r="B170" s="1"/>
      <c r="J170" s="2"/>
      <c r="BD170" s="1"/>
    </row>
    <row r="171" spans="2:56" x14ac:dyDescent="0.3">
      <c r="B171" s="1"/>
      <c r="J171" s="2"/>
      <c r="BD171" s="1"/>
    </row>
    <row r="172" spans="2:56" x14ac:dyDescent="0.3">
      <c r="B172" s="1"/>
      <c r="J172" s="2"/>
      <c r="BD172" s="1"/>
    </row>
    <row r="173" spans="2:56" x14ac:dyDescent="0.3">
      <c r="B173" s="1"/>
      <c r="J173" s="2"/>
      <c r="BD173" s="1"/>
    </row>
    <row r="174" spans="2:56" x14ac:dyDescent="0.3">
      <c r="B174" s="1"/>
      <c r="J174" s="2"/>
      <c r="BD174" s="1"/>
    </row>
    <row r="175" spans="2:56" x14ac:dyDescent="0.3">
      <c r="B175" s="1"/>
      <c r="J175" s="2"/>
      <c r="BD175" s="1"/>
    </row>
    <row r="176" spans="2:56" x14ac:dyDescent="0.3">
      <c r="B176" s="1"/>
      <c r="J176" s="2"/>
      <c r="BD176" s="1"/>
    </row>
    <row r="177" spans="2:56" x14ac:dyDescent="0.3">
      <c r="B177" s="1"/>
      <c r="J177" s="2"/>
      <c r="BD177" s="1"/>
    </row>
    <row r="178" spans="2:56" x14ac:dyDescent="0.3">
      <c r="B178" s="1"/>
      <c r="J178" s="2"/>
      <c r="BD178" s="1"/>
    </row>
    <row r="179" spans="2:56" x14ac:dyDescent="0.3">
      <c r="B179" s="1"/>
      <c r="J179" s="2"/>
      <c r="BD179" s="1"/>
    </row>
    <row r="180" spans="2:56" x14ac:dyDescent="0.3">
      <c r="B180" s="1"/>
      <c r="J180" s="2"/>
      <c r="BD180" s="1"/>
    </row>
    <row r="181" spans="2:56" x14ac:dyDescent="0.3">
      <c r="B181" s="1"/>
      <c r="J181" s="2"/>
      <c r="BD181" s="1"/>
    </row>
    <row r="182" spans="2:56" x14ac:dyDescent="0.3">
      <c r="B182" s="1"/>
      <c r="J182" s="2"/>
      <c r="BD182" s="1"/>
    </row>
    <row r="183" spans="2:56" x14ac:dyDescent="0.3">
      <c r="B183" s="1"/>
      <c r="J183" s="2"/>
      <c r="BD183" s="1"/>
    </row>
    <row r="184" spans="2:56" x14ac:dyDescent="0.3">
      <c r="B184" s="1"/>
      <c r="J184" s="2"/>
      <c r="BD184" s="1"/>
    </row>
    <row r="185" spans="2:56" x14ac:dyDescent="0.3">
      <c r="B185" s="1"/>
      <c r="J185" s="2"/>
      <c r="BD185" s="1"/>
    </row>
    <row r="186" spans="2:56" x14ac:dyDescent="0.3">
      <c r="B186" s="1"/>
      <c r="J186" s="2"/>
      <c r="BD186" s="1"/>
    </row>
    <row r="187" spans="2:56" x14ac:dyDescent="0.3">
      <c r="B187" s="1"/>
      <c r="J187" s="2"/>
      <c r="BD187" s="1"/>
    </row>
    <row r="188" spans="2:56" x14ac:dyDescent="0.3">
      <c r="B188" s="1"/>
      <c r="J188" s="2"/>
      <c r="BD188" s="1"/>
    </row>
    <row r="189" spans="2:56" x14ac:dyDescent="0.3">
      <c r="B189" s="1"/>
      <c r="J189" s="2"/>
      <c r="BD189" s="1"/>
    </row>
    <row r="190" spans="2:56" x14ac:dyDescent="0.3">
      <c r="B190" s="1"/>
      <c r="J190" s="2"/>
      <c r="BD190" s="1"/>
    </row>
    <row r="191" spans="2:56" x14ac:dyDescent="0.3">
      <c r="B191" s="1"/>
      <c r="J191" s="2"/>
      <c r="BD191" s="1"/>
    </row>
    <row r="192" spans="2:56" x14ac:dyDescent="0.3">
      <c r="B192" s="1"/>
      <c r="J192" s="2"/>
      <c r="BD192" s="1"/>
    </row>
    <row r="193" spans="2:56" x14ac:dyDescent="0.3">
      <c r="B193" s="1"/>
      <c r="J193" s="2"/>
      <c r="BD193" s="1"/>
    </row>
    <row r="194" spans="2:56" x14ac:dyDescent="0.3">
      <c r="B194" s="1"/>
      <c r="J194" s="2"/>
      <c r="BD194" s="1"/>
    </row>
    <row r="195" spans="2:56" x14ac:dyDescent="0.3">
      <c r="B195" s="1"/>
      <c r="J195" s="2"/>
      <c r="BD195" s="1"/>
    </row>
    <row r="196" spans="2:56" x14ac:dyDescent="0.3">
      <c r="B196" s="1"/>
      <c r="J196" s="2"/>
      <c r="BD196" s="1"/>
    </row>
    <row r="197" spans="2:56" x14ac:dyDescent="0.3">
      <c r="B197" s="1"/>
      <c r="J197" s="2"/>
      <c r="BD197" s="1"/>
    </row>
    <row r="198" spans="2:56" x14ac:dyDescent="0.3">
      <c r="B198" s="1"/>
      <c r="J198" s="2"/>
      <c r="BD198" s="1"/>
    </row>
    <row r="199" spans="2:56" x14ac:dyDescent="0.3">
      <c r="B199" s="1"/>
      <c r="J199" s="2"/>
      <c r="BD199" s="1"/>
    </row>
    <row r="200" spans="2:56" x14ac:dyDescent="0.3">
      <c r="B200" s="1"/>
      <c r="J200" s="2"/>
      <c r="BD200" s="1"/>
    </row>
    <row r="201" spans="2:56" x14ac:dyDescent="0.3">
      <c r="B201" s="1"/>
      <c r="J201" s="2"/>
      <c r="BD201" s="1"/>
    </row>
    <row r="202" spans="2:56" x14ac:dyDescent="0.3">
      <c r="B202" s="1"/>
      <c r="J202" s="2"/>
      <c r="BD202" s="1"/>
    </row>
    <row r="203" spans="2:56" x14ac:dyDescent="0.3">
      <c r="B203" s="1"/>
      <c r="J203" s="2"/>
      <c r="AP203" s="1"/>
      <c r="BD203" s="1"/>
    </row>
    <row r="204" spans="2:56" x14ac:dyDescent="0.3">
      <c r="B204" s="1"/>
      <c r="J204" s="2"/>
      <c r="BD204" s="1"/>
    </row>
    <row r="205" spans="2:56" x14ac:dyDescent="0.3">
      <c r="B205" s="1"/>
      <c r="J205" s="2"/>
      <c r="BD205" s="1"/>
    </row>
    <row r="206" spans="2:56" x14ac:dyDescent="0.3">
      <c r="B206" s="1"/>
      <c r="J206" s="2"/>
      <c r="BD206" s="1"/>
    </row>
    <row r="207" spans="2:56" x14ac:dyDescent="0.3">
      <c r="B207" s="1"/>
      <c r="J207" s="2"/>
      <c r="BD207" s="1"/>
    </row>
    <row r="208" spans="2:56" x14ac:dyDescent="0.3">
      <c r="B208" s="1"/>
      <c r="J208" s="2"/>
      <c r="BD208" s="1"/>
    </row>
    <row r="209" spans="2:56" x14ac:dyDescent="0.3">
      <c r="B209" s="1"/>
      <c r="J209" s="2"/>
      <c r="BD209" s="1"/>
    </row>
    <row r="210" spans="2:56" x14ac:dyDescent="0.3">
      <c r="B210" s="1"/>
      <c r="J210" s="2"/>
      <c r="BD210" s="1"/>
    </row>
    <row r="211" spans="2:56" x14ac:dyDescent="0.3">
      <c r="B211" s="1"/>
      <c r="J211" s="2"/>
      <c r="BD211" s="1"/>
    </row>
    <row r="212" spans="2:56" x14ac:dyDescent="0.3">
      <c r="B212" s="1"/>
      <c r="J212" s="2"/>
      <c r="BD212" s="1"/>
    </row>
    <row r="213" spans="2:56" x14ac:dyDescent="0.3">
      <c r="B213" s="1"/>
      <c r="J213" s="2"/>
      <c r="BD213" s="1"/>
    </row>
    <row r="214" spans="2:56" x14ac:dyDescent="0.3">
      <c r="B214" s="1"/>
      <c r="J214" s="2"/>
      <c r="AP214" s="1"/>
      <c r="BD214" s="1"/>
    </row>
    <row r="215" spans="2:56" x14ac:dyDescent="0.3">
      <c r="B215" s="1"/>
      <c r="J215" s="2"/>
      <c r="BD215" s="1"/>
    </row>
    <row r="216" spans="2:56" x14ac:dyDescent="0.3">
      <c r="B216" s="1"/>
      <c r="J216" s="2"/>
      <c r="AP216" s="1"/>
      <c r="BD216" s="1"/>
    </row>
    <row r="217" spans="2:56" x14ac:dyDescent="0.3">
      <c r="B217" s="1"/>
      <c r="J217" s="2"/>
      <c r="BD217" s="1"/>
    </row>
    <row r="218" spans="2:56" x14ac:dyDescent="0.3">
      <c r="B218" s="1"/>
      <c r="J218" s="2"/>
      <c r="AP218" s="1"/>
      <c r="BD218" s="1"/>
    </row>
    <row r="219" spans="2:56" x14ac:dyDescent="0.3">
      <c r="B219" s="1"/>
      <c r="J219" s="2"/>
      <c r="BD219" s="1"/>
    </row>
    <row r="220" spans="2:56" x14ac:dyDescent="0.3">
      <c r="B220" s="1"/>
      <c r="J220" s="2"/>
      <c r="BD220" s="1"/>
    </row>
    <row r="221" spans="2:56" x14ac:dyDescent="0.3">
      <c r="B221" s="1"/>
      <c r="J221" s="2"/>
      <c r="BD221" s="1"/>
    </row>
    <row r="222" spans="2:56" x14ac:dyDescent="0.3">
      <c r="B222" s="1"/>
      <c r="J222" s="2"/>
      <c r="AP222" s="1"/>
      <c r="BD222" s="1"/>
    </row>
    <row r="223" spans="2:56" x14ac:dyDescent="0.3">
      <c r="B223" s="1"/>
      <c r="J223" s="2"/>
      <c r="BD223" s="1"/>
    </row>
    <row r="224" spans="2:56" x14ac:dyDescent="0.3">
      <c r="B224" s="1"/>
      <c r="J224" s="2"/>
      <c r="BD224" s="1"/>
    </row>
    <row r="225" spans="2:56" x14ac:dyDescent="0.3">
      <c r="B225" s="1"/>
      <c r="J225" s="2"/>
      <c r="BD225" s="1"/>
    </row>
    <row r="226" spans="2:56" x14ac:dyDescent="0.3">
      <c r="B226" s="1"/>
      <c r="J226" s="2"/>
      <c r="BD226" s="1"/>
    </row>
    <row r="227" spans="2:56" x14ac:dyDescent="0.3">
      <c r="B227" s="1"/>
      <c r="J227" s="2"/>
      <c r="BD227" s="1"/>
    </row>
    <row r="228" spans="2:56" x14ac:dyDescent="0.3">
      <c r="B228" s="1"/>
      <c r="J228" s="2"/>
      <c r="BD228" s="1"/>
    </row>
    <row r="229" spans="2:56" x14ac:dyDescent="0.3">
      <c r="B229" s="1"/>
      <c r="J229" s="2"/>
      <c r="BD229" s="1"/>
    </row>
    <row r="230" spans="2:56" x14ac:dyDescent="0.3">
      <c r="B230" s="1"/>
      <c r="J230" s="2"/>
      <c r="BD230" s="1"/>
    </row>
    <row r="231" spans="2:56" x14ac:dyDescent="0.3">
      <c r="B231" s="1"/>
      <c r="J231" s="2"/>
      <c r="BD231" s="1"/>
    </row>
    <row r="232" spans="2:56" x14ac:dyDescent="0.3">
      <c r="B232" s="1"/>
      <c r="J232" s="2"/>
      <c r="BD232" s="1"/>
    </row>
    <row r="233" spans="2:56" x14ac:dyDescent="0.3">
      <c r="B233" s="1"/>
      <c r="J233" s="2"/>
      <c r="BD233" s="1"/>
    </row>
    <row r="234" spans="2:56" x14ac:dyDescent="0.3">
      <c r="B234" s="1"/>
      <c r="J234" s="2"/>
      <c r="BD234" s="1"/>
    </row>
    <row r="235" spans="2:56" x14ac:dyDescent="0.3">
      <c r="B235" s="1"/>
      <c r="J235" s="2"/>
      <c r="BD235" s="1"/>
    </row>
    <row r="236" spans="2:56" x14ac:dyDescent="0.3">
      <c r="B236" s="1"/>
      <c r="J236" s="2"/>
      <c r="BD236" s="1"/>
    </row>
    <row r="237" spans="2:56" x14ac:dyDescent="0.3">
      <c r="B237" s="1"/>
      <c r="J237" s="2"/>
      <c r="BD237" s="1"/>
    </row>
    <row r="238" spans="2:56" x14ac:dyDescent="0.3">
      <c r="B238" s="1"/>
      <c r="J238" s="2"/>
      <c r="BD238" s="1"/>
    </row>
    <row r="239" spans="2:56" x14ac:dyDescent="0.3">
      <c r="B239" s="1"/>
      <c r="J239" s="2"/>
      <c r="BD239" s="1"/>
    </row>
    <row r="240" spans="2:56" x14ac:dyDescent="0.3">
      <c r="B240" s="1"/>
      <c r="J240" s="2"/>
      <c r="BD240" s="1"/>
    </row>
    <row r="241" spans="2:56" x14ac:dyDescent="0.3">
      <c r="B241" s="1"/>
      <c r="J241" s="2"/>
      <c r="BD241" s="1"/>
    </row>
    <row r="242" spans="2:56" x14ac:dyDescent="0.3">
      <c r="B242" s="1"/>
      <c r="J242" s="2"/>
      <c r="BD242" s="1"/>
    </row>
    <row r="243" spans="2:56" x14ac:dyDescent="0.3">
      <c r="B243" s="1"/>
      <c r="J243" s="2"/>
      <c r="BD243" s="1"/>
    </row>
    <row r="244" spans="2:56" x14ac:dyDescent="0.3">
      <c r="B244" s="1"/>
      <c r="J244" s="2"/>
      <c r="BD244" s="1"/>
    </row>
    <row r="245" spans="2:56" x14ac:dyDescent="0.3">
      <c r="B245" s="1"/>
      <c r="J245" s="2"/>
      <c r="BD245" s="1"/>
    </row>
    <row r="246" spans="2:56" x14ac:dyDescent="0.3">
      <c r="B246" s="1"/>
      <c r="J246" s="2"/>
      <c r="BD246" s="1"/>
    </row>
    <row r="247" spans="2:56" x14ac:dyDescent="0.3">
      <c r="B247" s="1"/>
      <c r="J247" s="2"/>
      <c r="BD247" s="1"/>
    </row>
    <row r="248" spans="2:56" x14ac:dyDescent="0.3">
      <c r="B248" s="1"/>
      <c r="J248" s="2"/>
      <c r="BD248" s="1"/>
    </row>
    <row r="249" spans="2:56" x14ac:dyDescent="0.3">
      <c r="B249" s="1"/>
      <c r="J249" s="2"/>
      <c r="BD249" s="1"/>
    </row>
    <row r="250" spans="2:56" x14ac:dyDescent="0.3">
      <c r="B250" s="1"/>
      <c r="J250" s="2"/>
      <c r="BD250" s="1"/>
    </row>
    <row r="251" spans="2:56" x14ac:dyDescent="0.3">
      <c r="B251" s="1"/>
      <c r="J251" s="2"/>
      <c r="BD251" s="1"/>
    </row>
    <row r="252" spans="2:56" x14ac:dyDescent="0.3">
      <c r="B252" s="1"/>
      <c r="J252" s="2"/>
      <c r="BD252" s="1"/>
    </row>
    <row r="253" spans="2:56" x14ac:dyDescent="0.3">
      <c r="B253" s="1"/>
      <c r="J253" s="2"/>
      <c r="BD253" s="1"/>
    </row>
    <row r="254" spans="2:56" x14ac:dyDescent="0.3">
      <c r="B254" s="1"/>
      <c r="J254" s="2"/>
      <c r="BD254" s="1"/>
    </row>
    <row r="255" spans="2:56" x14ac:dyDescent="0.3">
      <c r="B255" s="1"/>
      <c r="J255" s="2"/>
      <c r="BD255" s="1"/>
    </row>
    <row r="256" spans="2:56" x14ac:dyDescent="0.3">
      <c r="B256" s="1"/>
      <c r="J256" s="2"/>
      <c r="AP256" s="1"/>
      <c r="BD256" s="1"/>
    </row>
    <row r="257" spans="2:56" x14ac:dyDescent="0.3">
      <c r="B257" s="1"/>
      <c r="J257" s="2"/>
      <c r="AP257" s="1"/>
      <c r="BD257" s="1"/>
    </row>
    <row r="258" spans="2:56" x14ac:dyDescent="0.3">
      <c r="B258" s="1"/>
      <c r="J258" s="2"/>
      <c r="AN258" s="1"/>
      <c r="AO258" s="1"/>
      <c r="AP258" s="1"/>
      <c r="BD258" s="1"/>
    </row>
    <row r="259" spans="2:56" x14ac:dyDescent="0.3">
      <c r="B259" s="1"/>
      <c r="J259" s="2"/>
      <c r="AP259" s="1"/>
      <c r="BD259" s="1"/>
    </row>
    <row r="260" spans="2:56" x14ac:dyDescent="0.3">
      <c r="B260" s="1"/>
      <c r="J260" s="2"/>
      <c r="AP260" s="1"/>
      <c r="BD260" s="1"/>
    </row>
    <row r="261" spans="2:56" x14ac:dyDescent="0.3">
      <c r="B261" s="1"/>
      <c r="J261" s="2"/>
      <c r="AO261" s="1"/>
      <c r="AP261" s="1"/>
      <c r="BD261" s="1"/>
    </row>
    <row r="262" spans="2:56" x14ac:dyDescent="0.3">
      <c r="B262" s="1"/>
      <c r="J262" s="2"/>
      <c r="AP262" s="1"/>
      <c r="BD262" s="1"/>
    </row>
    <row r="263" spans="2:56" x14ac:dyDescent="0.3">
      <c r="B263" s="1"/>
      <c r="J263" s="2"/>
      <c r="BD263" s="1"/>
    </row>
    <row r="264" spans="2:56" x14ac:dyDescent="0.3">
      <c r="B264" s="1"/>
      <c r="J264" s="2"/>
      <c r="BD264" s="1"/>
    </row>
    <row r="265" spans="2:56" x14ac:dyDescent="0.3">
      <c r="B265" s="1"/>
      <c r="J265" s="2"/>
      <c r="BD265" s="1"/>
    </row>
    <row r="266" spans="2:56" x14ac:dyDescent="0.3">
      <c r="B266" s="1"/>
      <c r="J266" s="2"/>
      <c r="BD266" s="1"/>
    </row>
    <row r="267" spans="2:56" x14ac:dyDescent="0.3">
      <c r="B267" s="1"/>
      <c r="J267" s="2"/>
      <c r="BD267" s="1"/>
    </row>
    <row r="268" spans="2:56" x14ac:dyDescent="0.3">
      <c r="B268" s="1"/>
      <c r="J268" s="2"/>
      <c r="BD268" s="1"/>
    </row>
    <row r="269" spans="2:56" x14ac:dyDescent="0.3">
      <c r="B269" s="1"/>
      <c r="J269" s="2"/>
      <c r="BD269" s="1"/>
    </row>
    <row r="270" spans="2:56" x14ac:dyDescent="0.3">
      <c r="B270" s="1"/>
      <c r="J270" s="2"/>
      <c r="BD270" s="1"/>
    </row>
    <row r="271" spans="2:56" x14ac:dyDescent="0.3">
      <c r="B271" s="1"/>
      <c r="J271" s="2"/>
      <c r="BD271" s="1"/>
    </row>
    <row r="272" spans="2:56" x14ac:dyDescent="0.3">
      <c r="B272" s="1"/>
      <c r="J272" s="2"/>
      <c r="BD272" s="1"/>
    </row>
    <row r="273" spans="2:56" x14ac:dyDescent="0.3">
      <c r="B273" s="1"/>
      <c r="J273" s="2"/>
      <c r="AP273" s="1"/>
      <c r="BD273" s="1"/>
    </row>
    <row r="274" spans="2:56" x14ac:dyDescent="0.3">
      <c r="B274" s="1"/>
      <c r="J274" s="2"/>
      <c r="AP274" s="1"/>
      <c r="BD274" s="1"/>
    </row>
    <row r="275" spans="2:56" x14ac:dyDescent="0.3">
      <c r="B275" s="1"/>
      <c r="J275" s="2"/>
      <c r="BD275" s="1"/>
    </row>
    <row r="276" spans="2:56" x14ac:dyDescent="0.3">
      <c r="B276" s="1"/>
      <c r="J276" s="2"/>
      <c r="BD276" s="1"/>
    </row>
    <row r="277" spans="2:56" x14ac:dyDescent="0.3">
      <c r="B277" s="1"/>
      <c r="J277" s="2"/>
      <c r="AN277" s="1"/>
      <c r="AO277" s="1"/>
      <c r="AP277" s="1"/>
      <c r="BD277" s="1"/>
    </row>
    <row r="278" spans="2:56" x14ac:dyDescent="0.3">
      <c r="B278" s="1"/>
      <c r="J278" s="2"/>
      <c r="AP278" s="1"/>
      <c r="BD278" s="1"/>
    </row>
    <row r="279" spans="2:56" x14ac:dyDescent="0.3">
      <c r="B279" s="1"/>
      <c r="J279" s="2"/>
      <c r="BD279" s="1"/>
    </row>
    <row r="280" spans="2:56" x14ac:dyDescent="0.3">
      <c r="B280" s="1"/>
      <c r="J280" s="2"/>
      <c r="BD280" s="1"/>
    </row>
    <row r="281" spans="2:56" x14ac:dyDescent="0.3">
      <c r="B281" s="1"/>
      <c r="J281" s="2"/>
      <c r="BD281" s="1"/>
    </row>
    <row r="282" spans="2:56" x14ac:dyDescent="0.3">
      <c r="B282" s="1"/>
      <c r="J282" s="2"/>
      <c r="BD282" s="1"/>
    </row>
    <row r="283" spans="2:56" x14ac:dyDescent="0.3">
      <c r="B283" s="1"/>
      <c r="J283" s="2"/>
      <c r="BD283" s="1"/>
    </row>
    <row r="284" spans="2:56" x14ac:dyDescent="0.3">
      <c r="B284" s="1"/>
      <c r="J284" s="2"/>
      <c r="BD284" s="1"/>
    </row>
    <row r="285" spans="2:56" x14ac:dyDescent="0.3">
      <c r="B285" s="1"/>
      <c r="J285" s="2"/>
      <c r="BD285" s="1"/>
    </row>
    <row r="286" spans="2:56" x14ac:dyDescent="0.3">
      <c r="B286" s="1"/>
      <c r="J286" s="2"/>
      <c r="BD286" s="1"/>
    </row>
    <row r="287" spans="2:56" x14ac:dyDescent="0.3">
      <c r="B287" s="1"/>
      <c r="J287" s="2"/>
      <c r="BD287" s="1"/>
    </row>
    <row r="288" spans="2:56" x14ac:dyDescent="0.3">
      <c r="B288" s="1"/>
      <c r="J288" s="2"/>
      <c r="BD288" s="1"/>
    </row>
    <row r="289" spans="2:56" x14ac:dyDescent="0.3">
      <c r="B289" s="1"/>
      <c r="J289" s="2"/>
      <c r="BD289" s="1"/>
    </row>
    <row r="290" spans="2:56" x14ac:dyDescent="0.3">
      <c r="B290" s="1"/>
      <c r="J290" s="2"/>
      <c r="BD290" s="1"/>
    </row>
    <row r="291" spans="2:56" x14ac:dyDescent="0.3">
      <c r="B291" s="1"/>
      <c r="J291" s="2"/>
      <c r="BD291" s="1"/>
    </row>
    <row r="292" spans="2:56" x14ac:dyDescent="0.3">
      <c r="B292" s="1"/>
      <c r="J292" s="2"/>
      <c r="BD292" s="1"/>
    </row>
    <row r="293" spans="2:56" x14ac:dyDescent="0.3">
      <c r="B293" s="1"/>
      <c r="J293" s="2"/>
      <c r="BD293" s="1"/>
    </row>
    <row r="294" spans="2:56" x14ac:dyDescent="0.3">
      <c r="B294" s="1"/>
      <c r="J294" s="2"/>
      <c r="BD294" s="1"/>
    </row>
    <row r="295" spans="2:56" x14ac:dyDescent="0.3">
      <c r="B295" s="1"/>
      <c r="J295" s="2"/>
      <c r="BD295" s="1"/>
    </row>
    <row r="296" spans="2:56" x14ac:dyDescent="0.3">
      <c r="B296" s="1"/>
      <c r="J296" s="2"/>
      <c r="BD296" s="1"/>
    </row>
    <row r="297" spans="2:56" x14ac:dyDescent="0.3">
      <c r="B297" s="1"/>
      <c r="J297" s="2"/>
      <c r="BD297" s="1"/>
    </row>
    <row r="298" spans="2:56" x14ac:dyDescent="0.3">
      <c r="B298" s="1"/>
      <c r="J298" s="2"/>
      <c r="BD298" s="1"/>
    </row>
    <row r="299" spans="2:56" x14ac:dyDescent="0.3">
      <c r="B299" s="1"/>
      <c r="J299" s="2"/>
      <c r="BD299" s="1"/>
    </row>
    <row r="300" spans="2:56" x14ac:dyDescent="0.3">
      <c r="B300" s="1"/>
      <c r="J300" s="2"/>
      <c r="BD300" s="1"/>
    </row>
    <row r="301" spans="2:56" x14ac:dyDescent="0.3">
      <c r="B301" s="1"/>
      <c r="J301" s="2"/>
      <c r="BD301" s="1"/>
    </row>
    <row r="302" spans="2:56" x14ac:dyDescent="0.3">
      <c r="B302" s="1"/>
      <c r="J302" s="2"/>
      <c r="BD302" s="1"/>
    </row>
    <row r="303" spans="2:56" x14ac:dyDescent="0.3">
      <c r="B303" s="1"/>
      <c r="J303" s="2"/>
      <c r="BD303" s="1"/>
    </row>
    <row r="304" spans="2:56" x14ac:dyDescent="0.3">
      <c r="B304" s="1"/>
      <c r="J304" s="2"/>
      <c r="BD304" s="1"/>
    </row>
    <row r="305" spans="2:56" x14ac:dyDescent="0.3">
      <c r="B305" s="1"/>
      <c r="J305" s="2"/>
      <c r="BD305" s="1"/>
    </row>
    <row r="306" spans="2:56" x14ac:dyDescent="0.3">
      <c r="B306" s="1"/>
      <c r="J306" s="2"/>
      <c r="BD306" s="1"/>
    </row>
    <row r="307" spans="2:56" x14ac:dyDescent="0.3">
      <c r="B307" s="1"/>
      <c r="J307" s="2"/>
      <c r="BD307" s="1"/>
    </row>
    <row r="308" spans="2:56" x14ac:dyDescent="0.3">
      <c r="B308" s="1"/>
      <c r="J308" s="2"/>
      <c r="BD308" s="1"/>
    </row>
    <row r="309" spans="2:56" x14ac:dyDescent="0.3">
      <c r="B309" s="1"/>
      <c r="J309" s="2"/>
      <c r="BD309" s="1"/>
    </row>
    <row r="310" spans="2:56" x14ac:dyDescent="0.3">
      <c r="B310" s="1"/>
      <c r="J310" s="2"/>
      <c r="BD310" s="1"/>
    </row>
    <row r="311" spans="2:56" x14ac:dyDescent="0.3">
      <c r="B311" s="1"/>
      <c r="J311" s="2"/>
      <c r="BD311" s="1"/>
    </row>
    <row r="312" spans="2:56" x14ac:dyDescent="0.3">
      <c r="B312" s="1"/>
      <c r="J312" s="2"/>
      <c r="BD312" s="1"/>
    </row>
    <row r="313" spans="2:56" x14ac:dyDescent="0.3">
      <c r="B313" s="1"/>
      <c r="J313" s="2"/>
      <c r="BD313" s="1"/>
    </row>
    <row r="314" spans="2:56" x14ac:dyDescent="0.3">
      <c r="B314" s="1"/>
      <c r="J314" s="2"/>
      <c r="BD314" s="1"/>
    </row>
    <row r="315" spans="2:56" x14ac:dyDescent="0.3">
      <c r="B315" s="1"/>
      <c r="J315" s="2"/>
      <c r="BD315" s="1"/>
    </row>
    <row r="316" spans="2:56" x14ac:dyDescent="0.3">
      <c r="B316" s="1"/>
      <c r="J316" s="2"/>
      <c r="BD316" s="1"/>
    </row>
    <row r="317" spans="2:56" x14ac:dyDescent="0.3">
      <c r="B317" s="1"/>
      <c r="J317" s="2"/>
      <c r="BD317" s="1"/>
    </row>
    <row r="318" spans="2:56" x14ac:dyDescent="0.3">
      <c r="B318" s="1"/>
      <c r="J318" s="2"/>
      <c r="AN318" s="1"/>
      <c r="AO318" s="1"/>
      <c r="AP318" s="1"/>
      <c r="BD318" s="1"/>
    </row>
    <row r="319" spans="2:56" x14ac:dyDescent="0.3">
      <c r="B319" s="1"/>
      <c r="J319" s="2"/>
      <c r="AN319" s="1"/>
      <c r="AO319" s="1"/>
      <c r="AP319" s="1"/>
      <c r="BD319" s="1"/>
    </row>
    <row r="320" spans="2:56" x14ac:dyDescent="0.3">
      <c r="B320" s="1"/>
      <c r="J320" s="2"/>
      <c r="BD320" s="1"/>
    </row>
    <row r="321" spans="2:56" x14ac:dyDescent="0.3">
      <c r="B321" s="1"/>
      <c r="J321" s="2"/>
      <c r="BD321" s="1"/>
    </row>
    <row r="322" spans="2:56" x14ac:dyDescent="0.3">
      <c r="B322" s="1"/>
      <c r="J322" s="2"/>
      <c r="BD322" s="1"/>
    </row>
    <row r="323" spans="2:56" x14ac:dyDescent="0.3">
      <c r="B323" s="1"/>
      <c r="J323" s="2"/>
      <c r="BD323" s="1"/>
    </row>
    <row r="324" spans="2:56" x14ac:dyDescent="0.3">
      <c r="B324" s="1"/>
      <c r="J324" s="2"/>
      <c r="BD324" s="1"/>
    </row>
    <row r="325" spans="2:56" x14ac:dyDescent="0.3">
      <c r="B325" s="1"/>
      <c r="J325" s="2"/>
      <c r="BD325" s="1"/>
    </row>
    <row r="326" spans="2:56" x14ac:dyDescent="0.3">
      <c r="B326" s="1"/>
      <c r="J326" s="2"/>
      <c r="BD326" s="1"/>
    </row>
    <row r="327" spans="2:56" x14ac:dyDescent="0.3">
      <c r="B327" s="1"/>
      <c r="J327" s="2"/>
      <c r="BD327" s="1"/>
    </row>
    <row r="328" spans="2:56" x14ac:dyDescent="0.3">
      <c r="B328" s="1"/>
      <c r="J328" s="2"/>
      <c r="BD328" s="1"/>
    </row>
    <row r="329" spans="2:56" x14ac:dyDescent="0.3">
      <c r="B329" s="1"/>
      <c r="J329" s="2"/>
      <c r="BD329" s="1"/>
    </row>
    <row r="330" spans="2:56" x14ac:dyDescent="0.3">
      <c r="B330" s="1"/>
      <c r="J330" s="2"/>
      <c r="BD330" s="1"/>
    </row>
    <row r="331" spans="2:56" x14ac:dyDescent="0.3">
      <c r="B331" s="1"/>
      <c r="J331" s="2"/>
      <c r="BD331" s="1"/>
    </row>
    <row r="332" spans="2:56" x14ac:dyDescent="0.3">
      <c r="B332" s="1"/>
      <c r="J332" s="2"/>
      <c r="AN332" s="1"/>
      <c r="BD332" s="1"/>
    </row>
    <row r="333" spans="2:56" x14ac:dyDescent="0.3">
      <c r="B333" s="1"/>
      <c r="J333" s="2"/>
      <c r="BD333" s="1"/>
    </row>
    <row r="334" spans="2:56" x14ac:dyDescent="0.3">
      <c r="B334" s="1"/>
      <c r="J334" s="2"/>
      <c r="BD334" s="1"/>
    </row>
    <row r="335" spans="2:56" x14ac:dyDescent="0.3">
      <c r="B335" s="1"/>
      <c r="J335" s="2"/>
      <c r="BD335" s="1"/>
    </row>
    <row r="336" spans="2:56" x14ac:dyDescent="0.3">
      <c r="B336" s="1"/>
      <c r="J336" s="2"/>
      <c r="BD336" s="1"/>
    </row>
    <row r="337" spans="2:56" x14ac:dyDescent="0.3">
      <c r="B337" s="1"/>
      <c r="J337" s="2"/>
      <c r="BD337" s="1"/>
    </row>
    <row r="338" spans="2:56" x14ac:dyDescent="0.3">
      <c r="B338" s="1"/>
      <c r="J338" s="2"/>
      <c r="BD338" s="1"/>
    </row>
    <row r="339" spans="2:56" x14ac:dyDescent="0.3">
      <c r="B339" s="1"/>
      <c r="J339" s="2"/>
      <c r="BD339" s="1"/>
    </row>
    <row r="340" spans="2:56" x14ac:dyDescent="0.3">
      <c r="B340" s="1"/>
      <c r="J340" s="2"/>
      <c r="BD340" s="1"/>
    </row>
    <row r="341" spans="2:56" x14ac:dyDescent="0.3">
      <c r="B341" s="1"/>
      <c r="J341" s="2"/>
      <c r="BD341" s="1"/>
    </row>
    <row r="342" spans="2:56" x14ac:dyDescent="0.3">
      <c r="B342" s="1"/>
      <c r="J342" s="2"/>
      <c r="BD342" s="1"/>
    </row>
    <row r="343" spans="2:56" x14ac:dyDescent="0.3">
      <c r="B343" s="1"/>
      <c r="J343" s="2"/>
      <c r="BD343" s="1"/>
    </row>
    <row r="344" spans="2:56" x14ac:dyDescent="0.3">
      <c r="B344" s="1"/>
      <c r="J344" s="2"/>
      <c r="BD344" s="1"/>
    </row>
    <row r="345" spans="2:56" x14ac:dyDescent="0.3">
      <c r="B345" s="1"/>
      <c r="J345" s="2"/>
      <c r="BD345" s="1"/>
    </row>
    <row r="346" spans="2:56" x14ac:dyDescent="0.3">
      <c r="B346" s="1"/>
      <c r="J346" s="2"/>
      <c r="BD346" s="1"/>
    </row>
    <row r="347" spans="2:56" x14ac:dyDescent="0.3">
      <c r="B347" s="1"/>
      <c r="J347" s="2"/>
      <c r="BD347" s="1"/>
    </row>
    <row r="348" spans="2:56" x14ac:dyDescent="0.3">
      <c r="B348" s="1"/>
      <c r="J348" s="2"/>
      <c r="BD348" s="1"/>
    </row>
    <row r="349" spans="2:56" x14ac:dyDescent="0.3">
      <c r="B349" s="1"/>
      <c r="J349" s="2"/>
      <c r="BD349" s="1"/>
    </row>
    <row r="350" spans="2:56" x14ac:dyDescent="0.3">
      <c r="B350" s="1"/>
      <c r="J350" s="2"/>
      <c r="BD350" s="1"/>
    </row>
    <row r="351" spans="2:56" x14ac:dyDescent="0.3">
      <c r="B351" s="1"/>
      <c r="J351" s="2"/>
      <c r="BD351" s="1"/>
    </row>
    <row r="352" spans="2:56" x14ac:dyDescent="0.3">
      <c r="B352" s="1"/>
      <c r="J352" s="2"/>
      <c r="BD352" s="1"/>
    </row>
    <row r="353" spans="2:57" x14ac:dyDescent="0.3">
      <c r="B353" s="1"/>
      <c r="J353" s="2"/>
      <c r="BD353" s="1"/>
    </row>
    <row r="354" spans="2:57" x14ac:dyDescent="0.3">
      <c r="B354" s="1"/>
      <c r="J354" s="2"/>
      <c r="BD354" s="1"/>
    </row>
    <row r="355" spans="2:57" x14ac:dyDescent="0.3">
      <c r="B355" s="1"/>
      <c r="J355" s="2"/>
      <c r="BD355" s="1"/>
    </row>
    <row r="356" spans="2:57" x14ac:dyDescent="0.3">
      <c r="B356" s="1"/>
      <c r="J356" s="2"/>
      <c r="BD356" s="1"/>
    </row>
    <row r="357" spans="2:57" x14ac:dyDescent="0.3">
      <c r="B357" s="1"/>
      <c r="J357" s="2"/>
      <c r="BD357" s="1"/>
    </row>
    <row r="358" spans="2:57" x14ac:dyDescent="0.3">
      <c r="B358" s="1"/>
      <c r="J358" s="2"/>
      <c r="BD358" s="1"/>
    </row>
    <row r="359" spans="2:57" x14ac:dyDescent="0.3">
      <c r="B359" s="1"/>
      <c r="J359" s="2"/>
      <c r="BD359" s="1"/>
    </row>
    <row r="360" spans="2:57" x14ac:dyDescent="0.3">
      <c r="B360" s="1"/>
      <c r="J360" s="2"/>
      <c r="AU360" s="1"/>
      <c r="BE360" s="1"/>
    </row>
    <row r="361" spans="2:57" x14ac:dyDescent="0.3">
      <c r="B361" s="1"/>
      <c r="J361" s="2"/>
      <c r="AU361" s="1"/>
      <c r="BD361" s="1"/>
      <c r="BE361" s="1"/>
    </row>
    <row r="362" spans="2:57" x14ac:dyDescent="0.3">
      <c r="B362" s="1"/>
      <c r="J362" s="2"/>
      <c r="AV362" s="1"/>
      <c r="BD362" s="1"/>
    </row>
    <row r="363" spans="2:57" x14ac:dyDescent="0.3">
      <c r="B363" s="1"/>
      <c r="J363" s="2"/>
      <c r="AE363" s="1"/>
      <c r="BD363" s="1"/>
    </row>
    <row r="364" spans="2:57" x14ac:dyDescent="0.3">
      <c r="B364" s="1"/>
      <c r="J364" s="2"/>
      <c r="AE364" s="1"/>
      <c r="BD364" s="1"/>
    </row>
    <row r="365" spans="2:57" x14ac:dyDescent="0.3">
      <c r="B365" s="1"/>
      <c r="J365" s="2"/>
      <c r="AE365" s="1"/>
      <c r="BD365" s="1"/>
    </row>
    <row r="366" spans="2:57" x14ac:dyDescent="0.3">
      <c r="B366" s="1"/>
      <c r="J366" s="2"/>
      <c r="AE366" s="1"/>
      <c r="BD366" s="1"/>
    </row>
    <row r="367" spans="2:57" x14ac:dyDescent="0.3">
      <c r="B367" s="1"/>
      <c r="J367" s="2"/>
      <c r="AE367" s="1"/>
      <c r="BD367" s="1"/>
    </row>
    <row r="368" spans="2:57" x14ac:dyDescent="0.3">
      <c r="B368" s="1"/>
      <c r="J368" s="2"/>
      <c r="AE368" s="1"/>
      <c r="BD368" s="1"/>
    </row>
    <row r="369" spans="2:56" x14ac:dyDescent="0.3">
      <c r="B369" s="1"/>
      <c r="J369" s="2"/>
      <c r="AE369" s="1"/>
      <c r="BD369" s="1"/>
    </row>
    <row r="370" spans="2:56" x14ac:dyDescent="0.3">
      <c r="B370" s="1"/>
      <c r="J370" s="2"/>
      <c r="AE370" s="1"/>
      <c r="BD370" s="1"/>
    </row>
    <row r="371" spans="2:56" x14ac:dyDescent="0.3">
      <c r="B371" s="1"/>
      <c r="J371" s="2"/>
      <c r="AE371" s="1"/>
      <c r="BD371" s="1"/>
    </row>
    <row r="372" spans="2:56" x14ac:dyDescent="0.3">
      <c r="B372" s="1"/>
      <c r="J372" s="2"/>
      <c r="AE372" s="1"/>
      <c r="BD372" s="1"/>
    </row>
    <row r="373" spans="2:56" x14ac:dyDescent="0.3">
      <c r="B373" s="1"/>
      <c r="J373" s="2"/>
      <c r="AE373" s="1"/>
      <c r="BD373" s="1"/>
    </row>
    <row r="374" spans="2:56" x14ac:dyDescent="0.3">
      <c r="B374" s="1"/>
      <c r="J374" s="2"/>
      <c r="AE374" s="1"/>
      <c r="BD374" s="1"/>
    </row>
    <row r="375" spans="2:56" x14ac:dyDescent="0.3">
      <c r="B375" s="1"/>
      <c r="J375" s="2"/>
      <c r="AE375" s="1"/>
      <c r="BD375" s="1"/>
    </row>
    <row r="376" spans="2:56" x14ac:dyDescent="0.3">
      <c r="B376" s="1"/>
      <c r="J376" s="2"/>
      <c r="AE376" s="1"/>
      <c r="BD376" s="1"/>
    </row>
    <row r="377" spans="2:56" x14ac:dyDescent="0.3">
      <c r="B377" s="1"/>
      <c r="J377" s="2"/>
      <c r="AE377" s="1"/>
      <c r="BD377" s="1"/>
    </row>
    <row r="378" spans="2:56" x14ac:dyDescent="0.3">
      <c r="B378" s="1"/>
      <c r="J378" s="2"/>
      <c r="AE378" s="1"/>
      <c r="BD378" s="1"/>
    </row>
    <row r="379" spans="2:56" x14ac:dyDescent="0.3">
      <c r="B379" s="1"/>
      <c r="J379" s="2"/>
      <c r="AE379" s="1"/>
      <c r="BD379" s="1"/>
    </row>
    <row r="380" spans="2:56" x14ac:dyDescent="0.3">
      <c r="B380" s="1"/>
      <c r="J380" s="2"/>
      <c r="AE380" s="1"/>
      <c r="BD380" s="1"/>
    </row>
    <row r="381" spans="2:56" x14ac:dyDescent="0.3">
      <c r="B381" s="1"/>
      <c r="J381" s="2"/>
      <c r="AE381" s="1"/>
      <c r="BD381" s="1"/>
    </row>
    <row r="382" spans="2:56" x14ac:dyDescent="0.3">
      <c r="B382" s="1"/>
      <c r="J382" s="2"/>
      <c r="AE382" s="1"/>
      <c r="BD382" s="1"/>
    </row>
    <row r="383" spans="2:56" x14ac:dyDescent="0.3">
      <c r="B383" s="1"/>
      <c r="J383" s="2"/>
      <c r="AE383" s="1"/>
      <c r="BD383" s="1"/>
    </row>
    <row r="384" spans="2:56" x14ac:dyDescent="0.3">
      <c r="B384" s="1"/>
      <c r="J384" s="2"/>
      <c r="AE384" s="1"/>
      <c r="BD384" s="1"/>
    </row>
    <row r="385" spans="2:56" x14ac:dyDescent="0.3">
      <c r="B385" s="1"/>
      <c r="J385" s="2"/>
      <c r="AE385" s="1"/>
      <c r="BD385" s="1"/>
    </row>
    <row r="386" spans="2:56" x14ac:dyDescent="0.3">
      <c r="B386" s="1"/>
      <c r="J386" s="2"/>
      <c r="AE386" s="1"/>
      <c r="BD386" s="1"/>
    </row>
    <row r="387" spans="2:56" x14ac:dyDescent="0.3">
      <c r="B387" s="1"/>
      <c r="J387" s="2"/>
      <c r="AE387" s="1"/>
      <c r="BD387" s="1"/>
    </row>
    <row r="388" spans="2:56" x14ac:dyDescent="0.3">
      <c r="B388" s="1"/>
      <c r="J388" s="2"/>
      <c r="AE388" s="1"/>
      <c r="BD388" s="1"/>
    </row>
    <row r="389" spans="2:56" x14ac:dyDescent="0.3">
      <c r="B389" s="1"/>
      <c r="J389" s="2"/>
      <c r="AE389" s="1"/>
      <c r="BD389" s="1"/>
    </row>
    <row r="390" spans="2:56" x14ac:dyDescent="0.3">
      <c r="B390" s="1"/>
      <c r="J390" s="2"/>
      <c r="AE390" s="1"/>
      <c r="BD390" s="1"/>
    </row>
    <row r="391" spans="2:56" x14ac:dyDescent="0.3">
      <c r="B391" s="1"/>
      <c r="J391" s="2"/>
      <c r="AE391" s="1"/>
      <c r="BD391" s="1"/>
    </row>
    <row r="392" spans="2:56" x14ac:dyDescent="0.3">
      <c r="B392" s="1"/>
      <c r="J392" s="2"/>
      <c r="AE392" s="1"/>
      <c r="BD392" s="1"/>
    </row>
    <row r="393" spans="2:56" x14ac:dyDescent="0.3">
      <c r="B393" s="1"/>
      <c r="J393" s="2"/>
      <c r="AE393" s="1"/>
      <c r="BD393" s="1"/>
    </row>
    <row r="394" spans="2:56" x14ac:dyDescent="0.3">
      <c r="B394" s="1"/>
      <c r="J394" s="2"/>
      <c r="AE394" s="1"/>
      <c r="BD394" s="1"/>
    </row>
    <row r="395" spans="2:56" x14ac:dyDescent="0.3">
      <c r="B395" s="1"/>
      <c r="J395" s="2"/>
      <c r="AE395" s="1"/>
      <c r="BD395" s="1"/>
    </row>
    <row r="396" spans="2:56" x14ac:dyDescent="0.3">
      <c r="B396" s="1"/>
      <c r="J396" s="2"/>
      <c r="AE396" s="1"/>
      <c r="BD396" s="1"/>
    </row>
    <row r="397" spans="2:56" x14ac:dyDescent="0.3">
      <c r="B397" s="1"/>
      <c r="J397" s="2"/>
      <c r="AE397" s="1"/>
      <c r="BD397" s="1"/>
    </row>
    <row r="398" spans="2:56" x14ac:dyDescent="0.3">
      <c r="B398" s="1"/>
      <c r="J398" s="2"/>
      <c r="AE398" s="1"/>
      <c r="BD398" s="1"/>
    </row>
    <row r="399" spans="2:56" x14ac:dyDescent="0.3">
      <c r="B399" s="1"/>
      <c r="J399" s="2"/>
      <c r="AE399" s="1"/>
      <c r="BD399" s="1"/>
    </row>
    <row r="400" spans="2:56" x14ac:dyDescent="0.3">
      <c r="B400" s="1"/>
      <c r="J400" s="2"/>
      <c r="AE400" s="1"/>
      <c r="BD400" s="1"/>
    </row>
    <row r="401" spans="2:56" x14ac:dyDescent="0.3">
      <c r="B401" s="1"/>
      <c r="J401" s="2"/>
      <c r="AE401" s="1"/>
      <c r="BD401" s="1"/>
    </row>
    <row r="402" spans="2:56" x14ac:dyDescent="0.3">
      <c r="B402" s="1"/>
      <c r="J402" s="2"/>
      <c r="AE402" s="1"/>
      <c r="BD402" s="1"/>
    </row>
    <row r="403" spans="2:56" x14ac:dyDescent="0.3">
      <c r="B403" s="1"/>
      <c r="J403" s="2"/>
      <c r="AE403" s="1"/>
      <c r="BD403" s="1"/>
    </row>
    <row r="404" spans="2:56" x14ac:dyDescent="0.3">
      <c r="B404" s="1"/>
      <c r="J404" s="2"/>
      <c r="AE404" s="1"/>
      <c r="BD404" s="1"/>
    </row>
    <row r="405" spans="2:56" x14ac:dyDescent="0.3">
      <c r="B405" s="1"/>
      <c r="J405" s="2"/>
      <c r="AE405" s="1"/>
      <c r="BD405" s="1"/>
    </row>
    <row r="406" spans="2:56" x14ac:dyDescent="0.3">
      <c r="B406" s="1"/>
      <c r="J406" s="2"/>
      <c r="AE406" s="1"/>
      <c r="BD406" s="1"/>
    </row>
    <row r="407" spans="2:56" x14ac:dyDescent="0.3">
      <c r="B407" s="1"/>
      <c r="J407" s="2"/>
      <c r="AE407" s="1"/>
      <c r="BD407" s="1"/>
    </row>
    <row r="408" spans="2:56" x14ac:dyDescent="0.3">
      <c r="B408" s="1"/>
      <c r="J408" s="2"/>
      <c r="AE408" s="1"/>
      <c r="BD408" s="1"/>
    </row>
    <row r="409" spans="2:56" x14ac:dyDescent="0.3">
      <c r="B409" s="1"/>
      <c r="J409" s="2"/>
      <c r="AE409" s="1"/>
      <c r="BD409" s="1"/>
    </row>
    <row r="410" spans="2:56" x14ac:dyDescent="0.3">
      <c r="B410" s="1"/>
      <c r="J410" s="2"/>
      <c r="AE410" s="1"/>
      <c r="BD410" s="1"/>
    </row>
    <row r="411" spans="2:56" x14ac:dyDescent="0.3">
      <c r="B411" s="1"/>
      <c r="J411" s="2"/>
      <c r="AE411" s="1"/>
      <c r="BD411" s="1"/>
    </row>
    <row r="412" spans="2:56" x14ac:dyDescent="0.3">
      <c r="B412" s="1"/>
      <c r="J412" s="2"/>
      <c r="AE412" s="1"/>
      <c r="BD412" s="1"/>
    </row>
    <row r="413" spans="2:56" x14ac:dyDescent="0.3">
      <c r="B413" s="1"/>
      <c r="J413" s="2"/>
      <c r="AE413" s="1"/>
      <c r="BD413" s="1"/>
    </row>
    <row r="414" spans="2:56" x14ac:dyDescent="0.3">
      <c r="B414" s="1"/>
      <c r="J414" s="2"/>
      <c r="AE414" s="1"/>
      <c r="BD414" s="1"/>
    </row>
    <row r="415" spans="2:56" x14ac:dyDescent="0.3">
      <c r="B415" s="1"/>
      <c r="J415" s="2"/>
      <c r="AE415" s="1"/>
      <c r="BD415" s="1"/>
    </row>
    <row r="416" spans="2:56" x14ac:dyDescent="0.3">
      <c r="B416" s="1"/>
      <c r="J416" s="2"/>
      <c r="AE416" s="1"/>
      <c r="BD416" s="1"/>
    </row>
    <row r="417" spans="2:56" x14ac:dyDescent="0.3">
      <c r="B417" s="1"/>
      <c r="J417" s="2"/>
      <c r="AE417" s="1"/>
      <c r="BD417" s="1"/>
    </row>
    <row r="418" spans="2:56" x14ac:dyDescent="0.3">
      <c r="B418" s="1"/>
      <c r="J418" s="2"/>
      <c r="AE418" s="1"/>
      <c r="BD418" s="1"/>
    </row>
    <row r="419" spans="2:56" x14ac:dyDescent="0.3">
      <c r="B419" s="1"/>
      <c r="J419" s="2"/>
      <c r="AE419" s="1"/>
      <c r="BD419" s="1"/>
    </row>
    <row r="420" spans="2:56" x14ac:dyDescent="0.3">
      <c r="B420" s="1"/>
      <c r="J420" s="2"/>
      <c r="AE420" s="1"/>
      <c r="BD420" s="1"/>
    </row>
    <row r="421" spans="2:56" x14ac:dyDescent="0.3">
      <c r="B421" s="1"/>
      <c r="J421" s="2"/>
      <c r="AE421" s="1"/>
      <c r="BD421" s="1"/>
    </row>
    <row r="422" spans="2:56" x14ac:dyDescent="0.3">
      <c r="B422" s="1"/>
      <c r="J422" s="2"/>
      <c r="AE422" s="1"/>
      <c r="BD422" s="1"/>
    </row>
    <row r="423" spans="2:56" x14ac:dyDescent="0.3">
      <c r="B423" s="1"/>
      <c r="J423" s="2"/>
      <c r="AE423" s="1"/>
      <c r="BD423" s="1"/>
    </row>
    <row r="424" spans="2:56" x14ac:dyDescent="0.3">
      <c r="B424" s="1"/>
      <c r="J424" s="2"/>
      <c r="AE424" s="1"/>
      <c r="BD424" s="1"/>
    </row>
    <row r="425" spans="2:56" x14ac:dyDescent="0.3">
      <c r="B425" s="1"/>
      <c r="J425" s="2"/>
      <c r="AE425" s="1"/>
      <c r="BD425" s="1"/>
    </row>
    <row r="426" spans="2:56" x14ac:dyDescent="0.3">
      <c r="B426" s="1"/>
      <c r="J426" s="2"/>
      <c r="AE426" s="1"/>
      <c r="BD426" s="1"/>
    </row>
    <row r="427" spans="2:56" x14ac:dyDescent="0.3">
      <c r="B427" s="1"/>
      <c r="J427" s="2"/>
      <c r="AE427" s="1"/>
      <c r="BD427" s="1"/>
    </row>
    <row r="428" spans="2:56" x14ac:dyDescent="0.3">
      <c r="B428" s="1"/>
      <c r="J428" s="2"/>
      <c r="AE428" s="1"/>
      <c r="BD428" s="1"/>
    </row>
    <row r="429" spans="2:56" x14ac:dyDescent="0.3">
      <c r="B429" s="1"/>
      <c r="J429" s="2"/>
      <c r="AE429" s="1"/>
      <c r="BD429" s="1"/>
    </row>
    <row r="430" spans="2:56" x14ac:dyDescent="0.3">
      <c r="B430" s="1"/>
      <c r="J430" s="2"/>
      <c r="AE430" s="1"/>
      <c r="BD430" s="1"/>
    </row>
    <row r="431" spans="2:56" x14ac:dyDescent="0.3">
      <c r="B431" s="1"/>
      <c r="J431" s="2"/>
      <c r="AE431" s="1"/>
      <c r="BD431" s="1"/>
    </row>
    <row r="432" spans="2:56" x14ac:dyDescent="0.3">
      <c r="B432" s="1"/>
      <c r="J432" s="2"/>
      <c r="AE432" s="1"/>
      <c r="BD432" s="1"/>
    </row>
    <row r="433" spans="2:56" x14ac:dyDescent="0.3">
      <c r="B433" s="1"/>
      <c r="J433" s="2"/>
      <c r="AE433" s="1"/>
      <c r="BD433" s="1"/>
    </row>
    <row r="434" spans="2:56" x14ac:dyDescent="0.3">
      <c r="B434" s="1"/>
      <c r="J434" s="2"/>
      <c r="AE434" s="1"/>
      <c r="BD434" s="1"/>
    </row>
    <row r="435" spans="2:56" x14ac:dyDescent="0.3">
      <c r="B435" s="1"/>
      <c r="J435" s="2"/>
      <c r="AE435" s="1"/>
      <c r="BD435" s="1"/>
    </row>
    <row r="436" spans="2:56" x14ac:dyDescent="0.3">
      <c r="B436" s="1"/>
      <c r="J436" s="2"/>
      <c r="AE436" s="1"/>
      <c r="BD436" s="1"/>
    </row>
    <row r="437" spans="2:56" x14ac:dyDescent="0.3">
      <c r="B437" s="1"/>
      <c r="J437" s="2"/>
      <c r="AE437" s="1"/>
      <c r="BD437" s="1"/>
    </row>
    <row r="438" spans="2:56" x14ac:dyDescent="0.3">
      <c r="B438" s="1"/>
      <c r="J438" s="2"/>
      <c r="AE438" s="1"/>
      <c r="BD438" s="1"/>
    </row>
    <row r="439" spans="2:56" x14ac:dyDescent="0.3">
      <c r="B439" s="1"/>
      <c r="J439" s="2"/>
      <c r="AE439" s="1"/>
      <c r="BD439" s="1"/>
    </row>
    <row r="440" spans="2:56" x14ac:dyDescent="0.3">
      <c r="B440" s="1"/>
      <c r="J440" s="2"/>
      <c r="AE440" s="1"/>
      <c r="BD440" s="1"/>
    </row>
    <row r="441" spans="2:56" x14ac:dyDescent="0.3">
      <c r="B441" s="1"/>
      <c r="J441" s="2"/>
      <c r="AE441" s="1"/>
      <c r="BD441" s="1"/>
    </row>
    <row r="442" spans="2:56" x14ac:dyDescent="0.3">
      <c r="B442" s="1"/>
      <c r="J442" s="2"/>
      <c r="AE442" s="1"/>
      <c r="BD442" s="1"/>
    </row>
    <row r="443" spans="2:56" x14ac:dyDescent="0.3">
      <c r="B443" s="1"/>
      <c r="J443" s="2"/>
      <c r="AE443" s="1"/>
      <c r="BD443" s="1"/>
    </row>
    <row r="444" spans="2:56" x14ac:dyDescent="0.3">
      <c r="B444" s="1"/>
      <c r="J444" s="2"/>
      <c r="AE444" s="1"/>
      <c r="BD444" s="1"/>
    </row>
    <row r="445" spans="2:56" x14ac:dyDescent="0.3">
      <c r="B445" s="1"/>
      <c r="J445" s="2"/>
      <c r="AE445" s="1"/>
      <c r="BD445" s="1"/>
    </row>
    <row r="446" spans="2:56" x14ac:dyDescent="0.3">
      <c r="B446" s="1"/>
      <c r="J446" s="2"/>
      <c r="AE446" s="1"/>
      <c r="BD446" s="1"/>
    </row>
    <row r="447" spans="2:56" x14ac:dyDescent="0.3">
      <c r="B447" s="1"/>
      <c r="J447" s="2"/>
      <c r="AE447" s="1"/>
      <c r="BD447" s="1"/>
    </row>
    <row r="448" spans="2:56" x14ac:dyDescent="0.3">
      <c r="B448" s="1"/>
      <c r="J448" s="2"/>
      <c r="AE448" s="1"/>
      <c r="BD448" s="1"/>
    </row>
    <row r="449" spans="2:56" x14ac:dyDescent="0.3">
      <c r="B449" s="1"/>
      <c r="J449" s="2"/>
      <c r="AE449" s="1"/>
      <c r="BD449" s="1"/>
    </row>
    <row r="450" spans="2:56" x14ac:dyDescent="0.3">
      <c r="B450" s="1"/>
      <c r="J450" s="2"/>
      <c r="AE450" s="1"/>
      <c r="BD450" s="1"/>
    </row>
    <row r="451" spans="2:56" x14ac:dyDescent="0.3">
      <c r="B451" s="1"/>
      <c r="J451" s="2"/>
      <c r="AE451" s="1"/>
      <c r="BD451" s="1"/>
    </row>
    <row r="452" spans="2:56" x14ac:dyDescent="0.3">
      <c r="B452" s="1"/>
      <c r="J452" s="2"/>
      <c r="AE452" s="1"/>
      <c r="BD452" s="1"/>
    </row>
    <row r="453" spans="2:56" x14ac:dyDescent="0.3">
      <c r="B453" s="1"/>
      <c r="J453" s="2"/>
      <c r="AE453" s="1"/>
      <c r="BD453" s="1"/>
    </row>
    <row r="454" spans="2:56" x14ac:dyDescent="0.3">
      <c r="B454" s="1"/>
      <c r="J454" s="2"/>
      <c r="AE454" s="1"/>
      <c r="BD454" s="1"/>
    </row>
    <row r="455" spans="2:56" x14ac:dyDescent="0.3">
      <c r="B455" s="1"/>
      <c r="J455" s="2"/>
      <c r="AE455" s="1"/>
      <c r="BD455" s="1"/>
    </row>
    <row r="456" spans="2:56" x14ac:dyDescent="0.3">
      <c r="B456" s="1"/>
      <c r="J456" s="2"/>
      <c r="AE456" s="1"/>
      <c r="BD456" s="1"/>
    </row>
    <row r="457" spans="2:56" x14ac:dyDescent="0.3">
      <c r="B457" s="1"/>
      <c r="J457" s="2"/>
      <c r="AE457" s="1"/>
      <c r="BD457" s="1"/>
    </row>
    <row r="458" spans="2:56" x14ac:dyDescent="0.3">
      <c r="B458" s="1"/>
      <c r="J458" s="2"/>
      <c r="AE458" s="1"/>
      <c r="BD458" s="1"/>
    </row>
    <row r="459" spans="2:56" x14ac:dyDescent="0.3">
      <c r="B459" s="1"/>
      <c r="J459" s="2"/>
      <c r="AE459" s="1"/>
      <c r="BD459" s="1"/>
    </row>
    <row r="460" spans="2:56" x14ac:dyDescent="0.3">
      <c r="B460" s="1"/>
      <c r="J460" s="2"/>
      <c r="AE460" s="1"/>
      <c r="BD460" s="1"/>
    </row>
    <row r="461" spans="2:56" x14ac:dyDescent="0.3">
      <c r="B461" s="1"/>
      <c r="J461" s="2"/>
      <c r="AE461" s="1"/>
      <c r="BD461" s="1"/>
    </row>
    <row r="462" spans="2:56" x14ac:dyDescent="0.3">
      <c r="B462" s="1"/>
      <c r="J462" s="2"/>
      <c r="AE462" s="1"/>
      <c r="BD462" s="1"/>
    </row>
    <row r="463" spans="2:56" x14ac:dyDescent="0.3">
      <c r="B463" s="1"/>
      <c r="J463" s="2"/>
      <c r="AE463" s="1"/>
      <c r="BD463" s="1"/>
    </row>
    <row r="464" spans="2:56" x14ac:dyDescent="0.3">
      <c r="B464" s="1"/>
      <c r="J464" s="2"/>
      <c r="AE464" s="1"/>
      <c r="BD464" s="1"/>
    </row>
    <row r="465" spans="2:56" x14ac:dyDescent="0.3">
      <c r="B465" s="1"/>
      <c r="J465" s="2"/>
      <c r="AE465" s="1"/>
      <c r="BD465" s="1"/>
    </row>
    <row r="466" spans="2:56" x14ac:dyDescent="0.3">
      <c r="B466" s="1"/>
      <c r="J466" s="2"/>
      <c r="AE466" s="1"/>
      <c r="BD466" s="1"/>
    </row>
    <row r="467" spans="2:56" x14ac:dyDescent="0.3">
      <c r="B467" s="1"/>
      <c r="J467" s="2"/>
      <c r="AE467" s="1"/>
      <c r="BD467" s="1"/>
    </row>
    <row r="468" spans="2:56" x14ac:dyDescent="0.3">
      <c r="B468" s="1"/>
      <c r="J468" s="2"/>
      <c r="AE468" s="1"/>
      <c r="BD468" s="1"/>
    </row>
    <row r="469" spans="2:56" x14ac:dyDescent="0.3">
      <c r="B469" s="1"/>
      <c r="J469" s="2"/>
      <c r="AE469" s="1"/>
      <c r="BD469" s="1"/>
    </row>
    <row r="470" spans="2:56" x14ac:dyDescent="0.3">
      <c r="B470" s="1"/>
      <c r="J470" s="2"/>
      <c r="AE470" s="1"/>
      <c r="BD470" s="1"/>
    </row>
    <row r="471" spans="2:56" x14ac:dyDescent="0.3">
      <c r="B471" s="1"/>
      <c r="J471" s="2"/>
      <c r="AE471" s="1"/>
      <c r="BD471" s="1"/>
    </row>
    <row r="472" spans="2:56" x14ac:dyDescent="0.3">
      <c r="B472" s="1"/>
      <c r="J472" s="2"/>
      <c r="AE472" s="1"/>
      <c r="BD472" s="1"/>
    </row>
    <row r="473" spans="2:56" x14ac:dyDescent="0.3">
      <c r="B473" s="1"/>
      <c r="J473" s="2"/>
      <c r="AE473" s="1"/>
      <c r="BD473" s="1"/>
    </row>
    <row r="474" spans="2:56" x14ac:dyDescent="0.3">
      <c r="B474" s="1"/>
      <c r="J474" s="2"/>
      <c r="AE474" s="1"/>
      <c r="BD474" s="1"/>
    </row>
    <row r="475" spans="2:56" x14ac:dyDescent="0.3">
      <c r="B475" s="1"/>
      <c r="J475" s="2"/>
      <c r="AE475" s="1"/>
      <c r="BD475" s="1"/>
    </row>
    <row r="476" spans="2:56" x14ac:dyDescent="0.3">
      <c r="B476" s="1"/>
      <c r="J476" s="2"/>
      <c r="AE476" s="1"/>
      <c r="BD476" s="1"/>
    </row>
    <row r="477" spans="2:56" x14ac:dyDescent="0.3">
      <c r="B477" s="1"/>
      <c r="J477" s="2"/>
      <c r="AE477" s="1"/>
      <c r="BD477" s="1"/>
    </row>
    <row r="478" spans="2:56" x14ac:dyDescent="0.3">
      <c r="B478" s="1"/>
      <c r="J478" s="2"/>
      <c r="AE478" s="1"/>
      <c r="BD478" s="1"/>
    </row>
    <row r="479" spans="2:56" x14ac:dyDescent="0.3">
      <c r="B479" s="1"/>
      <c r="J479" s="2"/>
      <c r="AE479" s="1"/>
      <c r="BD479" s="1"/>
    </row>
    <row r="480" spans="2:56" x14ac:dyDescent="0.3">
      <c r="B480" s="1"/>
      <c r="J480" s="2"/>
      <c r="AE480" s="1"/>
      <c r="BD480" s="1"/>
    </row>
    <row r="481" spans="2:56" x14ac:dyDescent="0.3">
      <c r="B481" s="1"/>
      <c r="J481" s="2"/>
      <c r="AE481" s="1"/>
      <c r="BD481" s="1"/>
    </row>
    <row r="482" spans="2:56" x14ac:dyDescent="0.3">
      <c r="B482" s="1"/>
      <c r="J482" s="2"/>
      <c r="AE482" s="1"/>
      <c r="BD482" s="1"/>
    </row>
    <row r="483" spans="2:56" x14ac:dyDescent="0.3">
      <c r="B483" s="1"/>
      <c r="J483" s="2"/>
      <c r="AE483" s="1"/>
      <c r="BD483" s="1"/>
    </row>
    <row r="484" spans="2:56" x14ac:dyDescent="0.3">
      <c r="B484" s="1"/>
      <c r="J484" s="2"/>
      <c r="AE484" s="1"/>
      <c r="BD484" s="1"/>
    </row>
    <row r="485" spans="2:56" x14ac:dyDescent="0.3">
      <c r="B485" s="1"/>
      <c r="J485" s="2"/>
      <c r="AE485" s="1"/>
      <c r="BD485" s="1"/>
    </row>
    <row r="486" spans="2:56" x14ac:dyDescent="0.3">
      <c r="B486" s="1"/>
      <c r="J486" s="2"/>
      <c r="AE486" s="1"/>
      <c r="BD486" s="1"/>
    </row>
    <row r="487" spans="2:56" x14ac:dyDescent="0.3">
      <c r="B487" s="1"/>
      <c r="J487" s="2"/>
      <c r="AE487" s="1"/>
      <c r="BD487" s="1"/>
    </row>
    <row r="488" spans="2:56" x14ac:dyDescent="0.3">
      <c r="B488" s="1"/>
      <c r="J488" s="2"/>
      <c r="AE488" s="1"/>
      <c r="BD488" s="1"/>
    </row>
    <row r="489" spans="2:56" x14ac:dyDescent="0.3">
      <c r="B489" s="1"/>
      <c r="J489" s="2"/>
      <c r="AE489" s="1"/>
      <c r="BD489" s="1"/>
    </row>
    <row r="490" spans="2:56" x14ac:dyDescent="0.3">
      <c r="B490" s="1"/>
      <c r="J490" s="2"/>
      <c r="AE490" s="1"/>
      <c r="BD490" s="1"/>
    </row>
    <row r="491" spans="2:56" x14ac:dyDescent="0.3">
      <c r="B491" s="1"/>
      <c r="J491" s="2"/>
      <c r="AE491" s="1"/>
      <c r="BD491" s="1"/>
    </row>
    <row r="492" spans="2:56" x14ac:dyDescent="0.3">
      <c r="B492" s="1"/>
      <c r="J492" s="2"/>
      <c r="AE492" s="1"/>
      <c r="BD492" s="1"/>
    </row>
    <row r="493" spans="2:56" x14ac:dyDescent="0.3">
      <c r="B493" s="1"/>
      <c r="J493" s="2"/>
      <c r="AE493" s="1"/>
      <c r="BD493" s="1"/>
    </row>
    <row r="494" spans="2:56" x14ac:dyDescent="0.3">
      <c r="B494" s="1"/>
      <c r="J494" s="2"/>
      <c r="AE494" s="1"/>
      <c r="BD494" s="1"/>
    </row>
    <row r="495" spans="2:56" x14ac:dyDescent="0.3">
      <c r="B495" s="1"/>
      <c r="J495" s="2"/>
      <c r="AE495" s="1"/>
      <c r="BD495" s="1"/>
    </row>
    <row r="496" spans="2:56" x14ac:dyDescent="0.3">
      <c r="B496" s="1"/>
      <c r="J496" s="2"/>
      <c r="AE496" s="1"/>
      <c r="BD496" s="1"/>
    </row>
    <row r="497" spans="2:56" x14ac:dyDescent="0.3">
      <c r="B497" s="1"/>
      <c r="J497" s="2"/>
      <c r="AE497" s="1"/>
      <c r="BD497" s="1"/>
    </row>
    <row r="498" spans="2:56" x14ac:dyDescent="0.3">
      <c r="B498" s="1"/>
      <c r="J498" s="2"/>
      <c r="AE498" s="1"/>
      <c r="BD498" s="1"/>
    </row>
    <row r="499" spans="2:56" x14ac:dyDescent="0.3">
      <c r="B499" s="1"/>
      <c r="J499" s="2"/>
      <c r="AE499" s="1"/>
      <c r="BD499" s="1"/>
    </row>
    <row r="500" spans="2:56" x14ac:dyDescent="0.3">
      <c r="B500" s="1"/>
      <c r="J500" s="2"/>
      <c r="AE500" s="1"/>
      <c r="BD500" s="1"/>
    </row>
    <row r="501" spans="2:56" x14ac:dyDescent="0.3">
      <c r="B501" s="1"/>
      <c r="J501" s="2"/>
      <c r="AE501" s="1"/>
      <c r="BD501" s="1"/>
    </row>
    <row r="502" spans="2:56" x14ac:dyDescent="0.3">
      <c r="B502" s="1"/>
      <c r="J502" s="2"/>
      <c r="AE502" s="1"/>
      <c r="BD502" s="1"/>
    </row>
    <row r="503" spans="2:56" x14ac:dyDescent="0.3">
      <c r="B503" s="1"/>
      <c r="J503" s="2"/>
      <c r="AE503" s="1"/>
      <c r="BD503" s="1"/>
    </row>
    <row r="504" spans="2:56" x14ac:dyDescent="0.3">
      <c r="B504" s="1"/>
      <c r="J504" s="2"/>
      <c r="AE504" s="1"/>
      <c r="BD504" s="1"/>
    </row>
    <row r="505" spans="2:56" x14ac:dyDescent="0.3">
      <c r="B505" s="1"/>
      <c r="J505" s="2"/>
      <c r="AE505" s="1"/>
      <c r="BD505" s="1"/>
    </row>
    <row r="506" spans="2:56" x14ac:dyDescent="0.3">
      <c r="B506" s="1"/>
      <c r="J506" s="2"/>
      <c r="AE506" s="1"/>
      <c r="BD506" s="1"/>
    </row>
    <row r="507" spans="2:56" x14ac:dyDescent="0.3">
      <c r="B507" s="1"/>
      <c r="J507" s="2"/>
      <c r="AE507" s="1"/>
      <c r="BD507" s="1"/>
    </row>
    <row r="508" spans="2:56" x14ac:dyDescent="0.3">
      <c r="B508" s="1"/>
      <c r="J508" s="2"/>
      <c r="AE508" s="1"/>
      <c r="BD508" s="1"/>
    </row>
    <row r="509" spans="2:56" x14ac:dyDescent="0.3">
      <c r="B509" s="1"/>
      <c r="J509" s="2"/>
      <c r="AE509" s="1"/>
      <c r="BD509" s="1"/>
    </row>
    <row r="510" spans="2:56" x14ac:dyDescent="0.3">
      <c r="B510" s="1"/>
      <c r="J510" s="2"/>
      <c r="AE510" s="1"/>
      <c r="BD510" s="1"/>
    </row>
    <row r="511" spans="2:56" x14ac:dyDescent="0.3">
      <c r="B511" s="1"/>
      <c r="J511" s="2"/>
      <c r="AE511" s="1"/>
      <c r="BD511" s="1"/>
    </row>
    <row r="512" spans="2:56" x14ac:dyDescent="0.3">
      <c r="B512" s="1"/>
      <c r="J512" s="2"/>
      <c r="AE512" s="1"/>
      <c r="BD512" s="1"/>
    </row>
    <row r="513" spans="2:56" x14ac:dyDescent="0.3">
      <c r="B513" s="1"/>
      <c r="J513" s="2"/>
      <c r="AE513" s="1"/>
      <c r="BD513" s="1"/>
    </row>
    <row r="514" spans="2:56" x14ac:dyDescent="0.3">
      <c r="B514" s="1"/>
      <c r="J514" s="2"/>
      <c r="AE514" s="1"/>
      <c r="BD514" s="1"/>
    </row>
    <row r="515" spans="2:56" x14ac:dyDescent="0.3">
      <c r="B515" s="1"/>
      <c r="J515" s="2"/>
      <c r="AE515" s="1"/>
      <c r="BD515" s="1"/>
    </row>
    <row r="516" spans="2:56" x14ac:dyDescent="0.3">
      <c r="B516" s="1"/>
      <c r="J516" s="2"/>
      <c r="AE516" s="1"/>
      <c r="BD516" s="1"/>
    </row>
    <row r="517" spans="2:56" x14ac:dyDescent="0.3">
      <c r="B517" s="1"/>
      <c r="J517" s="2"/>
      <c r="AE517" s="1"/>
      <c r="BD517" s="1"/>
    </row>
    <row r="518" spans="2:56" x14ac:dyDescent="0.3">
      <c r="B518" s="1"/>
      <c r="J518" s="2"/>
      <c r="AE518" s="1"/>
      <c r="BD518" s="1"/>
    </row>
    <row r="519" spans="2:56" x14ac:dyDescent="0.3">
      <c r="B519" s="1"/>
      <c r="J519" s="2"/>
      <c r="AE519" s="1"/>
      <c r="BD519" s="1"/>
    </row>
    <row r="520" spans="2:56" x14ac:dyDescent="0.3">
      <c r="B520" s="1"/>
      <c r="J520" s="2"/>
      <c r="AE520" s="1"/>
      <c r="BD520" s="1"/>
    </row>
    <row r="521" spans="2:56" x14ac:dyDescent="0.3">
      <c r="B521" s="1"/>
      <c r="J521" s="2"/>
      <c r="AE521" s="1"/>
      <c r="BD521" s="1"/>
    </row>
    <row r="522" spans="2:56" x14ac:dyDescent="0.3">
      <c r="B522" s="1"/>
      <c r="J522" s="2"/>
      <c r="AE522" s="1"/>
      <c r="BD522" s="1"/>
    </row>
    <row r="523" spans="2:56" x14ac:dyDescent="0.3">
      <c r="B523" s="1"/>
      <c r="J523" s="2"/>
      <c r="AE523" s="1"/>
      <c r="BD523" s="1"/>
    </row>
    <row r="524" spans="2:56" x14ac:dyDescent="0.3">
      <c r="B524" s="1"/>
      <c r="J524" s="2"/>
      <c r="AE524" s="1"/>
      <c r="BD524" s="1"/>
    </row>
    <row r="525" spans="2:56" x14ac:dyDescent="0.3">
      <c r="B525" s="1"/>
      <c r="J525" s="2"/>
      <c r="AE525" s="1"/>
      <c r="BD525" s="1"/>
    </row>
    <row r="526" spans="2:56" x14ac:dyDescent="0.3">
      <c r="B526" s="1"/>
      <c r="J526" s="2"/>
      <c r="AE526" s="1"/>
      <c r="BD526" s="1"/>
    </row>
    <row r="527" spans="2:56" x14ac:dyDescent="0.3">
      <c r="B527" s="1"/>
      <c r="J527" s="2"/>
      <c r="AE527" s="1"/>
      <c r="BD527" s="1"/>
    </row>
    <row r="528" spans="2:56" x14ac:dyDescent="0.3">
      <c r="B528" s="1"/>
      <c r="J528" s="2"/>
      <c r="AE528" s="1"/>
      <c r="BD528" s="1"/>
    </row>
    <row r="529" spans="2:56" x14ac:dyDescent="0.3">
      <c r="B529" s="1"/>
      <c r="J529" s="2"/>
      <c r="AE529" s="1"/>
      <c r="BD529" s="1"/>
    </row>
    <row r="530" spans="2:56" x14ac:dyDescent="0.3">
      <c r="B530" s="1"/>
      <c r="J530" s="2"/>
      <c r="AE530" s="1"/>
      <c r="BD530" s="1"/>
    </row>
    <row r="531" spans="2:56" x14ac:dyDescent="0.3">
      <c r="B531" s="1"/>
      <c r="J531" s="2"/>
      <c r="AE531" s="1"/>
      <c r="BD531" s="1"/>
    </row>
    <row r="532" spans="2:56" x14ac:dyDescent="0.3">
      <c r="B532" s="1"/>
      <c r="J532" s="2"/>
      <c r="AE532" s="1"/>
      <c r="BD532" s="1"/>
    </row>
    <row r="533" spans="2:56" x14ac:dyDescent="0.3">
      <c r="B533" s="1"/>
      <c r="J533" s="2"/>
      <c r="AE533" s="1"/>
      <c r="BD533" s="1"/>
    </row>
    <row r="534" spans="2:56" x14ac:dyDescent="0.3">
      <c r="B534" s="1"/>
      <c r="J534" s="2"/>
      <c r="AE534" s="1"/>
      <c r="BD534" s="1"/>
    </row>
    <row r="535" spans="2:56" x14ac:dyDescent="0.3">
      <c r="B535" s="1"/>
      <c r="J535" s="2"/>
      <c r="AE535" s="1"/>
      <c r="BD535" s="1"/>
    </row>
    <row r="536" spans="2:56" x14ac:dyDescent="0.3">
      <c r="B536" s="1"/>
      <c r="J536" s="2"/>
      <c r="AE536" s="1"/>
      <c r="BD536" s="1"/>
    </row>
    <row r="537" spans="2:56" x14ac:dyDescent="0.3">
      <c r="B537" s="1"/>
      <c r="J537" s="2"/>
      <c r="AE537" s="1"/>
      <c r="BD537" s="1"/>
    </row>
    <row r="538" spans="2:56" x14ac:dyDescent="0.3">
      <c r="B538" s="1"/>
      <c r="J538" s="2"/>
      <c r="AE538" s="1"/>
      <c r="BD538" s="1"/>
    </row>
    <row r="539" spans="2:56" x14ac:dyDescent="0.3">
      <c r="B539" s="1"/>
      <c r="J539" s="2"/>
      <c r="AE539" s="1"/>
      <c r="BD539" s="1"/>
    </row>
    <row r="540" spans="2:56" x14ac:dyDescent="0.3">
      <c r="B540" s="1"/>
      <c r="J540" s="2"/>
      <c r="AE540" s="1"/>
      <c r="BD540" s="1"/>
    </row>
    <row r="541" spans="2:56" x14ac:dyDescent="0.3">
      <c r="B541" s="1"/>
      <c r="J541" s="2"/>
      <c r="AE541" s="1"/>
      <c r="BD541" s="1"/>
    </row>
    <row r="542" spans="2:56" x14ac:dyDescent="0.3">
      <c r="B542" s="1"/>
      <c r="J542" s="2"/>
      <c r="AE542" s="1"/>
      <c r="BD542" s="1"/>
    </row>
    <row r="543" spans="2:56" x14ac:dyDescent="0.3">
      <c r="B543" s="1"/>
      <c r="J543" s="2"/>
      <c r="AE543" s="1"/>
      <c r="BD543" s="1"/>
    </row>
    <row r="544" spans="2:56" x14ac:dyDescent="0.3">
      <c r="B544" s="1"/>
      <c r="J544" s="2"/>
      <c r="AE544" s="1"/>
      <c r="BD544" s="1"/>
    </row>
    <row r="545" spans="2:57" x14ac:dyDescent="0.3">
      <c r="B545" s="1"/>
      <c r="J545" s="2"/>
      <c r="AE545" s="1"/>
      <c r="BD545" s="1"/>
    </row>
    <row r="546" spans="2:57" x14ac:dyDescent="0.3">
      <c r="B546" s="1"/>
      <c r="J546" s="2"/>
      <c r="AE546" s="1"/>
      <c r="BD546" s="1"/>
    </row>
    <row r="547" spans="2:57" x14ac:dyDescent="0.3">
      <c r="B547" s="1"/>
      <c r="J547" s="2"/>
      <c r="AE547" s="1"/>
      <c r="BD547" s="1"/>
    </row>
    <row r="548" spans="2:57" x14ac:dyDescent="0.3">
      <c r="B548" s="1"/>
      <c r="J548" s="2"/>
      <c r="AE548" s="1"/>
      <c r="BD548" s="1"/>
    </row>
    <row r="549" spans="2:57" x14ac:dyDescent="0.3">
      <c r="B549" s="1"/>
      <c r="J549" s="2"/>
      <c r="AE549" s="1"/>
      <c r="BD549" s="1"/>
    </row>
    <row r="550" spans="2:57" x14ac:dyDescent="0.3">
      <c r="B550" s="1"/>
      <c r="J550" s="2"/>
      <c r="AE550" s="1"/>
      <c r="BD550" s="1"/>
    </row>
    <row r="551" spans="2:57" x14ac:dyDescent="0.3">
      <c r="B551" s="1"/>
      <c r="J551" s="2"/>
      <c r="AE551" s="1"/>
      <c r="BD551" s="1"/>
    </row>
    <row r="552" spans="2:57" x14ac:dyDescent="0.3">
      <c r="B552" s="1"/>
      <c r="J552" s="2"/>
      <c r="AE552" s="1"/>
      <c r="BD552" s="1"/>
    </row>
    <row r="553" spans="2:57" x14ac:dyDescent="0.3">
      <c r="B553" s="1"/>
      <c r="J553" s="2"/>
      <c r="AU553" s="1"/>
      <c r="BA553" s="1"/>
      <c r="BD553" s="1"/>
      <c r="BE553" s="1"/>
    </row>
    <row r="554" spans="2:57" x14ac:dyDescent="0.3">
      <c r="B554" s="1"/>
      <c r="J554" s="2"/>
      <c r="BA554" s="1"/>
      <c r="BD554" s="1"/>
    </row>
    <row r="555" spans="2:57" x14ac:dyDescent="0.3">
      <c r="B555" s="1"/>
      <c r="J555" s="2"/>
      <c r="AU555" s="1"/>
      <c r="BA555" s="1"/>
      <c r="BD555" s="1"/>
      <c r="BE555" s="1"/>
    </row>
    <row r="556" spans="2:57" x14ac:dyDescent="0.3">
      <c r="B556" s="1"/>
      <c r="J556" s="2"/>
      <c r="AV556" s="1"/>
      <c r="BD556" s="1"/>
    </row>
    <row r="557" spans="2:57" x14ac:dyDescent="0.3">
      <c r="B557" s="1"/>
      <c r="J557" s="2"/>
      <c r="AV557" s="1"/>
      <c r="BD557" s="1"/>
    </row>
    <row r="558" spans="2:57" x14ac:dyDescent="0.3">
      <c r="B558" s="1"/>
      <c r="J558" s="2"/>
      <c r="BA558" s="1"/>
      <c r="BD558" s="1"/>
      <c r="BE558" s="1"/>
    </row>
    <row r="559" spans="2:57" x14ac:dyDescent="0.3">
      <c r="B559" s="1"/>
      <c r="J559" s="2"/>
      <c r="BA559" s="1"/>
      <c r="BD559" s="1"/>
      <c r="BE559" s="1"/>
    </row>
    <row r="560" spans="2:57" x14ac:dyDescent="0.3">
      <c r="B560" s="1"/>
      <c r="J560" s="2"/>
      <c r="AE560" s="1"/>
      <c r="BD560" s="1"/>
    </row>
    <row r="561" spans="2:57" x14ac:dyDescent="0.3">
      <c r="B561" s="1"/>
      <c r="J561" s="2"/>
      <c r="AV561" s="1"/>
      <c r="BA561" s="1"/>
      <c r="BD561" s="1"/>
      <c r="BE561" s="1"/>
    </row>
    <row r="562" spans="2:57" x14ac:dyDescent="0.3">
      <c r="B562" s="1"/>
      <c r="J562" s="2"/>
      <c r="AG562" s="1"/>
      <c r="AU562" s="1"/>
      <c r="AV562" s="1"/>
      <c r="BD562" s="1"/>
      <c r="BE562" s="1"/>
    </row>
    <row r="563" spans="2:57" x14ac:dyDescent="0.3">
      <c r="B563" s="1"/>
      <c r="J563" s="2"/>
      <c r="BA563" s="1"/>
      <c r="BD563" s="1"/>
    </row>
    <row r="564" spans="2:57" x14ac:dyDescent="0.3">
      <c r="B564" s="1"/>
      <c r="J564" s="2"/>
      <c r="AG564" s="1"/>
      <c r="AU564" s="1"/>
      <c r="AV564" s="1"/>
      <c r="BD564" s="1"/>
    </row>
    <row r="565" spans="2:57" x14ac:dyDescent="0.3">
      <c r="B565" s="1"/>
      <c r="J565" s="2"/>
      <c r="AG565" s="1"/>
      <c r="AU565" s="1"/>
      <c r="AV565" s="1"/>
      <c r="BD565" s="1"/>
      <c r="BE565" s="1"/>
    </row>
    <row r="566" spans="2:57" x14ac:dyDescent="0.3">
      <c r="B566" s="1"/>
      <c r="J566" s="2"/>
      <c r="AG566" s="1"/>
      <c r="AU566" s="1"/>
      <c r="AV566" s="1"/>
      <c r="BD566" s="1"/>
      <c r="BE566" s="1"/>
    </row>
    <row r="567" spans="2:57" x14ac:dyDescent="0.3">
      <c r="B567" s="1"/>
      <c r="J567" s="2"/>
      <c r="AG567" s="1"/>
      <c r="AU567" s="1"/>
      <c r="AV567" s="1"/>
      <c r="BD567" s="1"/>
      <c r="BE567" s="1"/>
    </row>
    <row r="568" spans="2:57" x14ac:dyDescent="0.3">
      <c r="B568" s="1"/>
      <c r="J568" s="2"/>
      <c r="AG568" s="1"/>
      <c r="AU568" s="1"/>
      <c r="AV568" s="1"/>
      <c r="BD568" s="1"/>
      <c r="BE568" s="1"/>
    </row>
    <row r="569" spans="2:57" x14ac:dyDescent="0.3">
      <c r="B569" s="1"/>
      <c r="J569" s="2"/>
      <c r="AG569" s="1"/>
      <c r="AU569" s="1"/>
      <c r="AV569" s="1"/>
      <c r="BD569" s="1"/>
      <c r="BE569" s="1"/>
    </row>
    <row r="570" spans="2:57" x14ac:dyDescent="0.3">
      <c r="B570" s="1"/>
      <c r="J570" s="2"/>
      <c r="BD570" s="1"/>
    </row>
    <row r="571" spans="2:57" x14ac:dyDescent="0.3">
      <c r="B571" s="1"/>
      <c r="J571" s="2"/>
      <c r="BA571" s="1"/>
      <c r="BD571" s="1"/>
    </row>
    <row r="572" spans="2:57" x14ac:dyDescent="0.3">
      <c r="B572" s="1"/>
      <c r="J572" s="2"/>
      <c r="AG572" s="1"/>
      <c r="AU572" s="1"/>
      <c r="AV572" s="1"/>
      <c r="BA572" s="1"/>
      <c r="BD572" s="1"/>
      <c r="BE572" s="1"/>
    </row>
    <row r="573" spans="2:57" x14ac:dyDescent="0.3">
      <c r="B573" s="1"/>
      <c r="J573" s="2"/>
      <c r="AG573" s="1"/>
      <c r="AU573" s="1"/>
      <c r="AV573" s="1"/>
      <c r="BA573" s="1"/>
      <c r="BD573" s="1"/>
      <c r="BE573" s="1"/>
    </row>
    <row r="574" spans="2:57" x14ac:dyDescent="0.3">
      <c r="B574" s="1"/>
      <c r="J574" s="2"/>
      <c r="AG574" s="1"/>
      <c r="AU574" s="1"/>
      <c r="AV574" s="1"/>
      <c r="BA574" s="1"/>
      <c r="BD574" s="1"/>
      <c r="BE574" s="1"/>
    </row>
    <row r="575" spans="2:57" x14ac:dyDescent="0.3">
      <c r="B575" s="1"/>
      <c r="J575" s="2"/>
      <c r="AG575" s="1"/>
      <c r="AU575" s="1"/>
      <c r="AV575" s="1"/>
      <c r="BA575" s="1"/>
      <c r="BD575" s="1"/>
      <c r="BE575" s="1"/>
    </row>
    <row r="576" spans="2:57" x14ac:dyDescent="0.3">
      <c r="B576" s="1"/>
      <c r="J576" s="2"/>
      <c r="AG576" s="1"/>
      <c r="AU576" s="1"/>
      <c r="AV576" s="1"/>
      <c r="BA576" s="1"/>
      <c r="BD576" s="1"/>
      <c r="BE576" s="1"/>
    </row>
    <row r="577" spans="2:57" x14ac:dyDescent="0.3">
      <c r="B577" s="1"/>
      <c r="J577" s="2"/>
      <c r="AG577" s="1"/>
      <c r="AU577" s="1"/>
      <c r="AV577" s="1"/>
      <c r="BA577" s="1"/>
      <c r="BD577" s="1"/>
      <c r="BE577" s="1"/>
    </row>
    <row r="578" spans="2:57" x14ac:dyDescent="0.3">
      <c r="B578" s="1"/>
      <c r="J578" s="2"/>
      <c r="BA578" s="1"/>
      <c r="BD578" s="1"/>
    </row>
    <row r="579" spans="2:57" x14ac:dyDescent="0.3">
      <c r="B579" s="1"/>
      <c r="J579" s="2"/>
      <c r="BA579" s="1"/>
      <c r="BD579" s="1"/>
    </row>
    <row r="580" spans="2:57" x14ac:dyDescent="0.3">
      <c r="B580" s="1"/>
      <c r="J580" s="2"/>
      <c r="AV580" s="1"/>
      <c r="BA580" s="1"/>
      <c r="BD580" s="1"/>
      <c r="BE580" s="1"/>
    </row>
    <row r="581" spans="2:57" x14ac:dyDescent="0.3">
      <c r="B581" s="1"/>
      <c r="J581" s="2"/>
      <c r="BA581" s="1"/>
      <c r="BD581" s="1"/>
    </row>
    <row r="582" spans="2:57" x14ac:dyDescent="0.3">
      <c r="B582" s="1"/>
      <c r="J582" s="2"/>
      <c r="AV582" s="1"/>
      <c r="BA582" s="1"/>
      <c r="BD582" s="1"/>
      <c r="BE582" s="1"/>
    </row>
    <row r="583" spans="2:57" x14ac:dyDescent="0.3">
      <c r="B583" s="1"/>
      <c r="J583" s="2"/>
      <c r="AU583" s="1"/>
      <c r="BA583" s="1"/>
      <c r="BD583" s="1"/>
      <c r="BE583" s="1"/>
    </row>
    <row r="584" spans="2:57" x14ac:dyDescent="0.3">
      <c r="B584" s="1"/>
      <c r="J584" s="2"/>
      <c r="AV584" s="1"/>
      <c r="BD584" s="1"/>
    </row>
    <row r="585" spans="2:57" x14ac:dyDescent="0.3">
      <c r="B585" s="1"/>
      <c r="J585" s="2"/>
      <c r="AV585" s="1"/>
      <c r="BD585" s="1"/>
    </row>
    <row r="586" spans="2:57" x14ac:dyDescent="0.3">
      <c r="B586" s="1"/>
      <c r="J586" s="2"/>
      <c r="BA586" s="1"/>
      <c r="BD586" s="1"/>
    </row>
    <row r="587" spans="2:57" x14ac:dyDescent="0.3">
      <c r="B587" s="1"/>
      <c r="J587" s="2"/>
      <c r="AV587" s="1"/>
      <c r="BD587" s="1"/>
    </row>
    <row r="588" spans="2:57" x14ac:dyDescent="0.3">
      <c r="B588" s="1"/>
      <c r="J588" s="2"/>
      <c r="AV588" s="1"/>
      <c r="BD588" s="1"/>
    </row>
    <row r="589" spans="2:57" x14ac:dyDescent="0.3">
      <c r="B589" s="1"/>
      <c r="J589" s="2"/>
      <c r="AV589" s="1"/>
      <c r="BA589" s="1"/>
      <c r="BD589" s="1"/>
      <c r="BE589" s="1"/>
    </row>
    <row r="590" spans="2:57" x14ac:dyDescent="0.3">
      <c r="B590" s="1"/>
      <c r="J590" s="2"/>
      <c r="AV590" s="1"/>
      <c r="BD590" s="1"/>
    </row>
    <row r="591" spans="2:57" x14ac:dyDescent="0.3">
      <c r="B591" s="1"/>
      <c r="J591" s="2"/>
      <c r="AV591" s="1"/>
      <c r="BD591" s="1"/>
    </row>
    <row r="592" spans="2:57" x14ac:dyDescent="0.3">
      <c r="B592" s="1"/>
      <c r="J592" s="2"/>
      <c r="BA592" s="1"/>
      <c r="BD592" s="1"/>
    </row>
    <row r="593" spans="2:57" x14ac:dyDescent="0.3">
      <c r="B593" s="1"/>
      <c r="J593" s="2"/>
      <c r="AV593" s="1"/>
      <c r="BD593" s="1"/>
    </row>
    <row r="594" spans="2:57" x14ac:dyDescent="0.3">
      <c r="B594" s="1"/>
      <c r="J594" s="2"/>
      <c r="AV594" s="1"/>
      <c r="BD594" s="1"/>
    </row>
    <row r="595" spans="2:57" x14ac:dyDescent="0.3">
      <c r="B595" s="1"/>
      <c r="J595" s="2"/>
      <c r="AV595" s="1"/>
      <c r="BD595" s="1"/>
    </row>
    <row r="596" spans="2:57" x14ac:dyDescent="0.3">
      <c r="B596" s="1"/>
      <c r="J596" s="2"/>
      <c r="AV596" s="1"/>
      <c r="BD596" s="1"/>
    </row>
    <row r="597" spans="2:57" x14ac:dyDescent="0.3">
      <c r="B597" s="1"/>
      <c r="J597" s="2"/>
      <c r="BD597" s="1"/>
      <c r="BE597" s="1"/>
    </row>
    <row r="598" spans="2:57" x14ac:dyDescent="0.3">
      <c r="B598" s="1"/>
      <c r="J598" s="2"/>
      <c r="AV598" s="1"/>
      <c r="BA598" s="1"/>
      <c r="BD598" s="1"/>
      <c r="BE598" s="1"/>
    </row>
    <row r="599" spans="2:57" x14ac:dyDescent="0.3">
      <c r="B599" s="1"/>
      <c r="J599" s="2"/>
      <c r="AV599" s="1"/>
      <c r="BD599" s="1"/>
    </row>
    <row r="600" spans="2:57" x14ac:dyDescent="0.3">
      <c r="B600" s="1"/>
      <c r="J600" s="2"/>
      <c r="AV600" s="1"/>
      <c r="BD600" s="1"/>
    </row>
    <row r="601" spans="2:57" x14ac:dyDescent="0.3">
      <c r="B601" s="1"/>
      <c r="J601" s="2"/>
      <c r="AV601" s="1"/>
      <c r="BD601" s="1"/>
    </row>
    <row r="602" spans="2:57" x14ac:dyDescent="0.3">
      <c r="B602" s="1"/>
      <c r="J602" s="2"/>
      <c r="BA602" s="1"/>
      <c r="BD602" s="1"/>
      <c r="BE602" s="1"/>
    </row>
    <row r="603" spans="2:57" x14ac:dyDescent="0.3">
      <c r="B603" s="1"/>
      <c r="J603" s="2"/>
      <c r="AV603" s="1"/>
      <c r="BD603" s="1"/>
    </row>
    <row r="604" spans="2:57" x14ac:dyDescent="0.3">
      <c r="B604" s="1"/>
      <c r="J604" s="2"/>
      <c r="AV604" s="1"/>
      <c r="BD604" s="1"/>
    </row>
    <row r="605" spans="2:57" x14ac:dyDescent="0.3">
      <c r="B605" s="1"/>
      <c r="J605" s="2"/>
      <c r="AV605" s="1"/>
      <c r="BD605" s="1"/>
    </row>
    <row r="606" spans="2:57" x14ac:dyDescent="0.3">
      <c r="B606" s="1"/>
      <c r="J606" s="2"/>
      <c r="AV606" s="1"/>
      <c r="BD606" s="1"/>
    </row>
    <row r="607" spans="2:57" x14ac:dyDescent="0.3">
      <c r="B607" s="1"/>
      <c r="J607" s="2"/>
      <c r="AV607" s="1"/>
      <c r="BD607" s="1"/>
    </row>
    <row r="608" spans="2:57" x14ac:dyDescent="0.3">
      <c r="B608" s="1"/>
      <c r="J608" s="2"/>
      <c r="AV608" s="1"/>
      <c r="BD608" s="1"/>
    </row>
    <row r="609" spans="2:57" x14ac:dyDescent="0.3">
      <c r="B609" s="1"/>
      <c r="J609" s="2"/>
      <c r="AV609" s="1"/>
      <c r="BD609" s="1"/>
    </row>
    <row r="610" spans="2:57" x14ac:dyDescent="0.3">
      <c r="B610" s="1"/>
      <c r="J610" s="2"/>
      <c r="AV610" s="1"/>
      <c r="BD610" s="1"/>
    </row>
    <row r="611" spans="2:57" x14ac:dyDescent="0.3">
      <c r="B611" s="1"/>
      <c r="J611" s="2"/>
      <c r="AV611" s="1"/>
      <c r="BD611" s="1"/>
    </row>
    <row r="612" spans="2:57" x14ac:dyDescent="0.3">
      <c r="B612" s="1"/>
      <c r="J612" s="2"/>
      <c r="AU612" s="1"/>
      <c r="BD612" s="1"/>
      <c r="BE612" s="1"/>
    </row>
    <row r="613" spans="2:57" x14ac:dyDescent="0.3">
      <c r="B613" s="1"/>
      <c r="J613" s="2"/>
      <c r="AV613" s="1"/>
      <c r="BD613" s="1"/>
    </row>
    <row r="614" spans="2:57" x14ac:dyDescent="0.3">
      <c r="B614" s="1"/>
      <c r="J614" s="2"/>
      <c r="AV614" s="1"/>
      <c r="BD614" s="1"/>
    </row>
    <row r="615" spans="2:57" x14ac:dyDescent="0.3">
      <c r="B615" s="1"/>
      <c r="J615" s="2"/>
      <c r="AV615" s="1"/>
      <c r="BD615" s="1"/>
    </row>
    <row r="616" spans="2:57" x14ac:dyDescent="0.3">
      <c r="B616" s="1"/>
      <c r="J616" s="2"/>
      <c r="AV616" s="1"/>
      <c r="BD616" s="1"/>
    </row>
    <row r="617" spans="2:57" x14ac:dyDescent="0.3">
      <c r="B617" s="1"/>
      <c r="J617" s="2"/>
      <c r="AV617" s="1"/>
      <c r="BD617" s="1"/>
    </row>
    <row r="618" spans="2:57" x14ac:dyDescent="0.3">
      <c r="B618" s="1"/>
      <c r="J618" s="2"/>
      <c r="AV618" s="1"/>
      <c r="BD618" s="1"/>
    </row>
    <row r="619" spans="2:57" x14ac:dyDescent="0.3">
      <c r="B619" s="1"/>
      <c r="J619" s="2"/>
      <c r="AV619" s="1"/>
      <c r="BD619" s="1"/>
    </row>
    <row r="620" spans="2:57" x14ac:dyDescent="0.3">
      <c r="B620" s="1"/>
      <c r="J620" s="2"/>
      <c r="AV620" s="1"/>
      <c r="BD620" s="1"/>
    </row>
    <row r="621" spans="2:57" x14ac:dyDescent="0.3">
      <c r="B621" s="1"/>
      <c r="J621" s="2"/>
      <c r="AV621" s="1"/>
      <c r="BD621" s="1"/>
    </row>
    <row r="622" spans="2:57" x14ac:dyDescent="0.3">
      <c r="B622" s="1"/>
      <c r="J622" s="2"/>
      <c r="AV622" s="1"/>
      <c r="BD622" s="1"/>
    </row>
    <row r="623" spans="2:57" x14ac:dyDescent="0.3">
      <c r="B623" s="1"/>
      <c r="J623" s="2"/>
      <c r="AV623" s="1"/>
      <c r="BD623" s="1"/>
    </row>
    <row r="624" spans="2:57" x14ac:dyDescent="0.3">
      <c r="B624" s="1"/>
      <c r="J624" s="2"/>
      <c r="AV624" s="1"/>
      <c r="BD624" s="1"/>
    </row>
    <row r="625" spans="2:57" x14ac:dyDescent="0.3">
      <c r="B625" s="1"/>
      <c r="J625" s="2"/>
      <c r="AV625" s="1"/>
      <c r="BD625" s="1"/>
    </row>
    <row r="626" spans="2:57" x14ac:dyDescent="0.3">
      <c r="B626" s="1"/>
      <c r="J626" s="2"/>
      <c r="AV626" s="1"/>
      <c r="BD626" s="1"/>
    </row>
    <row r="627" spans="2:57" x14ac:dyDescent="0.3">
      <c r="B627" s="1"/>
      <c r="J627" s="2"/>
      <c r="AV627" s="1"/>
      <c r="BD627" s="1"/>
    </row>
    <row r="628" spans="2:57" x14ac:dyDescent="0.3">
      <c r="B628" s="1"/>
      <c r="J628" s="2"/>
      <c r="AV628" s="1"/>
      <c r="BD628" s="1"/>
    </row>
    <row r="629" spans="2:57" x14ac:dyDescent="0.3">
      <c r="B629" s="1"/>
      <c r="J629" s="2"/>
      <c r="AV629" s="1"/>
      <c r="BD629" s="1"/>
    </row>
    <row r="630" spans="2:57" x14ac:dyDescent="0.3">
      <c r="B630" s="1"/>
      <c r="J630" s="2"/>
      <c r="AV630" s="1"/>
      <c r="BD630" s="1"/>
    </row>
    <row r="631" spans="2:57" x14ac:dyDescent="0.3">
      <c r="B631" s="1"/>
      <c r="J631" s="2"/>
      <c r="AU631" s="1"/>
      <c r="BD631" s="1"/>
      <c r="BE631" s="1"/>
    </row>
    <row r="632" spans="2:57" x14ac:dyDescent="0.3">
      <c r="B632" s="1"/>
      <c r="J632" s="2"/>
      <c r="AU632" s="1"/>
      <c r="BD632" s="1"/>
      <c r="BE632" s="1"/>
    </row>
    <row r="633" spans="2:57" x14ac:dyDescent="0.3">
      <c r="B633" s="1"/>
      <c r="J633" s="2"/>
      <c r="AV633" s="1"/>
      <c r="BD633" s="1"/>
    </row>
    <row r="634" spans="2:57" x14ac:dyDescent="0.3">
      <c r="B634" s="1"/>
      <c r="J634" s="2"/>
      <c r="AV634" s="1"/>
      <c r="BD634" s="1"/>
    </row>
    <row r="635" spans="2:57" x14ac:dyDescent="0.3">
      <c r="B635" s="1"/>
      <c r="J635" s="2"/>
      <c r="AV635" s="1"/>
      <c r="BD635" s="1"/>
    </row>
    <row r="636" spans="2:57" x14ac:dyDescent="0.3">
      <c r="B636" s="1"/>
      <c r="J636" s="2"/>
      <c r="AV636" s="1"/>
      <c r="BD636" s="1"/>
    </row>
    <row r="637" spans="2:57" x14ac:dyDescent="0.3">
      <c r="B637" s="1"/>
      <c r="J637" s="2"/>
      <c r="BD637" s="1"/>
    </row>
    <row r="638" spans="2:57" x14ac:dyDescent="0.3">
      <c r="B638" s="1"/>
      <c r="J638" s="2"/>
      <c r="AV638" s="1"/>
      <c r="BD638" s="1"/>
    </row>
    <row r="639" spans="2:57" x14ac:dyDescent="0.3">
      <c r="B639" s="1"/>
      <c r="J639" s="2"/>
      <c r="BA639" s="1"/>
      <c r="BD639" s="1"/>
    </row>
    <row r="640" spans="2:57" x14ac:dyDescent="0.3">
      <c r="B640" s="1"/>
      <c r="J640" s="2"/>
      <c r="AV640" s="1"/>
      <c r="BD640" s="1"/>
    </row>
    <row r="641" spans="2:57" x14ac:dyDescent="0.3">
      <c r="B641" s="1"/>
      <c r="J641" s="2"/>
      <c r="AV641" s="1"/>
      <c r="BD641" s="1"/>
    </row>
    <row r="642" spans="2:57" x14ac:dyDescent="0.3">
      <c r="B642" s="1"/>
      <c r="J642" s="2"/>
      <c r="AV642" s="1"/>
      <c r="BD642" s="1"/>
    </row>
    <row r="643" spans="2:57" x14ac:dyDescent="0.3">
      <c r="B643" s="1"/>
      <c r="J643" s="2"/>
      <c r="AV643" s="1"/>
      <c r="BD643" s="1"/>
    </row>
    <row r="644" spans="2:57" x14ac:dyDescent="0.3">
      <c r="B644" s="1"/>
      <c r="J644" s="2"/>
      <c r="AV644" s="1"/>
      <c r="BD644" s="1"/>
    </row>
    <row r="645" spans="2:57" x14ac:dyDescent="0.3">
      <c r="B645" s="1"/>
      <c r="J645" s="2"/>
      <c r="AV645" s="1"/>
      <c r="BD645" s="1"/>
    </row>
    <row r="646" spans="2:57" x14ac:dyDescent="0.3">
      <c r="B646" s="1"/>
      <c r="J646" s="2"/>
      <c r="AV646" s="1"/>
      <c r="BD646" s="1"/>
    </row>
    <row r="647" spans="2:57" x14ac:dyDescent="0.3">
      <c r="B647" s="1"/>
      <c r="J647" s="2"/>
      <c r="AV647" s="1"/>
      <c r="BD647" s="1"/>
    </row>
    <row r="648" spans="2:57" x14ac:dyDescent="0.3">
      <c r="B648" s="1"/>
      <c r="J648" s="2"/>
      <c r="AV648" s="1"/>
      <c r="BD648" s="1"/>
    </row>
    <row r="649" spans="2:57" x14ac:dyDescent="0.3">
      <c r="B649" s="1"/>
      <c r="J649" s="2"/>
      <c r="AV649" s="1"/>
      <c r="BD649" s="1"/>
    </row>
    <row r="650" spans="2:57" x14ac:dyDescent="0.3">
      <c r="B650" s="1"/>
      <c r="J650" s="2"/>
      <c r="AV650" s="1"/>
      <c r="BD650" s="1"/>
    </row>
    <row r="651" spans="2:57" x14ac:dyDescent="0.3">
      <c r="B651" s="1"/>
      <c r="J651" s="2"/>
      <c r="AV651" s="1"/>
      <c r="BD651" s="1"/>
    </row>
    <row r="652" spans="2:57" x14ac:dyDescent="0.3">
      <c r="B652" s="1"/>
      <c r="J652" s="2"/>
      <c r="AV652" s="1"/>
      <c r="BD652" s="1"/>
    </row>
    <row r="653" spans="2:57" x14ac:dyDescent="0.3">
      <c r="B653" s="1"/>
      <c r="J653" s="2"/>
      <c r="AV653" s="1"/>
      <c r="BD653" s="1"/>
    </row>
    <row r="654" spans="2:57" x14ac:dyDescent="0.3">
      <c r="B654" s="1"/>
      <c r="J654" s="2"/>
      <c r="AU654" s="1"/>
      <c r="BA654" s="1"/>
      <c r="BD654" s="1"/>
      <c r="BE654" s="1"/>
    </row>
    <row r="655" spans="2:57" x14ac:dyDescent="0.3">
      <c r="B655" s="1"/>
      <c r="J655" s="2"/>
      <c r="AV655" s="1"/>
      <c r="BD655" s="1"/>
    </row>
    <row r="656" spans="2:57" x14ac:dyDescent="0.3">
      <c r="B656" s="1"/>
      <c r="J656" s="2"/>
      <c r="AV656" s="1"/>
      <c r="BD656" s="1"/>
    </row>
    <row r="657" spans="2:57" x14ac:dyDescent="0.3">
      <c r="B657" s="1"/>
      <c r="J657" s="2"/>
      <c r="BD657" s="1"/>
    </row>
    <row r="658" spans="2:57" x14ac:dyDescent="0.3">
      <c r="B658" s="1"/>
      <c r="J658" s="2"/>
      <c r="BA658" s="1"/>
      <c r="BD658" s="1"/>
      <c r="BE658" s="1"/>
    </row>
    <row r="659" spans="2:57" x14ac:dyDescent="0.3">
      <c r="B659" s="1"/>
      <c r="J659" s="2"/>
      <c r="AV659" s="1"/>
      <c r="BD659" s="1"/>
    </row>
    <row r="660" spans="2:57" x14ac:dyDescent="0.3">
      <c r="B660" s="1"/>
      <c r="J660" s="2"/>
      <c r="AV660" s="1"/>
      <c r="BD660" s="1"/>
    </row>
    <row r="661" spans="2:57" x14ac:dyDescent="0.3">
      <c r="B661" s="1"/>
      <c r="J661" s="2"/>
      <c r="AV661" s="1"/>
      <c r="BD661" s="1"/>
    </row>
    <row r="662" spans="2:57" x14ac:dyDescent="0.3">
      <c r="B662" s="1"/>
      <c r="J662" s="2"/>
      <c r="AV662" s="1"/>
      <c r="BD662" s="1"/>
    </row>
    <row r="663" spans="2:57" x14ac:dyDescent="0.3">
      <c r="B663" s="1"/>
      <c r="J663" s="2"/>
      <c r="AU663" s="1"/>
      <c r="BA663" s="1"/>
      <c r="BD663" s="1"/>
      <c r="BE663" s="1"/>
    </row>
    <row r="664" spans="2:57" x14ac:dyDescent="0.3">
      <c r="B664" s="1"/>
      <c r="J664" s="2"/>
      <c r="AV664" s="1"/>
      <c r="BD664" s="1"/>
    </row>
    <row r="665" spans="2:57" x14ac:dyDescent="0.3">
      <c r="B665" s="1"/>
      <c r="J665" s="2"/>
      <c r="AV665" s="1"/>
      <c r="BD665" s="1"/>
    </row>
    <row r="666" spans="2:57" x14ac:dyDescent="0.3">
      <c r="B666" s="1"/>
      <c r="J666" s="2"/>
      <c r="AV666" s="1"/>
      <c r="BD666" s="1"/>
    </row>
    <row r="667" spans="2:57" x14ac:dyDescent="0.3">
      <c r="B667" s="1"/>
      <c r="J667" s="2"/>
      <c r="BD667" s="1"/>
    </row>
    <row r="668" spans="2:57" x14ac:dyDescent="0.3">
      <c r="B668" s="1"/>
      <c r="J668" s="2"/>
      <c r="AV668" s="1"/>
      <c r="BD668" s="1"/>
    </row>
    <row r="669" spans="2:57" x14ac:dyDescent="0.3">
      <c r="B669" s="1"/>
      <c r="J669" s="2"/>
      <c r="BD669" s="1"/>
    </row>
    <row r="670" spans="2:57" x14ac:dyDescent="0.3">
      <c r="B670" s="1"/>
      <c r="J670" s="2"/>
      <c r="AV670" s="1"/>
      <c r="BD670" s="1"/>
    </row>
    <row r="671" spans="2:57" x14ac:dyDescent="0.3">
      <c r="B671" s="1"/>
      <c r="J671" s="2"/>
      <c r="AV671" s="1"/>
      <c r="BD671" s="1"/>
    </row>
    <row r="672" spans="2:57" x14ac:dyDescent="0.3">
      <c r="B672" s="1"/>
      <c r="J672" s="2"/>
      <c r="AV672" s="1"/>
      <c r="BD672" s="1"/>
    </row>
    <row r="673" spans="2:57" x14ac:dyDescent="0.3">
      <c r="B673" s="1"/>
      <c r="J673" s="2"/>
      <c r="AV673" s="1"/>
      <c r="BD673" s="1"/>
    </row>
    <row r="674" spans="2:57" x14ac:dyDescent="0.3">
      <c r="B674" s="1"/>
      <c r="J674" s="2"/>
      <c r="BD674" s="1"/>
      <c r="BE674" s="1"/>
    </row>
    <row r="675" spans="2:57" x14ac:dyDescent="0.3">
      <c r="B675" s="1"/>
      <c r="J675" s="2"/>
      <c r="BD675" s="1"/>
    </row>
    <row r="676" spans="2:57" x14ac:dyDescent="0.3">
      <c r="B676" s="1"/>
      <c r="J676" s="2"/>
      <c r="BD676" s="1"/>
    </row>
    <row r="677" spans="2:57" x14ac:dyDescent="0.3">
      <c r="B677" s="1"/>
      <c r="J677" s="2"/>
      <c r="BD677" s="1"/>
    </row>
    <row r="678" spans="2:57" x14ac:dyDescent="0.3">
      <c r="B678" s="1"/>
      <c r="J678" s="2"/>
      <c r="BD678" s="1"/>
    </row>
    <row r="679" spans="2:57" x14ac:dyDescent="0.3">
      <c r="B679" s="1"/>
      <c r="J679" s="2"/>
      <c r="BD679" s="1"/>
    </row>
    <row r="682" spans="2:57" x14ac:dyDescent="0.3">
      <c r="B682" s="1"/>
      <c r="J682" s="2"/>
      <c r="AG682" s="1"/>
      <c r="AU682" s="1"/>
      <c r="AV682" s="1"/>
      <c r="AW682" s="1"/>
      <c r="AX682" s="1"/>
      <c r="BA682" s="1"/>
      <c r="BD682" s="1"/>
      <c r="BE682" s="1"/>
    </row>
    <row r="683" spans="2:57" x14ac:dyDescent="0.3">
      <c r="B683" s="1"/>
      <c r="J683" s="2"/>
      <c r="AG683" s="1"/>
      <c r="AU683" s="1"/>
      <c r="AV683" s="1"/>
      <c r="AW683" s="1"/>
      <c r="AX683" s="1"/>
      <c r="BA683" s="1"/>
      <c r="BD683" s="1"/>
      <c r="BE683" s="1"/>
    </row>
    <row r="684" spans="2:57" x14ac:dyDescent="0.3">
      <c r="B684" s="1"/>
      <c r="J684" s="2"/>
      <c r="AV684" s="1"/>
      <c r="AW684" s="1"/>
      <c r="AX684" s="1"/>
      <c r="BA684" s="1"/>
      <c r="BD684" s="1"/>
    </row>
    <row r="685" spans="2:57" x14ac:dyDescent="0.3">
      <c r="B685" s="1"/>
      <c r="J685" s="2"/>
      <c r="AV685" s="1"/>
      <c r="AW685" s="1"/>
      <c r="AX685" s="1"/>
      <c r="BA685" s="1"/>
      <c r="BD685" s="1"/>
    </row>
    <row r="686" spans="2:57" x14ac:dyDescent="0.3">
      <c r="B686" s="1"/>
      <c r="J686" s="2"/>
      <c r="AG686" s="1"/>
      <c r="AU686" s="1"/>
      <c r="AV686" s="1"/>
      <c r="AW686" s="1"/>
      <c r="AX686" s="1"/>
      <c r="BA686" s="1"/>
      <c r="BD686" s="1"/>
      <c r="BE686" s="1"/>
    </row>
    <row r="687" spans="2:57" x14ac:dyDescent="0.3">
      <c r="B687" s="1"/>
      <c r="J687" s="2"/>
      <c r="AV687" s="1"/>
      <c r="AW687" s="1"/>
      <c r="AX687" s="1"/>
      <c r="BA687" s="1"/>
      <c r="BD687" s="1"/>
    </row>
    <row r="688" spans="2:57" x14ac:dyDescent="0.3">
      <c r="B688" s="1"/>
      <c r="J688" s="2"/>
      <c r="AV688" s="1"/>
      <c r="AW688" s="1"/>
      <c r="AX688" s="1"/>
      <c r="BA688" s="1"/>
      <c r="BD688" s="1"/>
    </row>
    <row r="689" spans="2:57" x14ac:dyDescent="0.3">
      <c r="B689" s="1"/>
      <c r="J689" s="2"/>
      <c r="AG689" s="1"/>
      <c r="AU689" s="1"/>
      <c r="AV689" s="1"/>
      <c r="AW689" s="1"/>
      <c r="AX689" s="1"/>
      <c r="BA689" s="1"/>
      <c r="BD689" s="1"/>
      <c r="BE689" s="1"/>
    </row>
    <row r="690" spans="2:57" x14ac:dyDescent="0.3">
      <c r="B690" s="1"/>
      <c r="J690" s="2"/>
      <c r="AV690" s="1"/>
      <c r="AW690" s="1"/>
      <c r="AX690" s="1"/>
      <c r="BA690" s="1"/>
      <c r="BD690" s="1"/>
    </row>
    <row r="691" spans="2:57" x14ac:dyDescent="0.3">
      <c r="B691" s="1"/>
      <c r="J691" s="2"/>
      <c r="AV691" s="1"/>
      <c r="AW691" s="1"/>
      <c r="AX691" s="1"/>
      <c r="BA691" s="1"/>
      <c r="BD691" s="1"/>
    </row>
    <row r="692" spans="2:57" x14ac:dyDescent="0.3">
      <c r="B692" s="1"/>
      <c r="J692" s="2"/>
      <c r="AV692" s="1"/>
      <c r="AW692" s="1"/>
      <c r="AX692" s="1"/>
      <c r="BA692" s="1"/>
      <c r="BD692" s="1"/>
    </row>
    <row r="693" spans="2:57" x14ac:dyDescent="0.3">
      <c r="B693" s="1"/>
      <c r="J693" s="2"/>
      <c r="AV693" s="1"/>
      <c r="AW693" s="1"/>
      <c r="AX693" s="1"/>
      <c r="BA693" s="1"/>
      <c r="BD693" s="1"/>
    </row>
    <row r="694" spans="2:57" x14ac:dyDescent="0.3">
      <c r="B694" s="1"/>
      <c r="J694" s="2"/>
      <c r="AV694" s="1"/>
      <c r="AW694" s="1"/>
      <c r="AX694" s="1"/>
      <c r="BA694" s="1"/>
      <c r="BD694" s="1"/>
    </row>
    <row r="695" spans="2:57" x14ac:dyDescent="0.3">
      <c r="B695" s="1"/>
      <c r="J695" s="2"/>
      <c r="AG695" s="1"/>
      <c r="AU695" s="1"/>
      <c r="AV695" s="1"/>
      <c r="AW695" s="1"/>
      <c r="AX695" s="1"/>
      <c r="BA695" s="1"/>
      <c r="BD695" s="1"/>
      <c r="BE695" s="1"/>
    </row>
    <row r="696" spans="2:57" x14ac:dyDescent="0.3">
      <c r="B696" s="1"/>
      <c r="J696" s="2"/>
      <c r="AV696" s="1"/>
      <c r="AW696" s="1"/>
      <c r="AX696" s="1"/>
      <c r="BA696" s="1"/>
      <c r="BD696" s="1"/>
    </row>
    <row r="697" spans="2:57" x14ac:dyDescent="0.3">
      <c r="B697" s="1"/>
      <c r="J697" s="2"/>
      <c r="AV697" s="1"/>
      <c r="AW697" s="1"/>
      <c r="AX697" s="1"/>
      <c r="BA697" s="1"/>
      <c r="BD697" s="1"/>
    </row>
    <row r="698" spans="2:57" x14ac:dyDescent="0.3">
      <c r="B698" s="1"/>
      <c r="J698" s="2"/>
      <c r="AV698" s="1"/>
      <c r="AW698" s="1"/>
      <c r="AX698" s="1"/>
      <c r="BA698" s="1"/>
      <c r="BD698" s="1"/>
    </row>
    <row r="699" spans="2:57" x14ac:dyDescent="0.3">
      <c r="B699" s="1"/>
      <c r="J699" s="2"/>
      <c r="AV699" s="1"/>
      <c r="AW699" s="1"/>
      <c r="AX699" s="1"/>
      <c r="BA699" s="1"/>
      <c r="BD699" s="1"/>
      <c r="BE699" s="1"/>
    </row>
    <row r="700" spans="2:57" x14ac:dyDescent="0.3">
      <c r="B700" s="1"/>
      <c r="J700" s="2"/>
      <c r="AV700" s="1"/>
      <c r="AW700" s="1"/>
      <c r="AX700" s="1"/>
      <c r="BA700" s="1"/>
      <c r="BD700" s="1"/>
    </row>
    <row r="701" spans="2:57" x14ac:dyDescent="0.3">
      <c r="B701" s="1"/>
      <c r="J701" s="2"/>
      <c r="AV701" s="1"/>
      <c r="AW701" s="1"/>
      <c r="AX701" s="1"/>
      <c r="BA701" s="1"/>
      <c r="BD701" s="1"/>
    </row>
    <row r="702" spans="2:57" x14ac:dyDescent="0.3">
      <c r="B702" s="1"/>
      <c r="J702" s="2"/>
      <c r="AV702" s="1"/>
      <c r="AW702" s="1"/>
      <c r="AX702" s="1"/>
      <c r="BA702" s="1"/>
      <c r="BD702" s="1"/>
    </row>
    <row r="703" spans="2:57" x14ac:dyDescent="0.3">
      <c r="B703" s="1"/>
      <c r="J703" s="2"/>
      <c r="AV703" s="1"/>
      <c r="AW703" s="1"/>
      <c r="AX703" s="1"/>
      <c r="BA703" s="1"/>
      <c r="BD703" s="1"/>
    </row>
    <row r="704" spans="2:57" x14ac:dyDescent="0.3">
      <c r="B704" s="1"/>
      <c r="J704" s="2"/>
      <c r="AV704" s="1"/>
      <c r="AW704" s="1"/>
      <c r="AX704" s="1"/>
      <c r="BA704" s="1"/>
      <c r="BD704" s="1"/>
    </row>
    <row r="705" spans="2:57" x14ac:dyDescent="0.3">
      <c r="B705" s="1"/>
      <c r="J705" s="2"/>
      <c r="AV705" s="1"/>
      <c r="AW705" s="1"/>
      <c r="AX705" s="1"/>
      <c r="BA705" s="1"/>
      <c r="BD705" s="1"/>
      <c r="BE705" s="1"/>
    </row>
    <row r="706" spans="2:57" x14ac:dyDescent="0.3">
      <c r="B706" s="1"/>
      <c r="J706" s="2"/>
      <c r="AV706" s="1"/>
      <c r="AW706" s="1"/>
      <c r="AX706" s="1"/>
      <c r="BA706" s="1"/>
      <c r="BD706" s="1"/>
    </row>
    <row r="707" spans="2:57" x14ac:dyDescent="0.3">
      <c r="B707" s="1"/>
      <c r="J707" s="2"/>
      <c r="AV707" s="1"/>
      <c r="AW707" s="1"/>
      <c r="AX707" s="1"/>
      <c r="BA707" s="1"/>
      <c r="BD707" s="1"/>
      <c r="BE707" s="1"/>
    </row>
    <row r="708" spans="2:57" x14ac:dyDescent="0.3">
      <c r="B708" s="1"/>
      <c r="J708" s="2"/>
      <c r="AV708" s="1"/>
      <c r="AW708" s="1"/>
      <c r="AX708" s="1"/>
      <c r="BA708" s="1"/>
      <c r="BD708" s="1"/>
    </row>
    <row r="709" spans="2:57" x14ac:dyDescent="0.3">
      <c r="B709" s="1"/>
      <c r="J709" s="2"/>
      <c r="AV709" s="1"/>
      <c r="AW709" s="1"/>
      <c r="AX709" s="1"/>
      <c r="BA709" s="1"/>
      <c r="BD709" s="1"/>
    </row>
    <row r="710" spans="2:57" x14ac:dyDescent="0.3">
      <c r="B710" s="1"/>
      <c r="J710" s="2"/>
      <c r="AV710" s="1"/>
      <c r="AW710" s="1"/>
      <c r="AX710" s="1"/>
      <c r="BA710" s="1"/>
      <c r="BD710" s="1"/>
    </row>
    <row r="711" spans="2:57" x14ac:dyDescent="0.3">
      <c r="B711" s="1"/>
      <c r="J711" s="2"/>
      <c r="AV711" s="1"/>
      <c r="AW711" s="1"/>
      <c r="AX711" s="1"/>
      <c r="BA711" s="1"/>
      <c r="BD711" s="1"/>
    </row>
    <row r="712" spans="2:57" x14ac:dyDescent="0.3">
      <c r="B712" s="1"/>
      <c r="J712" s="2"/>
      <c r="AV712" s="1"/>
      <c r="AW712" s="1"/>
      <c r="AX712" s="1"/>
      <c r="BA712" s="1"/>
      <c r="BD712" s="1"/>
    </row>
    <row r="713" spans="2:57" x14ac:dyDescent="0.3">
      <c r="B713" s="1"/>
      <c r="J713" s="2"/>
      <c r="AV713" s="1"/>
      <c r="AW713" s="1"/>
      <c r="AX713" s="1"/>
      <c r="BA713" s="1"/>
      <c r="BD713" s="1"/>
    </row>
    <row r="714" spans="2:57" x14ac:dyDescent="0.3">
      <c r="B714" s="1"/>
      <c r="J714" s="2"/>
      <c r="AV714" s="1"/>
      <c r="AW714" s="1"/>
      <c r="AX714" s="1"/>
      <c r="BA714" s="1"/>
      <c r="BD714" s="1"/>
    </row>
    <row r="715" spans="2:57" x14ac:dyDescent="0.3">
      <c r="B715" s="1"/>
      <c r="J715" s="2"/>
      <c r="AV715" s="1"/>
      <c r="AW715" s="1"/>
      <c r="AX715" s="1"/>
      <c r="BA715" s="1"/>
      <c r="BD715" s="1"/>
    </row>
    <row r="716" spans="2:57" x14ac:dyDescent="0.3">
      <c r="B716" s="1"/>
      <c r="J716" s="2"/>
      <c r="AV716" s="1"/>
      <c r="AW716" s="1"/>
      <c r="AX716" s="1"/>
      <c r="BA716" s="1"/>
      <c r="BD716" s="1"/>
    </row>
    <row r="717" spans="2:57" x14ac:dyDescent="0.3">
      <c r="B717" s="1"/>
      <c r="J717" s="2"/>
      <c r="AV717" s="1"/>
      <c r="AW717" s="1"/>
      <c r="AX717" s="1"/>
      <c r="BA717" s="1"/>
      <c r="BD717" s="1"/>
    </row>
    <row r="718" spans="2:57" x14ac:dyDescent="0.3">
      <c r="B718" s="1"/>
      <c r="J718" s="2"/>
      <c r="AV718" s="1"/>
      <c r="AW718" s="1"/>
      <c r="AX718" s="1"/>
      <c r="BA718" s="1"/>
      <c r="BD718" s="1"/>
    </row>
    <row r="719" spans="2:57" x14ac:dyDescent="0.3">
      <c r="B719" s="1"/>
      <c r="J719" s="2"/>
      <c r="AV719" s="1"/>
      <c r="AW719" s="1"/>
      <c r="AX719" s="1"/>
      <c r="BA719" s="1"/>
      <c r="BD719" s="1"/>
    </row>
    <row r="720" spans="2:57" x14ac:dyDescent="0.3">
      <c r="B720" s="1"/>
      <c r="J720" s="2"/>
      <c r="AV720" s="1"/>
      <c r="AW720" s="1"/>
      <c r="AX720" s="1"/>
      <c r="BA720" s="1"/>
      <c r="BD720" s="1"/>
    </row>
    <row r="721" spans="2:56" x14ac:dyDescent="0.3">
      <c r="B721" s="1"/>
      <c r="J721" s="2"/>
      <c r="AV721" s="1"/>
      <c r="AW721" s="1"/>
      <c r="AX721" s="1"/>
      <c r="BA721" s="1"/>
      <c r="BD721" s="1"/>
    </row>
    <row r="722" spans="2:56" x14ac:dyDescent="0.3">
      <c r="B722" s="1"/>
      <c r="J722" s="2"/>
      <c r="AV722" s="1"/>
      <c r="AW722" s="1"/>
      <c r="AX722" s="1"/>
      <c r="BA722" s="1"/>
      <c r="BD722" s="1"/>
    </row>
    <row r="723" spans="2:56" x14ac:dyDescent="0.3">
      <c r="B723" s="1"/>
      <c r="J723" s="2"/>
      <c r="AV723" s="1"/>
      <c r="AW723" s="1"/>
      <c r="AX723" s="1"/>
      <c r="BA723" s="1"/>
      <c r="BD723" s="1"/>
    </row>
    <row r="724" spans="2:56" x14ac:dyDescent="0.3">
      <c r="B724" s="1"/>
      <c r="J724" s="2"/>
      <c r="AV724" s="1"/>
      <c r="AW724" s="1"/>
      <c r="AX724" s="1"/>
      <c r="BA724" s="1"/>
      <c r="BD724" s="1"/>
    </row>
    <row r="725" spans="2:56" x14ac:dyDescent="0.3">
      <c r="B725" s="1"/>
      <c r="J725" s="2"/>
      <c r="AV725" s="1"/>
      <c r="AW725" s="1"/>
      <c r="AX725" s="1"/>
      <c r="BA725" s="1"/>
      <c r="BD725" s="1"/>
    </row>
    <row r="726" spans="2:56" x14ac:dyDescent="0.3">
      <c r="B726" s="1"/>
      <c r="J726" s="2"/>
      <c r="AV726" s="1"/>
      <c r="AW726" s="1"/>
      <c r="AX726" s="1"/>
      <c r="BA726" s="1"/>
      <c r="BD726" s="1"/>
    </row>
    <row r="727" spans="2:56" x14ac:dyDescent="0.3">
      <c r="B727" s="1"/>
      <c r="J727" s="2"/>
      <c r="AV727" s="1"/>
      <c r="AW727" s="1"/>
      <c r="AX727" s="1"/>
      <c r="BA727" s="1"/>
      <c r="BD727" s="1"/>
    </row>
    <row r="728" spans="2:56" x14ac:dyDescent="0.3">
      <c r="B728" s="1"/>
      <c r="J728" s="2"/>
      <c r="AV728" s="1"/>
      <c r="AW728" s="1"/>
      <c r="AX728" s="1"/>
      <c r="BA728" s="1"/>
      <c r="BD728" s="1"/>
    </row>
    <row r="729" spans="2:56" x14ac:dyDescent="0.3">
      <c r="B729" s="1"/>
      <c r="J729" s="2"/>
      <c r="AV729" s="1"/>
      <c r="AW729" s="1"/>
      <c r="AX729" s="1"/>
      <c r="BA729" s="1"/>
      <c r="BD729" s="1"/>
    </row>
    <row r="730" spans="2:56" x14ac:dyDescent="0.3">
      <c r="B730" s="1"/>
      <c r="J730" s="2"/>
      <c r="AV730" s="1"/>
      <c r="AW730" s="1"/>
      <c r="AX730" s="1"/>
      <c r="BA730" s="1"/>
      <c r="BD730" s="1"/>
    </row>
    <row r="731" spans="2:56" x14ac:dyDescent="0.3">
      <c r="B731" s="1"/>
      <c r="J731" s="2"/>
      <c r="AV731" s="1"/>
      <c r="AW731" s="1"/>
      <c r="AX731" s="1"/>
      <c r="BA731" s="1"/>
      <c r="BD731" s="1"/>
    </row>
    <row r="732" spans="2:56" x14ac:dyDescent="0.3">
      <c r="B732" s="1"/>
      <c r="J732" s="2"/>
      <c r="AV732" s="1"/>
      <c r="AW732" s="1"/>
      <c r="AX732" s="1"/>
      <c r="BA732" s="1"/>
      <c r="BD732" s="1"/>
    </row>
    <row r="733" spans="2:56" x14ac:dyDescent="0.3">
      <c r="B733" s="1"/>
      <c r="J733" s="2"/>
      <c r="AV733" s="1"/>
      <c r="AW733" s="1"/>
      <c r="AX733" s="1"/>
      <c r="BA733" s="1"/>
      <c r="BD733" s="1"/>
    </row>
    <row r="734" spans="2:56" x14ac:dyDescent="0.3">
      <c r="B734" s="1"/>
      <c r="J734" s="2"/>
      <c r="AV734" s="1"/>
      <c r="AW734" s="1"/>
      <c r="AX734" s="1"/>
      <c r="BA734" s="1"/>
      <c r="BD734" s="1"/>
    </row>
    <row r="735" spans="2:56" x14ac:dyDescent="0.3">
      <c r="B735" s="1"/>
      <c r="J735" s="2"/>
      <c r="AV735" s="1"/>
      <c r="AW735" s="1"/>
      <c r="AX735" s="1"/>
      <c r="BA735" s="1"/>
      <c r="BD735" s="1"/>
    </row>
    <row r="736" spans="2:56" x14ac:dyDescent="0.3">
      <c r="B736" s="1"/>
      <c r="J736" s="2"/>
      <c r="AV736" s="1"/>
      <c r="AW736" s="1"/>
      <c r="AX736" s="1"/>
      <c r="BA736" s="1"/>
      <c r="BD736" s="1"/>
    </row>
    <row r="737" spans="2:56" x14ac:dyDescent="0.3">
      <c r="B737" s="1"/>
      <c r="J737" s="2"/>
      <c r="AV737" s="1"/>
      <c r="AW737" s="1"/>
      <c r="AX737" s="1"/>
      <c r="BA737" s="1"/>
      <c r="BD737" s="1"/>
    </row>
    <row r="738" spans="2:56" x14ac:dyDescent="0.3">
      <c r="B738" s="1"/>
      <c r="J738" s="2"/>
      <c r="AV738" s="1"/>
      <c r="AW738" s="1"/>
      <c r="AX738" s="1"/>
      <c r="BA738" s="1"/>
      <c r="BD738" s="1"/>
    </row>
    <row r="739" spans="2:56" x14ac:dyDescent="0.3">
      <c r="B739" s="1"/>
      <c r="J739" s="2"/>
      <c r="AV739" s="1"/>
      <c r="AW739" s="1"/>
      <c r="AX739" s="1"/>
      <c r="BA739" s="1"/>
      <c r="BD739" s="1"/>
    </row>
    <row r="740" spans="2:56" x14ac:dyDescent="0.3">
      <c r="B740" s="1"/>
      <c r="J740" s="2"/>
      <c r="AV740" s="1"/>
      <c r="AW740" s="1"/>
      <c r="AX740" s="1"/>
      <c r="BA740" s="1"/>
      <c r="BD740" s="1"/>
    </row>
    <row r="741" spans="2:56" x14ac:dyDescent="0.3">
      <c r="B741" s="1"/>
      <c r="J741" s="2"/>
      <c r="AV741" s="1"/>
      <c r="AW741" s="1"/>
      <c r="AX741" s="1"/>
      <c r="BA741" s="1"/>
      <c r="BD741" s="1"/>
    </row>
    <row r="742" spans="2:56" x14ac:dyDescent="0.3">
      <c r="B742" s="1"/>
      <c r="J742" s="2"/>
      <c r="AV742" s="1"/>
      <c r="AW742" s="1"/>
      <c r="AX742" s="1"/>
      <c r="BA742" s="1"/>
      <c r="BD742" s="1"/>
    </row>
    <row r="743" spans="2:56" x14ac:dyDescent="0.3">
      <c r="B743" s="1"/>
      <c r="J743" s="2"/>
      <c r="AV743" s="1"/>
      <c r="AW743" s="1"/>
      <c r="AX743" s="1"/>
      <c r="BA743" s="1"/>
      <c r="BD743" s="1"/>
    </row>
    <row r="744" spans="2:56" x14ac:dyDescent="0.3">
      <c r="B744" s="1"/>
      <c r="J744" s="2"/>
      <c r="AV744" s="1"/>
      <c r="AW744" s="1"/>
      <c r="AX744" s="1"/>
      <c r="BA744" s="1"/>
      <c r="BD744" s="1"/>
    </row>
    <row r="745" spans="2:56" x14ac:dyDescent="0.3">
      <c r="B745" s="1"/>
      <c r="J745" s="2"/>
      <c r="AV745" s="1"/>
      <c r="AW745" s="1"/>
      <c r="AX745" s="1"/>
      <c r="BA745" s="1"/>
      <c r="BD745" s="1"/>
    </row>
    <row r="746" spans="2:56" x14ac:dyDescent="0.3">
      <c r="B746" s="1"/>
      <c r="J746" s="2"/>
      <c r="AV746" s="1"/>
      <c r="AW746" s="1"/>
      <c r="AX746" s="1"/>
      <c r="BA746" s="1"/>
      <c r="BD746" s="1"/>
    </row>
    <row r="747" spans="2:56" x14ac:dyDescent="0.3">
      <c r="B747" s="1"/>
      <c r="J747" s="2"/>
      <c r="AV747" s="1"/>
      <c r="AW747" s="1"/>
      <c r="AX747" s="1"/>
      <c r="BA747" s="1"/>
      <c r="BD747" s="1"/>
    </row>
    <row r="748" spans="2:56" x14ac:dyDescent="0.3">
      <c r="B748" s="1"/>
      <c r="J748" s="2"/>
      <c r="AV748" s="1"/>
      <c r="AW748" s="1"/>
      <c r="AX748" s="1"/>
      <c r="BA748" s="1"/>
      <c r="BD748" s="1"/>
    </row>
    <row r="749" spans="2:56" x14ac:dyDescent="0.3">
      <c r="B749" s="1"/>
      <c r="J749" s="2"/>
      <c r="AV749" s="1"/>
      <c r="AW749" s="1"/>
      <c r="AX749" s="1"/>
      <c r="BA749" s="1"/>
      <c r="BD749" s="1"/>
    </row>
    <row r="750" spans="2:56" x14ac:dyDescent="0.3">
      <c r="B750" s="1"/>
      <c r="J750" s="2"/>
      <c r="AV750" s="1"/>
      <c r="AW750" s="1"/>
      <c r="AX750" s="1"/>
      <c r="BA750" s="1"/>
      <c r="BD750" s="1"/>
    </row>
    <row r="751" spans="2:56" x14ac:dyDescent="0.3">
      <c r="B751" s="1"/>
      <c r="J751" s="2"/>
      <c r="AV751" s="1"/>
      <c r="AW751" s="1"/>
      <c r="AX751" s="1"/>
      <c r="BA751" s="1"/>
      <c r="BD751" s="1"/>
    </row>
    <row r="752" spans="2:56" x14ac:dyDescent="0.3">
      <c r="B752" s="1"/>
      <c r="J752" s="2"/>
      <c r="AV752" s="1"/>
      <c r="AW752" s="1"/>
      <c r="AX752" s="1"/>
      <c r="BA752" s="1"/>
      <c r="BD752" s="1"/>
    </row>
    <row r="753" spans="2:57" x14ac:dyDescent="0.3">
      <c r="B753" s="1"/>
      <c r="J753" s="2"/>
      <c r="AV753" s="1"/>
      <c r="AW753" s="1"/>
      <c r="AX753" s="1"/>
      <c r="BA753" s="1"/>
      <c r="BD753" s="1"/>
    </row>
    <row r="754" spans="2:57" x14ac:dyDescent="0.3">
      <c r="B754" s="1"/>
      <c r="J754" s="2"/>
      <c r="AV754" s="1"/>
      <c r="AW754" s="1"/>
      <c r="AX754" s="1"/>
      <c r="BA754" s="1"/>
      <c r="BD754" s="1"/>
    </row>
    <row r="755" spans="2:57" x14ac:dyDescent="0.3">
      <c r="B755" s="1"/>
      <c r="J755" s="2"/>
      <c r="AV755" s="1"/>
      <c r="AW755" s="1"/>
      <c r="AX755" s="1"/>
      <c r="BA755" s="1"/>
      <c r="BD755" s="1"/>
    </row>
    <row r="756" spans="2:57" x14ac:dyDescent="0.3">
      <c r="B756" s="1"/>
      <c r="J756" s="2"/>
      <c r="AV756" s="1"/>
      <c r="AW756" s="1"/>
      <c r="AX756" s="1"/>
      <c r="BA756" s="1"/>
      <c r="BD756" s="1"/>
      <c r="BE756" s="1"/>
    </row>
    <row r="757" spans="2:57" x14ac:dyDescent="0.3">
      <c r="B757" s="1"/>
      <c r="J757" s="2"/>
      <c r="AV757" s="1"/>
      <c r="AW757" s="1"/>
      <c r="AX757" s="1"/>
      <c r="BA757" s="1"/>
      <c r="BD757" s="1"/>
    </row>
    <row r="758" spans="2:57" x14ac:dyDescent="0.3">
      <c r="B758" s="1"/>
      <c r="J758" s="2"/>
      <c r="AV758" s="1"/>
      <c r="AW758" s="1"/>
      <c r="AX758" s="1"/>
      <c r="BA758" s="1"/>
      <c r="BD758" s="1"/>
    </row>
    <row r="759" spans="2:57" x14ac:dyDescent="0.3">
      <c r="B759" s="1"/>
      <c r="J759" s="2"/>
      <c r="AV759" s="1"/>
      <c r="AW759" s="1"/>
      <c r="AX759" s="1"/>
      <c r="BA759" s="1"/>
      <c r="BD759" s="1"/>
    </row>
    <row r="760" spans="2:57" x14ac:dyDescent="0.3">
      <c r="B760" s="1"/>
      <c r="J760" s="2"/>
      <c r="AV760" s="1"/>
      <c r="AW760" s="1"/>
      <c r="AX760" s="1"/>
      <c r="BA760" s="1"/>
      <c r="BD760" s="1"/>
    </row>
    <row r="761" spans="2:57" x14ac:dyDescent="0.3">
      <c r="B761" s="1"/>
      <c r="J761" s="2"/>
      <c r="AV761" s="1"/>
      <c r="AW761" s="1"/>
      <c r="AX761" s="1"/>
      <c r="BA761" s="1"/>
      <c r="BD761" s="1"/>
    </row>
    <row r="762" spans="2:57" x14ac:dyDescent="0.3">
      <c r="B762" s="1"/>
      <c r="J762" s="2"/>
      <c r="AV762" s="1"/>
      <c r="AW762" s="1"/>
      <c r="AX762" s="1"/>
      <c r="BA762" s="1"/>
      <c r="BD762" s="1"/>
    </row>
    <row r="763" spans="2:57" x14ac:dyDescent="0.3">
      <c r="B763" s="1"/>
      <c r="J763" s="2"/>
      <c r="AV763" s="1"/>
      <c r="AW763" s="1"/>
      <c r="AX763" s="1"/>
      <c r="BA763" s="1"/>
      <c r="BD763" s="1"/>
    </row>
    <row r="764" spans="2:57" x14ac:dyDescent="0.3">
      <c r="B764" s="1"/>
      <c r="J764" s="2"/>
      <c r="AV764" s="1"/>
      <c r="AW764" s="1"/>
      <c r="AX764" s="1"/>
      <c r="BA764" s="1"/>
      <c r="BD764" s="1"/>
    </row>
    <row r="765" spans="2:57" x14ac:dyDescent="0.3">
      <c r="B765" s="1"/>
      <c r="J765" s="2"/>
      <c r="AV765" s="1"/>
      <c r="AW765" s="1"/>
      <c r="AX765" s="1"/>
      <c r="BA765" s="1"/>
      <c r="BD765" s="1"/>
    </row>
    <row r="766" spans="2:57" x14ac:dyDescent="0.3">
      <c r="B766" s="1"/>
      <c r="J766" s="2"/>
      <c r="AV766" s="1"/>
      <c r="AW766" s="1"/>
      <c r="AX766" s="1"/>
      <c r="BA766" s="1"/>
      <c r="BD766" s="1"/>
    </row>
    <row r="767" spans="2:57" x14ac:dyDescent="0.3">
      <c r="B767" s="1"/>
      <c r="J767" s="2"/>
      <c r="AV767" s="1"/>
      <c r="AW767" s="1"/>
      <c r="AX767" s="1"/>
      <c r="BA767" s="1"/>
      <c r="BD767" s="1"/>
    </row>
    <row r="768" spans="2:57" x14ac:dyDescent="0.3">
      <c r="B768" s="1"/>
      <c r="J768" s="2"/>
      <c r="AV768" s="1"/>
      <c r="AW768" s="1"/>
      <c r="AX768" s="1"/>
      <c r="BA768" s="1"/>
      <c r="BD768" s="1"/>
      <c r="BE768" s="1"/>
    </row>
    <row r="769" spans="2:57" x14ac:dyDescent="0.3">
      <c r="B769" s="1"/>
      <c r="J769" s="2"/>
      <c r="AV769" s="1"/>
      <c r="AW769" s="1"/>
      <c r="AX769" s="1"/>
      <c r="BA769" s="1"/>
      <c r="BD769" s="1"/>
    </row>
    <row r="770" spans="2:57" x14ac:dyDescent="0.3">
      <c r="B770" s="1"/>
      <c r="J770" s="2"/>
      <c r="AG770" s="1"/>
      <c r="AU770" s="1"/>
      <c r="AV770" s="1"/>
      <c r="AW770" s="1"/>
      <c r="AX770" s="1"/>
      <c r="BA770" s="1"/>
      <c r="BD770" s="1"/>
    </row>
    <row r="771" spans="2:57" x14ac:dyDescent="0.3">
      <c r="B771" s="1"/>
      <c r="J771" s="2"/>
      <c r="AV771" s="1"/>
      <c r="AW771" s="1"/>
      <c r="AX771" s="1"/>
      <c r="BA771" s="1"/>
      <c r="BD771" s="1"/>
    </row>
    <row r="772" spans="2:57" x14ac:dyDescent="0.3">
      <c r="B772" s="1"/>
      <c r="J772" s="2"/>
      <c r="AV772" s="1"/>
      <c r="AW772" s="1"/>
      <c r="AX772" s="1"/>
      <c r="BA772" s="1"/>
      <c r="BD772" s="1"/>
    </row>
    <row r="773" spans="2:57" x14ac:dyDescent="0.3">
      <c r="B773" s="1"/>
      <c r="J773" s="2"/>
      <c r="AV773" s="1"/>
      <c r="AW773" s="1"/>
      <c r="AX773" s="1"/>
      <c r="BA773" s="1"/>
      <c r="BD773" s="1"/>
    </row>
    <row r="774" spans="2:57" x14ac:dyDescent="0.3">
      <c r="B774" s="1"/>
      <c r="J774" s="2"/>
      <c r="AV774" s="1"/>
      <c r="AW774" s="1"/>
      <c r="AX774" s="1"/>
      <c r="BA774" s="1"/>
      <c r="BD774" s="1"/>
    </row>
    <row r="775" spans="2:57" x14ac:dyDescent="0.3">
      <c r="B775" s="1"/>
      <c r="J775" s="2"/>
      <c r="AV775" s="1"/>
      <c r="AW775" s="1"/>
      <c r="AX775" s="1"/>
      <c r="BA775" s="1"/>
      <c r="BD775" s="1"/>
    </row>
    <row r="776" spans="2:57" x14ac:dyDescent="0.3">
      <c r="B776" s="1"/>
      <c r="J776" s="2"/>
      <c r="AV776" s="1"/>
      <c r="AW776" s="1"/>
      <c r="AX776" s="1"/>
      <c r="BA776" s="1"/>
      <c r="BD776" s="1"/>
    </row>
    <row r="777" spans="2:57" x14ac:dyDescent="0.3">
      <c r="B777" s="1"/>
      <c r="J777" s="2"/>
      <c r="AG777" s="1"/>
      <c r="AU777" s="1"/>
      <c r="AV777" s="1"/>
      <c r="AW777" s="1"/>
      <c r="AX777" s="1"/>
      <c r="BA777" s="1"/>
      <c r="BD777" s="1"/>
      <c r="BE777" s="1"/>
    </row>
    <row r="778" spans="2:57" x14ac:dyDescent="0.3">
      <c r="B778" s="1"/>
      <c r="J778" s="2"/>
      <c r="AG778" s="1"/>
      <c r="AU778" s="1"/>
      <c r="AV778" s="1"/>
      <c r="AW778" s="1"/>
      <c r="AX778" s="1"/>
      <c r="BA778" s="1"/>
      <c r="BD778" s="1"/>
      <c r="BE778" s="1"/>
    </row>
    <row r="779" spans="2:57" x14ac:dyDescent="0.3">
      <c r="B779" s="1"/>
      <c r="J779" s="2"/>
      <c r="AV779" s="1"/>
      <c r="AW779" s="1"/>
      <c r="AX779" s="1"/>
      <c r="BA779" s="1"/>
      <c r="BD779" s="1"/>
    </row>
    <row r="780" spans="2:57" x14ac:dyDescent="0.3">
      <c r="B780" s="1"/>
      <c r="J780" s="2"/>
      <c r="AV780" s="1"/>
      <c r="AW780" s="1"/>
      <c r="AX780" s="1"/>
      <c r="BA780" s="1"/>
      <c r="BD780" s="1"/>
    </row>
    <row r="781" spans="2:57" x14ac:dyDescent="0.3">
      <c r="B781" s="1"/>
      <c r="J781" s="2"/>
      <c r="AV781" s="1"/>
      <c r="AW781" s="1"/>
      <c r="AX781" s="1"/>
      <c r="BA781" s="1"/>
      <c r="BD781" s="1"/>
    </row>
    <row r="782" spans="2:57" x14ac:dyDescent="0.3">
      <c r="B782" s="1"/>
      <c r="J782" s="2"/>
      <c r="AV782" s="1"/>
      <c r="AW782" s="1"/>
      <c r="AX782" s="1"/>
      <c r="BA782" s="1"/>
      <c r="BD782" s="1"/>
    </row>
    <row r="783" spans="2:57" x14ac:dyDescent="0.3">
      <c r="B783" s="1"/>
      <c r="J783" s="2"/>
      <c r="AV783" s="1"/>
      <c r="AW783" s="1"/>
      <c r="AX783" s="1"/>
      <c r="BA783" s="1"/>
      <c r="BD783" s="1"/>
    </row>
    <row r="784" spans="2:57" x14ac:dyDescent="0.3">
      <c r="B784" s="1"/>
      <c r="J784" s="2"/>
      <c r="AV784" s="1"/>
      <c r="AW784" s="1"/>
      <c r="AX784" s="1"/>
      <c r="BA784" s="1"/>
      <c r="BD784" s="1"/>
    </row>
    <row r="785" spans="2:57" x14ac:dyDescent="0.3">
      <c r="B785" s="1"/>
      <c r="J785" s="2"/>
      <c r="AV785" s="1"/>
      <c r="AW785" s="1"/>
      <c r="AX785" s="1"/>
      <c r="BA785" s="1"/>
      <c r="BD785" s="1"/>
    </row>
    <row r="786" spans="2:57" x14ac:dyDescent="0.3">
      <c r="B786" s="1"/>
      <c r="J786" s="2"/>
      <c r="AV786" s="1"/>
      <c r="AW786" s="1"/>
      <c r="AX786" s="1"/>
      <c r="BA786" s="1"/>
      <c r="BD786" s="1"/>
    </row>
    <row r="787" spans="2:57" x14ac:dyDescent="0.3">
      <c r="B787" s="1"/>
      <c r="J787" s="2"/>
      <c r="AV787" s="1"/>
      <c r="AW787" s="1"/>
      <c r="AX787" s="1"/>
      <c r="BA787" s="1"/>
      <c r="BD787" s="1"/>
    </row>
    <row r="788" spans="2:57" x14ac:dyDescent="0.3">
      <c r="B788" s="1"/>
      <c r="J788" s="2"/>
      <c r="AV788" s="1"/>
      <c r="AW788" s="1"/>
      <c r="AX788" s="1"/>
      <c r="BA788" s="1"/>
      <c r="BD788" s="1"/>
    </row>
    <row r="789" spans="2:57" x14ac:dyDescent="0.3">
      <c r="B789" s="1"/>
      <c r="J789" s="2"/>
      <c r="AV789" s="1"/>
      <c r="AW789" s="1"/>
      <c r="AX789" s="1"/>
      <c r="BA789" s="1"/>
      <c r="BD789" s="1"/>
    </row>
    <row r="790" spans="2:57" x14ac:dyDescent="0.3">
      <c r="B790" s="1"/>
      <c r="J790" s="2"/>
      <c r="AV790" s="1"/>
      <c r="AW790" s="1"/>
      <c r="AX790" s="1"/>
      <c r="BA790" s="1"/>
      <c r="BD790" s="1"/>
    </row>
    <row r="791" spans="2:57" x14ac:dyDescent="0.3">
      <c r="B791" s="1"/>
      <c r="J791" s="2"/>
      <c r="AV791" s="1"/>
      <c r="AW791" s="1"/>
      <c r="AX791" s="1"/>
      <c r="BA791" s="1"/>
      <c r="BD791" s="1"/>
    </row>
    <row r="792" spans="2:57" x14ac:dyDescent="0.3">
      <c r="B792" s="1"/>
      <c r="J792" s="2"/>
      <c r="AG792" s="1"/>
      <c r="AU792" s="1"/>
      <c r="AV792" s="1"/>
      <c r="AW792" s="1"/>
      <c r="AX792" s="1"/>
      <c r="BA792" s="1"/>
      <c r="BD792" s="1"/>
      <c r="BE792" s="1"/>
    </row>
    <row r="793" spans="2:57" x14ac:dyDescent="0.3">
      <c r="B793" s="1"/>
      <c r="J793" s="2"/>
      <c r="AV793" s="1"/>
      <c r="AW793" s="1"/>
      <c r="AX793" s="1"/>
      <c r="BA793" s="1"/>
      <c r="BD793" s="1"/>
    </row>
    <row r="794" spans="2:57" x14ac:dyDescent="0.3">
      <c r="B794" s="1"/>
      <c r="J794" s="2"/>
      <c r="AV794" s="1"/>
      <c r="AW794" s="1"/>
      <c r="AX794" s="1"/>
      <c r="BA794" s="1"/>
      <c r="BD794" s="1"/>
    </row>
    <row r="795" spans="2:57" x14ac:dyDescent="0.3">
      <c r="B795" s="1"/>
      <c r="J795" s="2"/>
      <c r="AV795" s="1"/>
      <c r="AW795" s="1"/>
      <c r="AX795" s="1"/>
      <c r="BA795" s="1"/>
      <c r="BD795" s="1"/>
    </row>
    <row r="796" spans="2:57" x14ac:dyDescent="0.3">
      <c r="B796" s="1"/>
      <c r="J796" s="2"/>
      <c r="AV796" s="1"/>
      <c r="AW796" s="1"/>
      <c r="AX796" s="1"/>
      <c r="BA796" s="1"/>
      <c r="BD796" s="1"/>
      <c r="BE796" s="1"/>
    </row>
    <row r="797" spans="2:57" x14ac:dyDescent="0.3">
      <c r="B797" s="1"/>
      <c r="J797" s="2"/>
      <c r="AV797" s="1"/>
      <c r="AW797" s="1"/>
      <c r="AX797" s="1"/>
      <c r="BA797" s="1"/>
      <c r="BD797" s="1"/>
    </row>
    <row r="798" spans="2:57" x14ac:dyDescent="0.3">
      <c r="B798" s="1"/>
      <c r="J798" s="2"/>
      <c r="AV798" s="1"/>
      <c r="AW798" s="1"/>
      <c r="AX798" s="1"/>
      <c r="BA798" s="1"/>
      <c r="BD798" s="1"/>
    </row>
    <row r="799" spans="2:57" x14ac:dyDescent="0.3">
      <c r="B799" s="1"/>
      <c r="J799" s="2"/>
      <c r="AV799" s="1"/>
      <c r="AW799" s="1"/>
      <c r="AX799" s="1"/>
      <c r="BA799" s="1"/>
      <c r="BD799" s="1"/>
    </row>
    <row r="800" spans="2:57" x14ac:dyDescent="0.3">
      <c r="B800" s="1"/>
      <c r="J800" s="2"/>
      <c r="AV800" s="1"/>
      <c r="AW800" s="1"/>
      <c r="AX800" s="1"/>
      <c r="BA800" s="1"/>
      <c r="BD800" s="1"/>
    </row>
    <row r="801" spans="2:56" x14ac:dyDescent="0.3">
      <c r="B801" s="1"/>
      <c r="J801" s="2"/>
      <c r="AV801" s="1"/>
      <c r="AW801" s="1"/>
      <c r="AX801" s="1"/>
      <c r="BA801" s="1"/>
      <c r="BD801" s="1"/>
    </row>
    <row r="802" spans="2:56" x14ac:dyDescent="0.3">
      <c r="B802" s="1"/>
      <c r="J802" s="2"/>
      <c r="AV802" s="1"/>
      <c r="AW802" s="1"/>
      <c r="AX802" s="1"/>
      <c r="BA802" s="1"/>
      <c r="BD802" s="1"/>
    </row>
    <row r="803" spans="2:56" x14ac:dyDescent="0.3">
      <c r="B803" s="1"/>
      <c r="J803" s="2"/>
      <c r="AV803" s="1"/>
      <c r="AW803" s="1"/>
      <c r="AX803" s="1"/>
      <c r="BA803" s="1"/>
      <c r="BD803" s="1"/>
    </row>
    <row r="804" spans="2:56" x14ac:dyDescent="0.3">
      <c r="B804" s="1"/>
      <c r="J804" s="2"/>
      <c r="AV804" s="1"/>
      <c r="AW804" s="1"/>
      <c r="AX804" s="1"/>
      <c r="BA804" s="1"/>
      <c r="BD804" s="1"/>
    </row>
    <row r="805" spans="2:56" x14ac:dyDescent="0.3">
      <c r="B805" s="1"/>
      <c r="J805" s="2"/>
      <c r="AV805" s="1"/>
      <c r="AW805" s="1"/>
      <c r="AX805" s="1"/>
      <c r="BA805" s="1"/>
      <c r="BD805" s="1"/>
    </row>
    <row r="806" spans="2:56" x14ac:dyDescent="0.3">
      <c r="B806" s="1"/>
      <c r="J806" s="2"/>
      <c r="AV806" s="1"/>
      <c r="AW806" s="1"/>
      <c r="AX806" s="1"/>
      <c r="BA806" s="1"/>
      <c r="BD806" s="1"/>
    </row>
    <row r="807" spans="2:56" x14ac:dyDescent="0.3">
      <c r="B807" s="1"/>
      <c r="J807" s="2"/>
      <c r="AV807" s="1"/>
      <c r="AW807" s="1"/>
      <c r="AX807" s="1"/>
      <c r="BA807" s="1"/>
      <c r="BD807" s="1"/>
    </row>
    <row r="808" spans="2:56" x14ac:dyDescent="0.3">
      <c r="B808" s="1"/>
      <c r="J808" s="2"/>
      <c r="AV808" s="1"/>
      <c r="AW808" s="1"/>
      <c r="AX808" s="1"/>
      <c r="BA808" s="1"/>
      <c r="BD808" s="1"/>
    </row>
    <row r="809" spans="2:56" x14ac:dyDescent="0.3">
      <c r="B809" s="1"/>
      <c r="J809" s="2"/>
      <c r="AG809" s="1"/>
      <c r="AU809" s="1"/>
      <c r="AV809" s="1"/>
      <c r="AW809" s="1"/>
      <c r="AX809" s="1"/>
      <c r="BA809" s="1"/>
      <c r="BD809" s="1"/>
    </row>
    <row r="810" spans="2:56" x14ac:dyDescent="0.3">
      <c r="B810" s="1"/>
      <c r="J810" s="2"/>
      <c r="AV810" s="1"/>
      <c r="AW810" s="1"/>
      <c r="AX810" s="1"/>
      <c r="BA810" s="1"/>
      <c r="BD810" s="1"/>
    </row>
    <row r="811" spans="2:56" x14ac:dyDescent="0.3">
      <c r="B811" s="1"/>
      <c r="J811" s="2"/>
      <c r="AV811" s="1"/>
      <c r="AW811" s="1"/>
      <c r="AX811" s="1"/>
      <c r="BA811" s="1"/>
      <c r="BD811" s="1"/>
    </row>
    <row r="812" spans="2:56" x14ac:dyDescent="0.3">
      <c r="B812" s="1"/>
      <c r="J812" s="2"/>
      <c r="AV812" s="1"/>
      <c r="AW812" s="1"/>
      <c r="AX812" s="1"/>
      <c r="BA812" s="1"/>
      <c r="BD812" s="1"/>
    </row>
    <row r="813" spans="2:56" x14ac:dyDescent="0.3">
      <c r="B813" s="1"/>
      <c r="J813" s="2"/>
      <c r="AV813" s="1"/>
      <c r="AW813" s="1"/>
      <c r="AX813" s="1"/>
      <c r="BA813" s="1"/>
      <c r="BD813" s="1"/>
    </row>
    <row r="814" spans="2:56" x14ac:dyDescent="0.3">
      <c r="B814" s="1"/>
      <c r="J814" s="2"/>
      <c r="AV814" s="1"/>
      <c r="AW814" s="1"/>
      <c r="AX814" s="1"/>
      <c r="BA814" s="1"/>
      <c r="BD814" s="1"/>
    </row>
    <row r="815" spans="2:56" x14ac:dyDescent="0.3">
      <c r="B815" s="1"/>
      <c r="J815" s="2"/>
      <c r="AV815" s="1"/>
      <c r="AW815" s="1"/>
      <c r="AX815" s="1"/>
      <c r="BA815" s="1"/>
      <c r="BD815" s="1"/>
    </row>
    <row r="816" spans="2:56" x14ac:dyDescent="0.3">
      <c r="B816" s="1"/>
      <c r="J816" s="2"/>
      <c r="AV816" s="1"/>
      <c r="AW816" s="1"/>
      <c r="AX816" s="1"/>
      <c r="BA816" s="1"/>
      <c r="BD816" s="1"/>
    </row>
    <row r="817" spans="2:57" x14ac:dyDescent="0.3">
      <c r="B817" s="1"/>
      <c r="J817" s="2"/>
      <c r="AV817" s="1"/>
      <c r="AW817" s="1"/>
      <c r="AX817" s="1"/>
      <c r="BA817" s="1"/>
      <c r="BD817" s="1"/>
    </row>
    <row r="818" spans="2:57" x14ac:dyDescent="0.3">
      <c r="B818" s="1"/>
      <c r="J818" s="2"/>
      <c r="AV818" s="1"/>
      <c r="AW818" s="1"/>
      <c r="AX818" s="1"/>
      <c r="BA818" s="1"/>
      <c r="BD818" s="1"/>
    </row>
    <row r="819" spans="2:57" x14ac:dyDescent="0.3">
      <c r="B819" s="1"/>
      <c r="J819" s="2"/>
      <c r="AV819" s="1"/>
      <c r="AW819" s="1"/>
      <c r="AX819" s="1"/>
      <c r="BA819" s="1"/>
      <c r="BD819" s="1"/>
    </row>
    <row r="820" spans="2:57" x14ac:dyDescent="0.3">
      <c r="B820" s="1"/>
      <c r="J820" s="2"/>
      <c r="AV820" s="1"/>
      <c r="AW820" s="1"/>
      <c r="AX820" s="1"/>
      <c r="BA820" s="1"/>
      <c r="BD820" s="1"/>
    </row>
    <row r="821" spans="2:57" x14ac:dyDescent="0.3">
      <c r="B821" s="1"/>
      <c r="J821" s="2"/>
      <c r="AV821" s="1"/>
      <c r="AW821" s="1"/>
      <c r="AX821" s="1"/>
      <c r="BA821" s="1"/>
      <c r="BD821" s="1"/>
    </row>
    <row r="822" spans="2:57" x14ac:dyDescent="0.3">
      <c r="B822" s="1"/>
      <c r="J822" s="2"/>
      <c r="AV822" s="1"/>
      <c r="AW822" s="1"/>
      <c r="AX822" s="1"/>
      <c r="BA822" s="1"/>
      <c r="BD822" s="1"/>
    </row>
    <row r="823" spans="2:57" x14ac:dyDescent="0.3">
      <c r="B823" s="1"/>
      <c r="J823" s="2"/>
      <c r="AV823" s="1"/>
      <c r="AW823" s="1"/>
      <c r="AX823" s="1"/>
      <c r="BA823" s="1"/>
      <c r="BD823" s="1"/>
    </row>
    <row r="824" spans="2:57" x14ac:dyDescent="0.3">
      <c r="B824" s="1"/>
      <c r="J824" s="2"/>
      <c r="AV824" s="1"/>
      <c r="AW824" s="1"/>
      <c r="AX824" s="1"/>
      <c r="BA824" s="1"/>
      <c r="BD824" s="1"/>
    </row>
    <row r="825" spans="2:57" x14ac:dyDescent="0.3">
      <c r="B825" s="1"/>
      <c r="J825" s="2"/>
      <c r="AV825" s="1"/>
      <c r="AW825" s="1"/>
      <c r="AX825" s="1"/>
      <c r="BA825" s="1"/>
      <c r="BD825" s="1"/>
    </row>
    <row r="826" spans="2:57" x14ac:dyDescent="0.3">
      <c r="B826" s="1"/>
      <c r="J826" s="2"/>
      <c r="AV826" s="1"/>
      <c r="AW826" s="1"/>
      <c r="AX826" s="1"/>
      <c r="BA826" s="1"/>
      <c r="BD826" s="1"/>
    </row>
    <row r="827" spans="2:57" x14ac:dyDescent="0.3">
      <c r="B827" s="1"/>
      <c r="J827" s="2"/>
      <c r="AV827" s="1"/>
      <c r="AW827" s="1"/>
      <c r="AX827" s="1"/>
      <c r="BA827" s="1"/>
      <c r="BD827" s="1"/>
    </row>
    <row r="828" spans="2:57" x14ac:dyDescent="0.3">
      <c r="B828" s="1"/>
      <c r="J828" s="2"/>
      <c r="AV828" s="1"/>
      <c r="AW828" s="1"/>
      <c r="AX828" s="1"/>
      <c r="BA828" s="1"/>
      <c r="BD828" s="1"/>
    </row>
    <row r="829" spans="2:57" x14ac:dyDescent="0.3">
      <c r="B829" s="1"/>
      <c r="J829" s="2"/>
      <c r="AG829" s="1"/>
      <c r="AU829" s="1"/>
      <c r="AV829" s="1"/>
      <c r="AW829" s="1"/>
      <c r="AX829" s="1"/>
      <c r="BA829" s="1"/>
      <c r="BD829" s="1"/>
      <c r="BE829" s="1"/>
    </row>
    <row r="830" spans="2:57" x14ac:dyDescent="0.3">
      <c r="B830" s="1"/>
      <c r="J830" s="2"/>
      <c r="AV830" s="1"/>
      <c r="AW830" s="1"/>
      <c r="AX830" s="1"/>
      <c r="BA830" s="1"/>
      <c r="BD830" s="1"/>
    </row>
    <row r="831" spans="2:57" x14ac:dyDescent="0.3">
      <c r="B831" s="1"/>
      <c r="J831" s="2"/>
      <c r="AV831" s="1"/>
      <c r="AW831" s="1"/>
      <c r="AX831" s="1"/>
      <c r="BA831" s="1"/>
      <c r="BD831" s="1"/>
    </row>
    <row r="832" spans="2:57" x14ac:dyDescent="0.3">
      <c r="B832" s="1"/>
      <c r="J832" s="2"/>
      <c r="AV832" s="1"/>
      <c r="AW832" s="1"/>
      <c r="AX832" s="1"/>
      <c r="BA832" s="1"/>
      <c r="BD832" s="1"/>
    </row>
    <row r="833" spans="2:57" x14ac:dyDescent="0.3">
      <c r="B833" s="1"/>
      <c r="J833" s="2"/>
      <c r="AV833" s="1"/>
      <c r="AW833" s="1"/>
      <c r="AX833" s="1"/>
      <c r="BA833" s="1"/>
      <c r="BD833" s="1"/>
      <c r="BE833" s="1"/>
    </row>
    <row r="834" spans="2:57" x14ac:dyDescent="0.3">
      <c r="B834" s="1"/>
      <c r="J834" s="2"/>
      <c r="AV834" s="1"/>
      <c r="AW834" s="1"/>
      <c r="AX834" s="1"/>
      <c r="BA834" s="1"/>
      <c r="BD834" s="1"/>
    </row>
    <row r="835" spans="2:57" x14ac:dyDescent="0.3">
      <c r="B835" s="1"/>
      <c r="J835" s="2"/>
      <c r="AV835" s="1"/>
      <c r="AW835" s="1"/>
      <c r="AX835" s="1"/>
      <c r="BA835" s="1"/>
      <c r="BD835" s="1"/>
    </row>
    <row r="836" spans="2:57" x14ac:dyDescent="0.3">
      <c r="B836" s="1"/>
      <c r="J836" s="2"/>
      <c r="AV836" s="1"/>
      <c r="AW836" s="1"/>
      <c r="AX836" s="1"/>
      <c r="BA836" s="1"/>
      <c r="BD836" s="1"/>
    </row>
    <row r="837" spans="2:57" x14ac:dyDescent="0.3">
      <c r="B837" s="1"/>
      <c r="J837" s="2"/>
      <c r="AV837" s="1"/>
      <c r="AW837" s="1"/>
      <c r="AX837" s="1"/>
      <c r="BA837" s="1"/>
      <c r="BD837" s="1"/>
    </row>
    <row r="838" spans="2:57" x14ac:dyDescent="0.3">
      <c r="B838" s="1"/>
      <c r="J838" s="2"/>
      <c r="AV838" s="1"/>
      <c r="AW838" s="1"/>
      <c r="AX838" s="1"/>
      <c r="BA838" s="1"/>
      <c r="BD838" s="1"/>
    </row>
    <row r="839" spans="2:57" x14ac:dyDescent="0.3">
      <c r="B839" s="1"/>
      <c r="J839" s="2"/>
      <c r="AV839" s="1"/>
      <c r="AW839" s="1"/>
      <c r="AX839" s="1"/>
      <c r="BA839" s="1"/>
      <c r="BD839" s="1"/>
    </row>
    <row r="840" spans="2:57" x14ac:dyDescent="0.3">
      <c r="B840" s="1"/>
      <c r="J840" s="2"/>
      <c r="AV840" s="1"/>
      <c r="AW840" s="1"/>
      <c r="AX840" s="1"/>
      <c r="BA840" s="1"/>
      <c r="BD840" s="1"/>
    </row>
    <row r="841" spans="2:57" x14ac:dyDescent="0.3">
      <c r="B841" s="1"/>
      <c r="J841" s="2"/>
      <c r="AV841" s="1"/>
      <c r="AW841" s="1"/>
      <c r="AX841" s="1"/>
      <c r="BA841" s="1"/>
      <c r="BD841" s="1"/>
    </row>
    <row r="842" spans="2:57" x14ac:dyDescent="0.3">
      <c r="B842" s="1"/>
      <c r="J842" s="2"/>
      <c r="AV842" s="1"/>
      <c r="AW842" s="1"/>
      <c r="AX842" s="1"/>
      <c r="BA842" s="1"/>
      <c r="BD842" s="1"/>
    </row>
    <row r="843" spans="2:57" x14ac:dyDescent="0.3">
      <c r="B843" s="1"/>
      <c r="J843" s="2"/>
      <c r="AV843" s="1"/>
      <c r="AW843" s="1"/>
      <c r="AX843" s="1"/>
      <c r="BA843" s="1"/>
      <c r="BD843" s="1"/>
    </row>
    <row r="844" spans="2:57" x14ac:dyDescent="0.3">
      <c r="B844" s="1"/>
      <c r="J844" s="2"/>
      <c r="AV844" s="1"/>
      <c r="AW844" s="1"/>
      <c r="AX844" s="1"/>
      <c r="BA844" s="1"/>
      <c r="BD844" s="1"/>
    </row>
    <row r="845" spans="2:57" x14ac:dyDescent="0.3">
      <c r="B845" s="1"/>
      <c r="J845" s="2"/>
      <c r="AV845" s="1"/>
      <c r="AW845" s="1"/>
      <c r="AX845" s="1"/>
      <c r="BA845" s="1"/>
      <c r="BD845" s="1"/>
    </row>
    <row r="846" spans="2:57" x14ac:dyDescent="0.3">
      <c r="B846" s="1"/>
      <c r="J846" s="2"/>
      <c r="AV846" s="1"/>
      <c r="AW846" s="1"/>
      <c r="AX846" s="1"/>
      <c r="BA846" s="1"/>
      <c r="BD846" s="1"/>
    </row>
    <row r="847" spans="2:57" x14ac:dyDescent="0.3">
      <c r="B847" s="1"/>
      <c r="J847" s="2"/>
      <c r="AV847" s="1"/>
      <c r="AW847" s="1"/>
      <c r="AX847" s="1"/>
      <c r="BA847" s="1"/>
      <c r="BD847" s="1"/>
    </row>
    <row r="848" spans="2:57" x14ac:dyDescent="0.3">
      <c r="B848" s="1"/>
      <c r="J848" s="2"/>
      <c r="AV848" s="1"/>
      <c r="AW848" s="1"/>
      <c r="AX848" s="1"/>
      <c r="BA848" s="1"/>
      <c r="BD848" s="1"/>
    </row>
    <row r="849" spans="2:57" x14ac:dyDescent="0.3">
      <c r="B849" s="1"/>
      <c r="J849" s="2"/>
      <c r="AV849" s="1"/>
      <c r="AW849" s="1"/>
      <c r="AX849" s="1"/>
      <c r="BA849" s="1"/>
      <c r="BD849" s="1"/>
      <c r="BE849" s="1"/>
    </row>
    <row r="850" spans="2:57" x14ac:dyDescent="0.3">
      <c r="B850" s="1"/>
      <c r="J850" s="2"/>
      <c r="AV850" s="1"/>
      <c r="AW850" s="1"/>
      <c r="AX850" s="1"/>
      <c r="BA850" s="1"/>
      <c r="BD850" s="1"/>
    </row>
    <row r="851" spans="2:57" x14ac:dyDescent="0.3">
      <c r="B851" s="1"/>
      <c r="J851" s="2"/>
      <c r="AV851" s="1"/>
      <c r="AW851" s="1"/>
      <c r="AX851" s="1"/>
      <c r="BA851" s="1"/>
      <c r="BD851" s="1"/>
    </row>
    <row r="852" spans="2:57" x14ac:dyDescent="0.3">
      <c r="B852" s="1"/>
      <c r="J852" s="2"/>
      <c r="AV852" s="1"/>
      <c r="AW852" s="1"/>
      <c r="AX852" s="1"/>
      <c r="BA852" s="1"/>
      <c r="BD852" s="1"/>
    </row>
    <row r="853" spans="2:57" x14ac:dyDescent="0.3">
      <c r="B853" s="1"/>
      <c r="J853" s="2"/>
      <c r="AV853" s="1"/>
      <c r="AW853" s="1"/>
      <c r="AX853" s="1"/>
      <c r="BA853" s="1"/>
      <c r="BD853" s="1"/>
    </row>
    <row r="854" spans="2:57" x14ac:dyDescent="0.3">
      <c r="B854" s="1"/>
      <c r="J854" s="2"/>
      <c r="AV854" s="1"/>
      <c r="AW854" s="1"/>
      <c r="AX854" s="1"/>
      <c r="BA854" s="1"/>
      <c r="BD854" s="1"/>
    </row>
    <row r="855" spans="2:57" x14ac:dyDescent="0.3">
      <c r="B855" s="1"/>
      <c r="J855" s="2"/>
      <c r="AV855" s="1"/>
      <c r="AW855" s="1"/>
      <c r="AX855" s="1"/>
      <c r="BA855" s="1"/>
      <c r="BD855" s="1"/>
    </row>
    <row r="856" spans="2:57" x14ac:dyDescent="0.3">
      <c r="B856" s="1"/>
      <c r="J856" s="2"/>
      <c r="AV856" s="1"/>
      <c r="AW856" s="1"/>
      <c r="AX856" s="1"/>
      <c r="BA856" s="1"/>
      <c r="BD856" s="1"/>
    </row>
    <row r="857" spans="2:57" x14ac:dyDescent="0.3">
      <c r="B857" s="1"/>
      <c r="J857" s="2"/>
      <c r="AV857" s="1"/>
      <c r="AW857" s="1"/>
      <c r="AX857" s="1"/>
      <c r="BA857" s="1"/>
      <c r="BD857" s="1"/>
    </row>
    <row r="858" spans="2:57" x14ac:dyDescent="0.3">
      <c r="B858" s="1"/>
      <c r="J858" s="2"/>
      <c r="AV858" s="1"/>
      <c r="AW858" s="1"/>
      <c r="AX858" s="1"/>
      <c r="BA858" s="1"/>
      <c r="BD858" s="1"/>
    </row>
    <row r="859" spans="2:57" x14ac:dyDescent="0.3">
      <c r="B859" s="1"/>
      <c r="J859" s="2"/>
      <c r="AV859" s="1"/>
      <c r="AW859" s="1"/>
      <c r="AX859" s="1"/>
      <c r="BA859" s="1"/>
      <c r="BD859" s="1"/>
    </row>
    <row r="860" spans="2:57" x14ac:dyDescent="0.3">
      <c r="B860" s="1"/>
      <c r="J860" s="2"/>
      <c r="AV860" s="1"/>
      <c r="AW860" s="1"/>
      <c r="AX860" s="1"/>
      <c r="BA860" s="1"/>
      <c r="BD860" s="1"/>
    </row>
    <row r="861" spans="2:57" x14ac:dyDescent="0.3">
      <c r="B861" s="1"/>
      <c r="J861" s="2"/>
      <c r="AV861" s="1"/>
      <c r="AW861" s="1"/>
      <c r="AX861" s="1"/>
      <c r="BA861" s="1"/>
      <c r="BD861" s="1"/>
    </row>
    <row r="862" spans="2:57" x14ac:dyDescent="0.3">
      <c r="B862" s="1"/>
      <c r="J862" s="2"/>
      <c r="AG862" s="1"/>
      <c r="AU862" s="1"/>
      <c r="AV862" s="1"/>
      <c r="AW862" s="1"/>
      <c r="AX862" s="1"/>
      <c r="BA862" s="1"/>
      <c r="BD862" s="1"/>
      <c r="BE862" s="1"/>
    </row>
    <row r="863" spans="2:57" x14ac:dyDescent="0.3">
      <c r="B863" s="1"/>
      <c r="J863" s="2"/>
      <c r="AG863" s="1"/>
      <c r="AU863" s="1"/>
      <c r="AV863" s="1"/>
      <c r="AW863" s="1"/>
      <c r="AX863" s="1"/>
      <c r="BA863" s="1"/>
      <c r="BD863" s="1"/>
      <c r="BE863" s="1"/>
    </row>
    <row r="864" spans="2:57" x14ac:dyDescent="0.3">
      <c r="B864" s="1"/>
      <c r="J864" s="2"/>
      <c r="AV864" s="1"/>
      <c r="AW864" s="1"/>
      <c r="AX864" s="1"/>
      <c r="BA864" s="1"/>
      <c r="BD864" s="1"/>
    </row>
    <row r="865" spans="2:57" x14ac:dyDescent="0.3">
      <c r="B865" s="1"/>
      <c r="J865" s="2"/>
      <c r="AG865" s="1"/>
      <c r="AU865" s="1"/>
      <c r="AV865" s="1"/>
      <c r="AW865" s="1"/>
      <c r="AX865" s="1"/>
      <c r="BA865" s="1"/>
      <c r="BD865" s="1"/>
      <c r="BE865" s="1"/>
    </row>
    <row r="866" spans="2:57" x14ac:dyDescent="0.3">
      <c r="B866" s="1"/>
      <c r="J866" s="2"/>
      <c r="AG866" s="1"/>
      <c r="AU866" s="1"/>
      <c r="AV866" s="1"/>
      <c r="AW866" s="1"/>
      <c r="AX866" s="1"/>
      <c r="BA866" s="1"/>
      <c r="BD866" s="1"/>
      <c r="BE866" s="1"/>
    </row>
    <row r="867" spans="2:57" x14ac:dyDescent="0.3">
      <c r="B867" s="1"/>
      <c r="J867" s="2"/>
      <c r="AV867" s="1"/>
      <c r="AW867" s="1"/>
      <c r="AX867" s="1"/>
      <c r="BA867" s="1"/>
      <c r="BD867" s="1"/>
      <c r="BE867" s="1"/>
    </row>
    <row r="868" spans="2:57" x14ac:dyDescent="0.3">
      <c r="B868" s="1"/>
      <c r="J868" s="2"/>
      <c r="AV868" s="1"/>
      <c r="AW868" s="1"/>
      <c r="AX868" s="1"/>
      <c r="BA868" s="1"/>
      <c r="BD868" s="1"/>
    </row>
    <row r="869" spans="2:57" x14ac:dyDescent="0.3">
      <c r="B869" s="1"/>
      <c r="J869" s="2"/>
      <c r="AV869" s="1"/>
      <c r="AW869" s="1"/>
      <c r="AX869" s="1"/>
      <c r="BA869" s="1"/>
      <c r="BD869" s="1"/>
    </row>
    <row r="870" spans="2:57" x14ac:dyDescent="0.3">
      <c r="B870" s="1"/>
      <c r="J870" s="2"/>
      <c r="AV870" s="1"/>
      <c r="AW870" s="1"/>
      <c r="AX870" s="1"/>
      <c r="BA870" s="1"/>
      <c r="BD870" s="1"/>
      <c r="BE870" s="1"/>
    </row>
    <row r="871" spans="2:57" x14ac:dyDescent="0.3">
      <c r="B871" s="1"/>
      <c r="J871" s="2"/>
      <c r="AV871" s="1"/>
      <c r="AW871" s="1"/>
      <c r="AX871" s="1"/>
      <c r="BA871" s="1"/>
      <c r="BD871" s="1"/>
    </row>
    <row r="872" spans="2:57" x14ac:dyDescent="0.3">
      <c r="B872" s="1"/>
      <c r="J872" s="2"/>
      <c r="AV872" s="1"/>
      <c r="AW872" s="1"/>
      <c r="AX872" s="1"/>
      <c r="BA872" s="1"/>
      <c r="BD872" s="1"/>
    </row>
    <row r="873" spans="2:57" x14ac:dyDescent="0.3">
      <c r="B873" s="1"/>
      <c r="J873" s="2"/>
      <c r="AV873" s="1"/>
      <c r="AW873" s="1"/>
      <c r="AX873" s="1"/>
      <c r="BA873" s="1"/>
      <c r="BD873" s="1"/>
    </row>
    <row r="874" spans="2:57" x14ac:dyDescent="0.3">
      <c r="B874" s="1"/>
      <c r="J874" s="2"/>
      <c r="AV874" s="1"/>
      <c r="AW874" s="1"/>
      <c r="AX874" s="1"/>
      <c r="BA874" s="1"/>
      <c r="BD874" s="1"/>
    </row>
    <row r="875" spans="2:57" x14ac:dyDescent="0.3">
      <c r="B875" s="1"/>
      <c r="J875" s="2"/>
      <c r="AV875" s="1"/>
      <c r="AW875" s="1"/>
      <c r="AX875" s="1"/>
      <c r="BA875" s="1"/>
      <c r="BD875" s="1"/>
    </row>
    <row r="876" spans="2:57" x14ac:dyDescent="0.3">
      <c r="B876" s="1"/>
      <c r="J876" s="2"/>
      <c r="AV876" s="1"/>
      <c r="AW876" s="1"/>
      <c r="AX876" s="1"/>
      <c r="BA876" s="1"/>
      <c r="BD876" s="1"/>
    </row>
    <row r="877" spans="2:57" x14ac:dyDescent="0.3">
      <c r="B877" s="1"/>
      <c r="J877" s="2"/>
      <c r="AV877" s="1"/>
      <c r="AW877" s="1"/>
      <c r="AX877" s="1"/>
      <c r="BA877" s="1"/>
      <c r="BD877" s="1"/>
    </row>
    <row r="878" spans="2:57" x14ac:dyDescent="0.3">
      <c r="B878" s="1"/>
      <c r="J878" s="2"/>
      <c r="AV878" s="1"/>
      <c r="AW878" s="1"/>
      <c r="AX878" s="1"/>
      <c r="BA878" s="1"/>
      <c r="BD878" s="1"/>
      <c r="BE878" s="1"/>
    </row>
    <row r="879" spans="2:57" x14ac:dyDescent="0.3">
      <c r="B879" s="1"/>
      <c r="J879" s="2"/>
      <c r="AV879" s="1"/>
      <c r="AW879" s="1"/>
      <c r="AX879" s="1"/>
      <c r="BA879" s="1"/>
      <c r="BD879" s="1"/>
    </row>
    <row r="880" spans="2:57" x14ac:dyDescent="0.3">
      <c r="B880" s="1"/>
      <c r="J880" s="2"/>
      <c r="AV880" s="1"/>
      <c r="AW880" s="1"/>
      <c r="AX880" s="1"/>
      <c r="BA880" s="1"/>
      <c r="BD880" s="1"/>
    </row>
    <row r="881" spans="2:57" x14ac:dyDescent="0.3">
      <c r="B881" s="1"/>
      <c r="J881" s="2"/>
      <c r="AV881" s="1"/>
      <c r="AW881" s="1"/>
      <c r="AX881" s="1"/>
      <c r="BA881" s="1"/>
      <c r="BD881" s="1"/>
    </row>
    <row r="882" spans="2:57" x14ac:dyDescent="0.3">
      <c r="B882" s="1"/>
      <c r="J882" s="2"/>
      <c r="AV882" s="1"/>
      <c r="AW882" s="1"/>
      <c r="AX882" s="1"/>
      <c r="BA882" s="1"/>
      <c r="BD882" s="1"/>
    </row>
    <row r="883" spans="2:57" x14ac:dyDescent="0.3">
      <c r="B883" s="1"/>
      <c r="J883" s="2"/>
      <c r="AV883" s="1"/>
      <c r="AW883" s="1"/>
      <c r="AX883" s="1"/>
      <c r="BA883" s="1"/>
      <c r="BD883" s="1"/>
    </row>
    <row r="884" spans="2:57" x14ac:dyDescent="0.3">
      <c r="B884" s="1"/>
      <c r="J884" s="2"/>
      <c r="AV884" s="1"/>
      <c r="AW884" s="1"/>
      <c r="AX884" s="1"/>
      <c r="BA884" s="1"/>
      <c r="BD884" s="1"/>
    </row>
    <row r="885" spans="2:57" x14ac:dyDescent="0.3">
      <c r="B885" s="1"/>
      <c r="J885" s="2"/>
      <c r="AW885" s="1"/>
      <c r="AX885" s="1"/>
      <c r="BA885" s="1"/>
      <c r="BD885" s="1"/>
      <c r="BE885" s="1"/>
    </row>
    <row r="886" spans="2:57" x14ac:dyDescent="0.3">
      <c r="B886" s="1"/>
      <c r="J886" s="2"/>
      <c r="AV886" s="1"/>
      <c r="AW886" s="1"/>
      <c r="AX886" s="1"/>
      <c r="BA886" s="1"/>
      <c r="BD886" s="1"/>
    </row>
    <row r="887" spans="2:57" x14ac:dyDescent="0.3">
      <c r="B887" s="1"/>
      <c r="J887" s="2"/>
      <c r="AV887" s="1"/>
      <c r="AW887" s="1"/>
      <c r="AX887" s="1"/>
      <c r="BA887" s="1"/>
      <c r="BD887" s="1"/>
    </row>
    <row r="888" spans="2:57" x14ac:dyDescent="0.3">
      <c r="B888" s="1"/>
      <c r="J888" s="2"/>
      <c r="AV888" s="1"/>
      <c r="AW888" s="1"/>
      <c r="AX888" s="1"/>
      <c r="BA888" s="1"/>
      <c r="BD888" s="1"/>
    </row>
    <row r="889" spans="2:57" x14ac:dyDescent="0.3">
      <c r="B889" s="1"/>
      <c r="J889" s="2"/>
      <c r="AV889" s="1"/>
      <c r="AW889" s="1"/>
      <c r="AX889" s="1"/>
      <c r="BA889" s="1"/>
      <c r="BD889" s="1"/>
    </row>
    <row r="890" spans="2:57" x14ac:dyDescent="0.3">
      <c r="B890" s="1"/>
      <c r="J890" s="2"/>
      <c r="AV890" s="1"/>
      <c r="AW890" s="1"/>
      <c r="AX890" s="1"/>
      <c r="BA890" s="1"/>
      <c r="BD890" s="1"/>
    </row>
    <row r="891" spans="2:57" x14ac:dyDescent="0.3">
      <c r="B891" s="1"/>
      <c r="J891" s="2"/>
      <c r="AV891" s="1"/>
      <c r="AW891" s="1"/>
      <c r="AX891" s="1"/>
      <c r="BA891" s="1"/>
      <c r="BD891" s="1"/>
    </row>
    <row r="892" spans="2:57" x14ac:dyDescent="0.3">
      <c r="B892" s="1"/>
      <c r="J892" s="2"/>
      <c r="AV892" s="1"/>
      <c r="AW892" s="1"/>
      <c r="AX892" s="1"/>
      <c r="BA892" s="1"/>
      <c r="BD892" s="1"/>
    </row>
    <row r="893" spans="2:57" x14ac:dyDescent="0.3">
      <c r="B893" s="1"/>
      <c r="J893" s="2"/>
      <c r="AV893" s="1"/>
      <c r="AW893" s="1"/>
      <c r="AX893" s="1"/>
      <c r="BA893" s="1"/>
      <c r="BD893" s="1"/>
    </row>
    <row r="894" spans="2:57" x14ac:dyDescent="0.3">
      <c r="B894" s="1"/>
      <c r="J894" s="2"/>
      <c r="AV894" s="1"/>
      <c r="AW894" s="1"/>
      <c r="AX894" s="1"/>
      <c r="BA894" s="1"/>
      <c r="BD894" s="1"/>
    </row>
    <row r="895" spans="2:57" x14ac:dyDescent="0.3">
      <c r="B895" s="1"/>
      <c r="J895" s="2"/>
      <c r="AW895" s="1"/>
      <c r="AX895" s="1"/>
      <c r="BD895" s="1"/>
    </row>
    <row r="896" spans="2:57" x14ac:dyDescent="0.3">
      <c r="B896" s="1"/>
      <c r="J896" s="2"/>
      <c r="AV896" s="1"/>
      <c r="AW896" s="1"/>
      <c r="AX896" s="1"/>
      <c r="BA896" s="1"/>
      <c r="BD896" s="1"/>
    </row>
    <row r="897" spans="2:57" x14ac:dyDescent="0.3">
      <c r="B897" s="1"/>
      <c r="J897" s="2"/>
      <c r="AV897" s="1"/>
      <c r="AW897" s="1"/>
      <c r="AX897" s="1"/>
      <c r="BA897" s="1"/>
      <c r="BD897" s="1"/>
    </row>
    <row r="898" spans="2:57" x14ac:dyDescent="0.3">
      <c r="B898" s="1"/>
      <c r="J898" s="2"/>
      <c r="AV898" s="1"/>
      <c r="AW898" s="1"/>
      <c r="AX898" s="1"/>
      <c r="BA898" s="1"/>
      <c r="BD898" s="1"/>
    </row>
    <row r="899" spans="2:57" x14ac:dyDescent="0.3">
      <c r="B899" s="1"/>
      <c r="J899" s="2"/>
      <c r="AG899" s="1"/>
      <c r="AU899" s="1"/>
      <c r="AV899" s="1"/>
      <c r="AW899" s="1"/>
      <c r="AX899" s="1"/>
      <c r="BA899" s="1"/>
      <c r="BD899" s="1"/>
    </row>
    <row r="900" spans="2:57" x14ac:dyDescent="0.3">
      <c r="B900" s="1"/>
      <c r="J900" s="2"/>
      <c r="AV900" s="1"/>
      <c r="AW900" s="1"/>
      <c r="AX900" s="1"/>
      <c r="BA900" s="1"/>
      <c r="BD900" s="1"/>
    </row>
    <row r="901" spans="2:57" x14ac:dyDescent="0.3">
      <c r="B901" s="1"/>
      <c r="J901" s="2"/>
      <c r="AV901" s="1"/>
      <c r="AW901" s="1"/>
      <c r="AX901" s="1"/>
      <c r="BA901" s="1"/>
      <c r="BD901" s="1"/>
    </row>
    <row r="902" spans="2:57" x14ac:dyDescent="0.3">
      <c r="B902" s="1"/>
      <c r="J902" s="2"/>
      <c r="AV902" s="1"/>
      <c r="AW902" s="1"/>
      <c r="AX902" s="1"/>
      <c r="BA902" s="1"/>
      <c r="BD902" s="1"/>
    </row>
    <row r="903" spans="2:57" x14ac:dyDescent="0.3">
      <c r="B903" s="1"/>
      <c r="J903" s="2"/>
      <c r="AV903" s="1"/>
      <c r="AW903" s="1"/>
      <c r="AX903" s="1"/>
      <c r="BA903" s="1"/>
      <c r="BD903" s="1"/>
    </row>
    <row r="904" spans="2:57" x14ac:dyDescent="0.3">
      <c r="B904" s="1"/>
      <c r="J904" s="2"/>
      <c r="AV904" s="1"/>
      <c r="AW904" s="1"/>
      <c r="AX904" s="1"/>
      <c r="BA904" s="1"/>
      <c r="BD904" s="1"/>
    </row>
    <row r="905" spans="2:57" x14ac:dyDescent="0.3">
      <c r="B905" s="1"/>
      <c r="J905" s="2"/>
      <c r="AV905" s="1"/>
      <c r="AW905" s="1"/>
      <c r="AX905" s="1"/>
      <c r="BA905" s="1"/>
      <c r="BD905" s="1"/>
    </row>
    <row r="906" spans="2:57" x14ac:dyDescent="0.3">
      <c r="B906" s="1"/>
      <c r="J906" s="2"/>
      <c r="AV906" s="1"/>
      <c r="AW906" s="1"/>
      <c r="AX906" s="1"/>
      <c r="BA906" s="1"/>
      <c r="BD906" s="1"/>
    </row>
    <row r="907" spans="2:57" x14ac:dyDescent="0.3">
      <c r="B907" s="1"/>
      <c r="J907" s="2"/>
      <c r="AV907" s="1"/>
      <c r="AW907" s="1"/>
      <c r="AX907" s="1"/>
      <c r="BA907" s="1"/>
      <c r="BD907" s="1"/>
    </row>
    <row r="908" spans="2:57" x14ac:dyDescent="0.3">
      <c r="B908" s="1"/>
      <c r="J908" s="2"/>
      <c r="AV908" s="1"/>
      <c r="AW908" s="1"/>
      <c r="AX908" s="1"/>
      <c r="BA908" s="1"/>
      <c r="BD908" s="1"/>
    </row>
    <row r="909" spans="2:57" x14ac:dyDescent="0.3">
      <c r="B909" s="1"/>
      <c r="J909" s="2"/>
      <c r="AW909" s="1"/>
      <c r="AX909" s="1"/>
      <c r="BA909" s="1"/>
      <c r="BD909" s="1"/>
      <c r="BE909" s="1"/>
    </row>
    <row r="910" spans="2:57" x14ac:dyDescent="0.3">
      <c r="B910" s="1"/>
      <c r="J910" s="2"/>
      <c r="AV910" s="1"/>
      <c r="AW910" s="1"/>
      <c r="AX910" s="1"/>
      <c r="BA910" s="1"/>
      <c r="BD910" s="1"/>
    </row>
    <row r="911" spans="2:57" x14ac:dyDescent="0.3">
      <c r="B911" s="1"/>
      <c r="J911" s="2"/>
      <c r="AV911" s="1"/>
      <c r="AW911" s="1"/>
      <c r="AX911" s="1"/>
      <c r="BA911" s="1"/>
      <c r="BD911" s="1"/>
    </row>
    <row r="912" spans="2:57" x14ac:dyDescent="0.3">
      <c r="B912" s="1"/>
      <c r="J912" s="2"/>
      <c r="AV912" s="1"/>
      <c r="AW912" s="1"/>
      <c r="AX912" s="1"/>
      <c r="BA912" s="1"/>
      <c r="BD912" s="1"/>
    </row>
    <row r="913" spans="2:57" x14ac:dyDescent="0.3">
      <c r="B913" s="1"/>
      <c r="J913" s="2"/>
      <c r="AV913" s="1"/>
      <c r="AW913" s="1"/>
      <c r="AX913" s="1"/>
      <c r="BA913" s="1"/>
      <c r="BD913" s="1"/>
    </row>
    <row r="914" spans="2:57" x14ac:dyDescent="0.3">
      <c r="B914" s="1"/>
      <c r="J914" s="2"/>
      <c r="AV914" s="1"/>
      <c r="AW914" s="1"/>
      <c r="AX914" s="1"/>
      <c r="BA914" s="1"/>
      <c r="BD914" s="1"/>
    </row>
    <row r="915" spans="2:57" x14ac:dyDescent="0.3">
      <c r="B915" s="1"/>
      <c r="J915" s="2"/>
      <c r="AV915" s="1"/>
      <c r="AW915" s="1"/>
      <c r="AX915" s="1"/>
      <c r="BA915" s="1"/>
      <c r="BD915" s="1"/>
    </row>
    <row r="916" spans="2:57" x14ac:dyDescent="0.3">
      <c r="B916" s="1"/>
      <c r="J916" s="2"/>
      <c r="AV916" s="1"/>
      <c r="AW916" s="1"/>
      <c r="AX916" s="1"/>
      <c r="BA916" s="1"/>
      <c r="BD916" s="1"/>
    </row>
    <row r="917" spans="2:57" x14ac:dyDescent="0.3">
      <c r="B917" s="1"/>
      <c r="J917" s="2"/>
      <c r="AV917" s="1"/>
      <c r="AW917" s="1"/>
      <c r="AX917" s="1"/>
      <c r="BA917" s="1"/>
      <c r="BD917" s="1"/>
    </row>
    <row r="918" spans="2:57" x14ac:dyDescent="0.3">
      <c r="B918" s="1"/>
      <c r="J918" s="2"/>
      <c r="AV918" s="1"/>
      <c r="AW918" s="1"/>
      <c r="AX918" s="1"/>
      <c r="BA918" s="1"/>
      <c r="BD918" s="1"/>
    </row>
    <row r="919" spans="2:57" x14ac:dyDescent="0.3">
      <c r="B919" s="1"/>
      <c r="J919" s="2"/>
      <c r="AV919" s="1"/>
      <c r="AW919" s="1"/>
      <c r="AX919" s="1"/>
      <c r="BA919" s="1"/>
      <c r="BD919" s="1"/>
    </row>
    <row r="920" spans="2:57" x14ac:dyDescent="0.3">
      <c r="B920" s="1"/>
      <c r="J920" s="2"/>
      <c r="AV920" s="1"/>
      <c r="AW920" s="1"/>
      <c r="AX920" s="1"/>
      <c r="BD920" s="1"/>
      <c r="BE920" s="1"/>
    </row>
    <row r="921" spans="2:57" x14ac:dyDescent="0.3">
      <c r="B921" s="1"/>
      <c r="J921" s="2"/>
      <c r="AV921" s="1"/>
      <c r="AW921" s="1"/>
      <c r="AX921" s="1"/>
      <c r="BA921" s="1"/>
      <c r="BD921" s="1"/>
    </row>
    <row r="922" spans="2:57" x14ac:dyDescent="0.3">
      <c r="B922" s="1"/>
      <c r="J922" s="2"/>
      <c r="AV922" s="1"/>
      <c r="AW922" s="1"/>
      <c r="AX922" s="1"/>
      <c r="BA922" s="1"/>
      <c r="BD922" s="1"/>
    </row>
    <row r="923" spans="2:57" x14ac:dyDescent="0.3">
      <c r="B923" s="1"/>
      <c r="J923" s="2"/>
      <c r="AW923" s="1"/>
      <c r="AX923" s="1"/>
      <c r="BA923" s="1"/>
      <c r="BD923" s="1"/>
      <c r="BE923" s="1"/>
    </row>
    <row r="924" spans="2:57" x14ac:dyDescent="0.3">
      <c r="B924" s="1"/>
      <c r="J924" s="2"/>
      <c r="AV924" s="1"/>
      <c r="AW924" s="1"/>
      <c r="AX924" s="1"/>
      <c r="BA924" s="1"/>
      <c r="BD924" s="1"/>
    </row>
    <row r="925" spans="2:57" x14ac:dyDescent="0.3">
      <c r="B925" s="1"/>
      <c r="J925" s="2"/>
      <c r="AV925" s="1"/>
      <c r="AW925" s="1"/>
      <c r="AX925" s="1"/>
      <c r="BA925" s="1"/>
      <c r="BD925" s="1"/>
    </row>
    <row r="926" spans="2:57" x14ac:dyDescent="0.3">
      <c r="B926" s="1"/>
      <c r="J926" s="2"/>
      <c r="AV926" s="1"/>
      <c r="AW926" s="1"/>
      <c r="AX926" s="1"/>
      <c r="BA926" s="1"/>
      <c r="BD926" s="1"/>
    </row>
    <row r="927" spans="2:57" x14ac:dyDescent="0.3">
      <c r="B927" s="1"/>
      <c r="J927" s="2"/>
      <c r="AV927" s="1"/>
      <c r="AW927" s="1"/>
      <c r="AX927" s="1"/>
      <c r="BA927" s="1"/>
      <c r="BD927" s="1"/>
    </row>
    <row r="928" spans="2:57" x14ac:dyDescent="0.3">
      <c r="B928" s="1"/>
      <c r="J928" s="2"/>
      <c r="AV928" s="1"/>
      <c r="AW928" s="1"/>
      <c r="AX928" s="1"/>
      <c r="BA928" s="1"/>
      <c r="BD928" s="1"/>
    </row>
    <row r="929" spans="2:56" x14ac:dyDescent="0.3">
      <c r="B929" s="1"/>
      <c r="J929" s="2"/>
      <c r="AV929" s="1"/>
      <c r="AW929" s="1"/>
      <c r="AX929" s="1"/>
      <c r="BA929" s="1"/>
      <c r="BD929" s="1"/>
    </row>
    <row r="930" spans="2:56" x14ac:dyDescent="0.3">
      <c r="B930" s="1"/>
      <c r="J930" s="2"/>
      <c r="AE930" s="1"/>
      <c r="AW930" s="1"/>
      <c r="AX930" s="1"/>
      <c r="BD930" s="1"/>
    </row>
    <row r="931" spans="2:56" x14ac:dyDescent="0.3">
      <c r="B931" s="1"/>
      <c r="J931" s="2"/>
      <c r="AE931" s="1"/>
      <c r="AW931" s="1"/>
      <c r="AX931" s="1"/>
      <c r="BD931" s="1"/>
    </row>
    <row r="932" spans="2:56" x14ac:dyDescent="0.3">
      <c r="B932" s="1"/>
      <c r="J932" s="2"/>
      <c r="AE932" s="1"/>
      <c r="AW932" s="1"/>
      <c r="AX932" s="1"/>
      <c r="BD932" s="1"/>
    </row>
    <row r="933" spans="2:56" x14ac:dyDescent="0.3">
      <c r="B933" s="1"/>
      <c r="J933" s="2"/>
      <c r="AE933" s="1"/>
      <c r="AW933" s="1"/>
      <c r="AX933" s="1"/>
      <c r="BD933" s="1"/>
    </row>
    <row r="934" spans="2:56" x14ac:dyDescent="0.3">
      <c r="B934" s="1"/>
      <c r="J934" s="2"/>
      <c r="AE934" s="1"/>
      <c r="AW934" s="1"/>
      <c r="AX934" s="1"/>
      <c r="BD934" s="1"/>
    </row>
    <row r="935" spans="2:56" x14ac:dyDescent="0.3">
      <c r="B935" s="1"/>
      <c r="J935" s="2"/>
      <c r="AE935" s="1"/>
      <c r="AW935" s="1"/>
      <c r="AX935" s="1"/>
      <c r="BD935" s="1"/>
    </row>
    <row r="936" spans="2:56" x14ac:dyDescent="0.3">
      <c r="B936" s="1"/>
      <c r="J936" s="2"/>
      <c r="AE936" s="1"/>
      <c r="AW936" s="1"/>
      <c r="AX936" s="1"/>
      <c r="BD936" s="1"/>
    </row>
    <row r="937" spans="2:56" x14ac:dyDescent="0.3">
      <c r="B937" s="1"/>
      <c r="J937" s="2"/>
      <c r="AE937" s="1"/>
      <c r="AW937" s="1"/>
      <c r="AX937" s="1"/>
      <c r="BD937" s="1"/>
    </row>
    <row r="938" spans="2:56" x14ac:dyDescent="0.3">
      <c r="B938" s="1"/>
      <c r="J938" s="2"/>
      <c r="AE938" s="1"/>
      <c r="AW938" s="1"/>
      <c r="AX938" s="1"/>
      <c r="BD938" s="1"/>
    </row>
    <row r="939" spans="2:56" x14ac:dyDescent="0.3">
      <c r="B939" s="1"/>
      <c r="J939" s="2"/>
      <c r="AE939" s="1"/>
      <c r="AW939" s="1"/>
      <c r="AX939" s="1"/>
      <c r="BD939" s="1"/>
    </row>
    <row r="940" spans="2:56" x14ac:dyDescent="0.3">
      <c r="B940" s="1"/>
      <c r="J940" s="2"/>
      <c r="AE940" s="1"/>
      <c r="AW940" s="1"/>
      <c r="AX940" s="1"/>
      <c r="BD940" s="1"/>
    </row>
    <row r="941" spans="2:56" x14ac:dyDescent="0.3">
      <c r="B941" s="1"/>
      <c r="J941" s="2"/>
      <c r="AE941" s="1"/>
      <c r="AW941" s="1"/>
      <c r="AX941" s="1"/>
      <c r="BD941" s="1"/>
    </row>
    <row r="942" spans="2:56" x14ac:dyDescent="0.3">
      <c r="B942" s="1"/>
      <c r="J942" s="2"/>
      <c r="AE942" s="1"/>
      <c r="AW942" s="1"/>
      <c r="AX942" s="1"/>
      <c r="BD942" s="1"/>
    </row>
    <row r="943" spans="2:56" x14ac:dyDescent="0.3">
      <c r="B943" s="1"/>
      <c r="J943" s="2"/>
      <c r="AE943" s="1"/>
      <c r="AW943" s="1"/>
      <c r="AX943" s="1"/>
      <c r="BD943" s="1"/>
    </row>
    <row r="944" spans="2:56" x14ac:dyDescent="0.3">
      <c r="B944" s="1"/>
      <c r="J944" s="2"/>
      <c r="AE944" s="1"/>
      <c r="AW944" s="1"/>
      <c r="AX944" s="1"/>
      <c r="BD944" s="1"/>
    </row>
    <row r="945" spans="2:56" x14ac:dyDescent="0.3">
      <c r="B945" s="1"/>
      <c r="J945" s="2"/>
      <c r="AE945" s="1"/>
      <c r="AW945" s="1"/>
      <c r="AX945" s="1"/>
      <c r="BD945" s="1"/>
    </row>
    <row r="946" spans="2:56" x14ac:dyDescent="0.3">
      <c r="B946" s="1"/>
      <c r="J946" s="2"/>
      <c r="AE946" s="1"/>
      <c r="AW946" s="1"/>
      <c r="AX946" s="1"/>
      <c r="BD946" s="1"/>
    </row>
    <row r="947" spans="2:56" x14ac:dyDescent="0.3">
      <c r="B947" s="1"/>
      <c r="J947" s="2"/>
      <c r="AE947" s="1"/>
      <c r="AW947" s="1"/>
      <c r="AX947" s="1"/>
      <c r="BD947" s="1"/>
    </row>
    <row r="948" spans="2:56" x14ac:dyDescent="0.3">
      <c r="B948" s="1"/>
      <c r="J948" s="2"/>
      <c r="AE948" s="1"/>
      <c r="AW948" s="1"/>
      <c r="AX948" s="1"/>
      <c r="BD948" s="1"/>
    </row>
    <row r="949" spans="2:56" x14ac:dyDescent="0.3">
      <c r="B949" s="1"/>
      <c r="J949" s="2"/>
      <c r="AE949" s="1"/>
      <c r="AW949" s="1"/>
      <c r="AX949" s="1"/>
      <c r="BD949" s="1"/>
    </row>
    <row r="950" spans="2:56" x14ac:dyDescent="0.3">
      <c r="B950" s="1"/>
      <c r="J950" s="2"/>
      <c r="AE950" s="1"/>
      <c r="AW950" s="1"/>
      <c r="AX950" s="1"/>
      <c r="BD950" s="1"/>
    </row>
    <row r="951" spans="2:56" x14ac:dyDescent="0.3">
      <c r="B951" s="1"/>
      <c r="J951" s="2"/>
      <c r="AE951" s="1"/>
      <c r="AW951" s="1"/>
      <c r="AX951" s="1"/>
      <c r="BD951" s="1"/>
    </row>
    <row r="952" spans="2:56" x14ac:dyDescent="0.3">
      <c r="B952" s="1"/>
      <c r="J952" s="2"/>
      <c r="AE952" s="1"/>
      <c r="AW952" s="1"/>
      <c r="AX952" s="1"/>
      <c r="BD952" s="1"/>
    </row>
    <row r="953" spans="2:56" x14ac:dyDescent="0.3">
      <c r="B953" s="1"/>
      <c r="J953" s="2"/>
      <c r="AE953" s="1"/>
      <c r="AW953" s="1"/>
      <c r="AX953" s="1"/>
      <c r="BD953" s="1"/>
    </row>
    <row r="954" spans="2:56" x14ac:dyDescent="0.3">
      <c r="B954" s="1"/>
      <c r="J954" s="2"/>
      <c r="AE954" s="1"/>
      <c r="AW954" s="1"/>
      <c r="AX954" s="1"/>
      <c r="BD954" s="1"/>
    </row>
    <row r="955" spans="2:56" x14ac:dyDescent="0.3">
      <c r="B955" s="1"/>
      <c r="J955" s="2"/>
      <c r="AE955" s="1"/>
      <c r="AW955" s="1"/>
      <c r="AX955" s="1"/>
      <c r="BD955" s="1"/>
    </row>
    <row r="956" spans="2:56" x14ac:dyDescent="0.3">
      <c r="B956" s="1"/>
      <c r="J956" s="2"/>
      <c r="AE956" s="1"/>
      <c r="AW956" s="1"/>
      <c r="AX956" s="1"/>
      <c r="BD956" s="1"/>
    </row>
    <row r="957" spans="2:56" x14ac:dyDescent="0.3">
      <c r="B957" s="1"/>
      <c r="J957" s="2"/>
      <c r="AE957" s="1"/>
      <c r="AW957" s="1"/>
      <c r="AX957" s="1"/>
      <c r="BD957" s="1"/>
    </row>
    <row r="958" spans="2:56" x14ac:dyDescent="0.3">
      <c r="B958" s="1"/>
      <c r="J958" s="2"/>
      <c r="AE958" s="1"/>
      <c r="AW958" s="1"/>
      <c r="AX958" s="1"/>
      <c r="BD958" s="1"/>
    </row>
    <row r="959" spans="2:56" x14ac:dyDescent="0.3">
      <c r="B959" s="1"/>
      <c r="J959" s="2"/>
      <c r="AE959" s="1"/>
      <c r="AW959" s="1"/>
      <c r="AX959" s="1"/>
      <c r="BD959" s="1"/>
    </row>
    <row r="960" spans="2:56" x14ac:dyDescent="0.3">
      <c r="B960" s="1"/>
      <c r="J960" s="2"/>
      <c r="AE960" s="1"/>
      <c r="AW960" s="1"/>
      <c r="AX960" s="1"/>
      <c r="BD960" s="1"/>
    </row>
    <row r="961" spans="2:56" x14ac:dyDescent="0.3">
      <c r="B961" s="1"/>
      <c r="J961" s="2"/>
      <c r="AE961" s="1"/>
      <c r="AW961" s="1"/>
      <c r="AX961" s="1"/>
      <c r="BD961" s="1"/>
    </row>
    <row r="962" spans="2:56" x14ac:dyDescent="0.3">
      <c r="B962" s="1"/>
      <c r="J962" s="2"/>
      <c r="AE962" s="1"/>
      <c r="AW962" s="1"/>
      <c r="AX962" s="1"/>
      <c r="BD962" s="1"/>
    </row>
    <row r="963" spans="2:56" x14ac:dyDescent="0.3">
      <c r="B963" s="1"/>
      <c r="J963" s="2"/>
      <c r="AE963" s="1"/>
      <c r="AW963" s="1"/>
      <c r="AX963" s="1"/>
      <c r="BD963" s="1"/>
    </row>
    <row r="964" spans="2:56" x14ac:dyDescent="0.3">
      <c r="B964" s="1"/>
      <c r="J964" s="2"/>
      <c r="AE964" s="1"/>
      <c r="AW964" s="1"/>
      <c r="AX964" s="1"/>
      <c r="BD964" s="1"/>
    </row>
    <row r="965" spans="2:56" x14ac:dyDescent="0.3">
      <c r="B965" s="1"/>
      <c r="J965" s="2"/>
      <c r="AE965" s="1"/>
      <c r="AW965" s="1"/>
      <c r="AX965" s="1"/>
      <c r="BD965" s="1"/>
    </row>
    <row r="966" spans="2:56" x14ac:dyDescent="0.3">
      <c r="B966" s="1"/>
      <c r="J966" s="2"/>
      <c r="AE966" s="1"/>
      <c r="AW966" s="1"/>
      <c r="AX966" s="1"/>
      <c r="BD966" s="1"/>
    </row>
    <row r="967" spans="2:56" x14ac:dyDescent="0.3">
      <c r="B967" s="1"/>
      <c r="J967" s="2"/>
      <c r="AE967" s="1"/>
      <c r="AW967" s="1"/>
      <c r="AX967" s="1"/>
      <c r="BD967" s="1"/>
    </row>
    <row r="968" spans="2:56" x14ac:dyDescent="0.3">
      <c r="B968" s="1"/>
      <c r="J968" s="2"/>
      <c r="AE968" s="1"/>
      <c r="AW968" s="1"/>
      <c r="AX968" s="1"/>
      <c r="BD968" s="1"/>
    </row>
    <row r="969" spans="2:56" x14ac:dyDescent="0.3">
      <c r="B969" s="1"/>
      <c r="J969" s="2"/>
      <c r="AE969" s="1"/>
      <c r="AW969" s="1"/>
      <c r="AX969" s="1"/>
      <c r="BD969" s="1"/>
    </row>
    <row r="970" spans="2:56" x14ac:dyDescent="0.3">
      <c r="B970" s="1"/>
      <c r="J970" s="2"/>
      <c r="AE970" s="1"/>
      <c r="AW970" s="1"/>
      <c r="AX970" s="1"/>
      <c r="BD970" s="1"/>
    </row>
    <row r="971" spans="2:56" x14ac:dyDescent="0.3">
      <c r="B971" s="1"/>
      <c r="J971" s="2"/>
      <c r="AE971" s="1"/>
      <c r="AW971" s="1"/>
      <c r="AX971" s="1"/>
      <c r="BD971" s="1"/>
    </row>
    <row r="972" spans="2:56" x14ac:dyDescent="0.3">
      <c r="B972" s="1"/>
      <c r="J972" s="2"/>
      <c r="AE972" s="1"/>
      <c r="AW972" s="1"/>
      <c r="AX972" s="1"/>
      <c r="BD972" s="1"/>
    </row>
    <row r="973" spans="2:56" x14ac:dyDescent="0.3">
      <c r="B973" s="1"/>
      <c r="J973" s="2"/>
      <c r="AE973" s="1"/>
      <c r="AW973" s="1"/>
      <c r="AX973" s="1"/>
      <c r="BD973" s="1"/>
    </row>
    <row r="974" spans="2:56" x14ac:dyDescent="0.3">
      <c r="B974" s="1"/>
      <c r="J974" s="2"/>
      <c r="AE974" s="1"/>
      <c r="AW974" s="1"/>
      <c r="AX974" s="1"/>
      <c r="BD974" s="1"/>
    </row>
    <row r="975" spans="2:56" x14ac:dyDescent="0.3">
      <c r="B975" s="1"/>
      <c r="J975" s="2"/>
      <c r="AE975" s="1"/>
      <c r="AW975" s="1"/>
      <c r="AX975" s="1"/>
      <c r="BD975" s="1"/>
    </row>
    <row r="976" spans="2:56" x14ac:dyDescent="0.3">
      <c r="B976" s="1"/>
      <c r="J976" s="2"/>
      <c r="AE976" s="1"/>
      <c r="AW976" s="1"/>
      <c r="AX976" s="1"/>
      <c r="BD976" s="1"/>
    </row>
    <row r="977" spans="2:56" x14ac:dyDescent="0.3">
      <c r="B977" s="1"/>
      <c r="J977" s="2"/>
      <c r="AE977" s="1"/>
      <c r="AW977" s="1"/>
      <c r="AX977" s="1"/>
      <c r="BD977" s="1"/>
    </row>
    <row r="978" spans="2:56" x14ac:dyDescent="0.3">
      <c r="B978" s="1"/>
      <c r="J978" s="2"/>
      <c r="AE978" s="1"/>
      <c r="AW978" s="1"/>
      <c r="AX978" s="1"/>
      <c r="BD978" s="1"/>
    </row>
    <row r="979" spans="2:56" x14ac:dyDescent="0.3">
      <c r="B979" s="1"/>
      <c r="J979" s="2"/>
      <c r="AE979" s="1"/>
      <c r="AW979" s="1"/>
      <c r="AX979" s="1"/>
      <c r="BD979" s="1"/>
    </row>
    <row r="980" spans="2:56" x14ac:dyDescent="0.3">
      <c r="B980" s="1"/>
      <c r="J980" s="2"/>
      <c r="AE980" s="1"/>
      <c r="AW980" s="1"/>
      <c r="AX980" s="1"/>
      <c r="BD980" s="1"/>
    </row>
    <row r="981" spans="2:56" x14ac:dyDescent="0.3">
      <c r="B981" s="1"/>
      <c r="J981" s="2"/>
      <c r="AE981" s="1"/>
      <c r="AW981" s="1"/>
      <c r="AX981" s="1"/>
      <c r="BD981" s="1"/>
    </row>
    <row r="982" spans="2:56" x14ac:dyDescent="0.3">
      <c r="B982" s="1"/>
      <c r="J982" s="2"/>
      <c r="AE982" s="1"/>
      <c r="AW982" s="1"/>
      <c r="AX982" s="1"/>
      <c r="BD982" s="1"/>
    </row>
    <row r="983" spans="2:56" x14ac:dyDescent="0.3">
      <c r="B983" s="1"/>
      <c r="J983" s="2"/>
      <c r="AE983" s="1"/>
      <c r="AW983" s="1"/>
      <c r="AX983" s="1"/>
      <c r="BD983" s="1"/>
    </row>
    <row r="984" spans="2:56" x14ac:dyDescent="0.3">
      <c r="B984" s="1"/>
      <c r="J984" s="2"/>
      <c r="AE984" s="1"/>
      <c r="AW984" s="1"/>
      <c r="AX984" s="1"/>
      <c r="BD984" s="1"/>
    </row>
    <row r="985" spans="2:56" x14ac:dyDescent="0.3">
      <c r="B985" s="1"/>
      <c r="J985" s="2"/>
      <c r="AE985" s="1"/>
      <c r="AW985" s="1"/>
      <c r="AX985" s="1"/>
      <c r="BD985" s="1"/>
    </row>
    <row r="986" spans="2:56" x14ac:dyDescent="0.3">
      <c r="B986" s="1"/>
      <c r="J986" s="2"/>
      <c r="AE986" s="1"/>
      <c r="AW986" s="1"/>
      <c r="AX986" s="1"/>
      <c r="BD986" s="1"/>
    </row>
    <row r="987" spans="2:56" x14ac:dyDescent="0.3">
      <c r="B987" s="1"/>
      <c r="J987" s="2"/>
      <c r="AE987" s="1"/>
      <c r="AW987" s="1"/>
      <c r="AX987" s="1"/>
      <c r="BD987" s="1"/>
    </row>
    <row r="988" spans="2:56" x14ac:dyDescent="0.3">
      <c r="B988" s="1"/>
      <c r="J988" s="2"/>
      <c r="AE988" s="1"/>
      <c r="AW988" s="1"/>
      <c r="AX988" s="1"/>
      <c r="BD988" s="1"/>
    </row>
    <row r="989" spans="2:56" x14ac:dyDescent="0.3">
      <c r="B989" s="1"/>
      <c r="J989" s="2"/>
      <c r="AE989" s="1"/>
      <c r="AW989" s="1"/>
      <c r="AX989" s="1"/>
      <c r="BD989" s="1"/>
    </row>
    <row r="990" spans="2:56" x14ac:dyDescent="0.3">
      <c r="B990" s="1"/>
      <c r="J990" s="2"/>
      <c r="AE990" s="1"/>
      <c r="AW990" s="1"/>
      <c r="AX990" s="1"/>
      <c r="BD990" s="1"/>
    </row>
    <row r="991" spans="2:56" x14ac:dyDescent="0.3">
      <c r="B991" s="1"/>
      <c r="J991" s="2"/>
      <c r="AE991" s="1"/>
      <c r="AW991" s="1"/>
      <c r="AX991" s="1"/>
      <c r="BD991" s="1"/>
    </row>
    <row r="992" spans="2:56" x14ac:dyDescent="0.3">
      <c r="B992" s="1"/>
      <c r="J992" s="2"/>
      <c r="AE992" s="1"/>
      <c r="AW992" s="1"/>
      <c r="AX992" s="1"/>
      <c r="BD992" s="1"/>
    </row>
    <row r="993" spans="2:56" x14ac:dyDescent="0.3">
      <c r="B993" s="1"/>
      <c r="J993" s="2"/>
      <c r="AE993" s="1"/>
      <c r="AW993" s="1"/>
      <c r="AX993" s="1"/>
      <c r="BD993" s="1"/>
    </row>
    <row r="994" spans="2:56" x14ac:dyDescent="0.3">
      <c r="B994" s="1"/>
      <c r="J994" s="2"/>
      <c r="AE994" s="1"/>
      <c r="AW994" s="1"/>
      <c r="AX994" s="1"/>
      <c r="BD994" s="1"/>
    </row>
    <row r="995" spans="2:56" x14ac:dyDescent="0.3">
      <c r="B995" s="1"/>
      <c r="J995" s="2"/>
      <c r="AE995" s="1"/>
      <c r="AW995" s="1"/>
      <c r="AX995" s="1"/>
      <c r="BD995" s="1"/>
    </row>
    <row r="996" spans="2:56" x14ac:dyDescent="0.3">
      <c r="B996" s="1"/>
      <c r="J996" s="2"/>
      <c r="AE996" s="1"/>
      <c r="AW996" s="1"/>
      <c r="AX996" s="1"/>
      <c r="BD996" s="1"/>
    </row>
    <row r="997" spans="2:56" x14ac:dyDescent="0.3">
      <c r="B997" s="1"/>
      <c r="J997" s="2"/>
      <c r="AE997" s="1"/>
      <c r="AW997" s="1"/>
      <c r="AX997" s="1"/>
      <c r="BD997" s="1"/>
    </row>
    <row r="998" spans="2:56" x14ac:dyDescent="0.3">
      <c r="B998" s="1"/>
      <c r="J998" s="2"/>
      <c r="AE998" s="1"/>
      <c r="AW998" s="1"/>
      <c r="AX998" s="1"/>
      <c r="BD998" s="1"/>
    </row>
    <row r="999" spans="2:56" x14ac:dyDescent="0.3">
      <c r="B999" s="1"/>
      <c r="J999" s="2"/>
      <c r="AE999" s="1"/>
      <c r="AW999" s="1"/>
      <c r="AX999" s="1"/>
      <c r="BD999" s="1"/>
    </row>
    <row r="1000" spans="2:56" x14ac:dyDescent="0.3">
      <c r="B1000" s="1"/>
      <c r="J1000" s="2"/>
      <c r="AE1000" s="1"/>
      <c r="AW1000" s="1"/>
      <c r="AX1000" s="1"/>
      <c r="BD1000" s="1"/>
    </row>
    <row r="1001" spans="2:56" x14ac:dyDescent="0.3">
      <c r="B1001" s="1"/>
      <c r="J1001" s="2"/>
      <c r="AE1001" s="1"/>
      <c r="AW1001" s="1"/>
      <c r="AX1001" s="1"/>
      <c r="BD1001" s="1"/>
    </row>
    <row r="1002" spans="2:56" x14ac:dyDescent="0.3">
      <c r="B1002" s="1"/>
      <c r="J1002" s="2"/>
      <c r="AE1002" s="1"/>
      <c r="AW1002" s="1"/>
      <c r="AX1002" s="1"/>
      <c r="BD1002" s="1"/>
    </row>
    <row r="1003" spans="2:56" x14ac:dyDescent="0.3">
      <c r="B1003" s="1"/>
      <c r="J1003" s="2"/>
      <c r="AE1003" s="1"/>
      <c r="AW1003" s="1"/>
      <c r="AX1003" s="1"/>
      <c r="BD1003" s="1"/>
    </row>
    <row r="1004" spans="2:56" x14ac:dyDescent="0.3">
      <c r="B1004" s="1"/>
      <c r="J1004" s="2"/>
      <c r="AE1004" s="1"/>
      <c r="AW1004" s="1"/>
      <c r="AX1004" s="1"/>
      <c r="BD1004" s="1"/>
    </row>
    <row r="1005" spans="2:56" x14ac:dyDescent="0.3">
      <c r="B1005" s="1"/>
      <c r="J1005" s="2"/>
      <c r="AE1005" s="1"/>
      <c r="AW1005" s="1"/>
      <c r="AX1005" s="1"/>
      <c r="BD1005" s="1"/>
    </row>
    <row r="1006" spans="2:56" x14ac:dyDescent="0.3">
      <c r="B1006" s="1"/>
      <c r="J1006" s="2"/>
      <c r="AE1006" s="1"/>
      <c r="AW1006" s="1"/>
      <c r="AX1006" s="1"/>
      <c r="BD1006" s="1"/>
    </row>
    <row r="1007" spans="2:56" x14ac:dyDescent="0.3">
      <c r="B1007" s="1"/>
      <c r="J1007" s="2"/>
      <c r="AE1007" s="1"/>
      <c r="AW1007" s="1"/>
      <c r="AX1007" s="1"/>
      <c r="BD1007" s="1"/>
    </row>
    <row r="1008" spans="2:56" x14ac:dyDescent="0.3">
      <c r="B1008" s="1"/>
      <c r="J1008" s="2"/>
      <c r="AE1008" s="1"/>
      <c r="AW1008" s="1"/>
      <c r="AX1008" s="1"/>
      <c r="BD1008" s="1"/>
    </row>
    <row r="1009" spans="2:56" x14ac:dyDescent="0.3">
      <c r="B1009" s="1"/>
      <c r="J1009" s="2"/>
      <c r="AE1009" s="1"/>
      <c r="AW1009" s="1"/>
      <c r="AX1009" s="1"/>
      <c r="BD1009" s="1"/>
    </row>
    <row r="1010" spans="2:56" x14ac:dyDescent="0.3">
      <c r="B1010" s="1"/>
      <c r="J1010" s="2"/>
      <c r="AE1010" s="1"/>
      <c r="AW1010" s="1"/>
      <c r="AX1010" s="1"/>
      <c r="BD1010" s="1"/>
    </row>
    <row r="1011" spans="2:56" x14ac:dyDescent="0.3">
      <c r="B1011" s="1"/>
      <c r="J1011" s="2"/>
      <c r="AE1011" s="1"/>
      <c r="AW1011" s="1"/>
      <c r="AX1011" s="1"/>
      <c r="BD1011" s="1"/>
    </row>
    <row r="1012" spans="2:56" x14ac:dyDescent="0.3">
      <c r="B1012" s="1"/>
      <c r="J1012" s="2"/>
      <c r="AE1012" s="1"/>
      <c r="AW1012" s="1"/>
      <c r="AX1012" s="1"/>
      <c r="BD1012" s="1"/>
    </row>
    <row r="1013" spans="2:56" x14ac:dyDescent="0.3">
      <c r="B1013" s="1"/>
      <c r="J1013" s="2"/>
      <c r="AE1013" s="1"/>
      <c r="AW1013" s="1"/>
      <c r="AX1013" s="1"/>
      <c r="BD1013" s="1"/>
    </row>
    <row r="1014" spans="2:56" x14ac:dyDescent="0.3">
      <c r="B1014" s="1"/>
      <c r="J1014" s="2"/>
      <c r="AE1014" s="1"/>
      <c r="AW1014" s="1"/>
      <c r="AX1014" s="1"/>
      <c r="BD1014" s="1"/>
    </row>
    <row r="1015" spans="2:56" x14ac:dyDescent="0.3">
      <c r="B1015" s="1"/>
      <c r="J1015" s="2"/>
      <c r="AE1015" s="1"/>
      <c r="AW1015" s="1"/>
      <c r="AX1015" s="1"/>
      <c r="BD1015" s="1"/>
    </row>
    <row r="1016" spans="2:56" x14ac:dyDescent="0.3">
      <c r="B1016" s="1"/>
      <c r="J1016" s="2"/>
      <c r="AE1016" s="1"/>
      <c r="AW1016" s="1"/>
      <c r="AX1016" s="1"/>
      <c r="BD1016" s="1"/>
    </row>
    <row r="1017" spans="2:56" x14ac:dyDescent="0.3">
      <c r="B1017" s="1"/>
      <c r="J1017" s="2"/>
      <c r="AE1017" s="1"/>
      <c r="AW1017" s="1"/>
      <c r="AX1017" s="1"/>
      <c r="BD1017" s="1"/>
    </row>
    <row r="1018" spans="2:56" x14ac:dyDescent="0.3">
      <c r="B1018" s="1"/>
      <c r="J1018" s="2"/>
      <c r="AE1018" s="1"/>
      <c r="AW1018" s="1"/>
      <c r="AX1018" s="1"/>
      <c r="BD1018" s="1"/>
    </row>
    <row r="1019" spans="2:56" x14ac:dyDescent="0.3">
      <c r="B1019" s="1"/>
      <c r="J1019" s="2"/>
      <c r="AE1019" s="1"/>
      <c r="AW1019" s="1"/>
      <c r="AX1019" s="1"/>
      <c r="BD1019" s="1"/>
    </row>
    <row r="1020" spans="2:56" x14ac:dyDescent="0.3">
      <c r="B1020" s="1"/>
      <c r="J1020" s="2"/>
      <c r="AE1020" s="1"/>
      <c r="AW1020" s="1"/>
      <c r="AX1020" s="1"/>
      <c r="BD1020" s="1"/>
    </row>
    <row r="1021" spans="2:56" x14ac:dyDescent="0.3">
      <c r="B1021" s="1"/>
      <c r="J1021" s="2"/>
      <c r="AE1021" s="1"/>
      <c r="AW1021" s="1"/>
      <c r="AX1021" s="1"/>
      <c r="BD1021" s="1"/>
    </row>
    <row r="1022" spans="2:56" x14ac:dyDescent="0.3">
      <c r="B1022" s="1"/>
      <c r="J1022" s="2"/>
      <c r="AE1022" s="1"/>
      <c r="AW1022" s="1"/>
      <c r="AX1022" s="1"/>
      <c r="BD1022" s="1"/>
    </row>
    <row r="1023" spans="2:56" x14ac:dyDescent="0.3">
      <c r="B1023" s="1"/>
      <c r="J1023" s="2"/>
      <c r="AE1023" s="1"/>
      <c r="AW1023" s="1"/>
      <c r="AX1023" s="1"/>
      <c r="BD1023" s="1"/>
    </row>
    <row r="1024" spans="2:56" x14ac:dyDescent="0.3">
      <c r="B1024" s="1"/>
      <c r="J1024" s="2"/>
      <c r="AE1024" s="1"/>
      <c r="AW1024" s="1"/>
      <c r="AX1024" s="1"/>
      <c r="BD1024" s="1"/>
    </row>
    <row r="1025" spans="2:56" x14ac:dyDescent="0.3">
      <c r="B1025" s="1"/>
      <c r="J1025" s="2"/>
      <c r="AE1025" s="1"/>
      <c r="AW1025" s="1"/>
      <c r="AX1025" s="1"/>
      <c r="BD1025" s="1"/>
    </row>
    <row r="1026" spans="2:56" x14ac:dyDescent="0.3">
      <c r="B1026" s="1"/>
      <c r="J1026" s="2"/>
      <c r="AE1026" s="1"/>
      <c r="AW1026" s="1"/>
      <c r="AX1026" s="1"/>
      <c r="BD1026" s="1"/>
    </row>
    <row r="1027" spans="2:56" x14ac:dyDescent="0.3">
      <c r="B1027" s="1"/>
      <c r="J1027" s="2"/>
      <c r="AE1027" s="1"/>
      <c r="AW1027" s="1"/>
      <c r="AX1027" s="1"/>
      <c r="BD1027" s="1"/>
    </row>
    <row r="1028" spans="2:56" x14ac:dyDescent="0.3">
      <c r="B1028" s="1"/>
      <c r="J1028" s="2"/>
      <c r="AE1028" s="1"/>
      <c r="AW1028" s="1"/>
      <c r="AX1028" s="1"/>
      <c r="BD1028" s="1"/>
    </row>
    <row r="1029" spans="2:56" x14ac:dyDescent="0.3">
      <c r="B1029" s="1"/>
      <c r="J1029" s="2"/>
      <c r="AE1029" s="1"/>
      <c r="AW1029" s="1"/>
      <c r="AX1029" s="1"/>
      <c r="BD1029" s="1"/>
    </row>
    <row r="1030" spans="2:56" x14ac:dyDescent="0.3">
      <c r="B1030" s="1"/>
      <c r="J1030" s="2"/>
      <c r="AE1030" s="1"/>
      <c r="AW1030" s="1"/>
      <c r="AX1030" s="1"/>
      <c r="BD1030" s="1"/>
    </row>
    <row r="1031" spans="2:56" x14ac:dyDescent="0.3">
      <c r="B1031" s="1"/>
      <c r="J1031" s="2"/>
      <c r="AE1031" s="1"/>
      <c r="AW1031" s="1"/>
      <c r="AX1031" s="1"/>
      <c r="BD1031" s="1"/>
    </row>
    <row r="1032" spans="2:56" x14ac:dyDescent="0.3">
      <c r="B1032" s="1"/>
      <c r="J1032" s="2"/>
      <c r="AE1032" s="1"/>
      <c r="AW1032" s="1"/>
      <c r="AX1032" s="1"/>
      <c r="BD1032" s="1"/>
    </row>
    <row r="1033" spans="2:56" x14ac:dyDescent="0.3">
      <c r="B1033" s="1"/>
      <c r="J1033" s="2"/>
      <c r="AE1033" s="1"/>
      <c r="AW1033" s="1"/>
      <c r="AX1033" s="1"/>
      <c r="BD1033" s="1"/>
    </row>
    <row r="1034" spans="2:56" x14ac:dyDescent="0.3">
      <c r="B1034" s="1"/>
      <c r="J1034" s="2"/>
      <c r="AE1034" s="1"/>
      <c r="AW1034" s="1"/>
      <c r="AX1034" s="1"/>
      <c r="BD1034" s="1"/>
    </row>
    <row r="1035" spans="2:56" x14ac:dyDescent="0.3">
      <c r="B1035" s="1"/>
      <c r="J1035" s="2"/>
      <c r="AE1035" s="1"/>
      <c r="AW1035" s="1"/>
      <c r="AX1035" s="1"/>
      <c r="BD1035" s="1"/>
    </row>
    <row r="1036" spans="2:56" x14ac:dyDescent="0.3">
      <c r="B1036" s="1"/>
      <c r="J1036" s="2"/>
      <c r="AE1036" s="1"/>
      <c r="AW1036" s="1"/>
      <c r="AX1036" s="1"/>
      <c r="BD1036" s="1"/>
    </row>
    <row r="1037" spans="2:56" x14ac:dyDescent="0.3">
      <c r="B1037" s="1"/>
      <c r="J1037" s="2"/>
      <c r="AE1037" s="1"/>
      <c r="AW1037" s="1"/>
      <c r="AX1037" s="1"/>
      <c r="BD1037" s="1"/>
    </row>
    <row r="1038" spans="2:56" x14ac:dyDescent="0.3">
      <c r="B1038" s="1"/>
      <c r="J1038" s="2"/>
      <c r="AV1038" s="1"/>
      <c r="AW1038" s="1"/>
      <c r="AX1038" s="1"/>
      <c r="BA1038" s="1"/>
      <c r="BD1038" s="1"/>
    </row>
    <row r="1041" spans="10:10" x14ac:dyDescent="0.3">
      <c r="J1041" s="2"/>
    </row>
    <row r="1042" spans="10:10" x14ac:dyDescent="0.3">
      <c r="J1042" s="2"/>
    </row>
    <row r="1043" spans="10:10" x14ac:dyDescent="0.3">
      <c r="J1043" s="2"/>
    </row>
    <row r="1044" spans="10:10" x14ac:dyDescent="0.3">
      <c r="J1044" s="2"/>
    </row>
    <row r="1045" spans="10:10" x14ac:dyDescent="0.3">
      <c r="J1045" s="2"/>
    </row>
    <row r="1046" spans="10:10" x14ac:dyDescent="0.3">
      <c r="J1046" s="2"/>
    </row>
    <row r="1047" spans="10:10" x14ac:dyDescent="0.3">
      <c r="J1047" s="2"/>
    </row>
    <row r="1048" spans="10:10" x14ac:dyDescent="0.3">
      <c r="J1048" s="2"/>
    </row>
    <row r="1049" spans="10:10" x14ac:dyDescent="0.3">
      <c r="J1049" s="2"/>
    </row>
    <row r="1050" spans="10:10" x14ac:dyDescent="0.3">
      <c r="J1050" s="2"/>
    </row>
    <row r="1051" spans="10:10" x14ac:dyDescent="0.3">
      <c r="J1051" s="2"/>
    </row>
    <row r="1052" spans="10:10" x14ac:dyDescent="0.3">
      <c r="J1052" s="2"/>
    </row>
    <row r="1053" spans="10:10" x14ac:dyDescent="0.3">
      <c r="J1053" s="2"/>
    </row>
    <row r="1054" spans="10:10" x14ac:dyDescent="0.3">
      <c r="J1054" s="2"/>
    </row>
    <row r="1055" spans="10:10" x14ac:dyDescent="0.3">
      <c r="J1055" s="2"/>
    </row>
    <row r="1056" spans="10:10" x14ac:dyDescent="0.3">
      <c r="J1056" s="2"/>
    </row>
    <row r="1057" spans="10:10" x14ac:dyDescent="0.3">
      <c r="J1057" s="2"/>
    </row>
    <row r="1058" spans="10:10" x14ac:dyDescent="0.3">
      <c r="J1058" s="2"/>
    </row>
    <row r="1059" spans="10:10" x14ac:dyDescent="0.3">
      <c r="J1059" s="2"/>
    </row>
    <row r="1060" spans="10:10" x14ac:dyDescent="0.3">
      <c r="J1060" s="2"/>
    </row>
    <row r="1061" spans="10:10" x14ac:dyDescent="0.3">
      <c r="J1061" s="2"/>
    </row>
    <row r="1062" spans="10:10" x14ac:dyDescent="0.3">
      <c r="J1062" s="2"/>
    </row>
    <row r="1063" spans="10:10" x14ac:dyDescent="0.3">
      <c r="J1063" s="2"/>
    </row>
    <row r="1064" spans="10:10" x14ac:dyDescent="0.3">
      <c r="J1064" s="2"/>
    </row>
    <row r="1065" spans="10:10" x14ac:dyDescent="0.3">
      <c r="J1065" s="2"/>
    </row>
    <row r="1066" spans="10:10" x14ac:dyDescent="0.3">
      <c r="J1066" s="2"/>
    </row>
    <row r="1067" spans="10:10" x14ac:dyDescent="0.3">
      <c r="J1067" s="2"/>
    </row>
    <row r="1068" spans="10:10" x14ac:dyDescent="0.3">
      <c r="J1068" s="2"/>
    </row>
    <row r="1069" spans="10:10" x14ac:dyDescent="0.3">
      <c r="J1069" s="2"/>
    </row>
    <row r="1070" spans="10:10" x14ac:dyDescent="0.3">
      <c r="J1070" s="2"/>
    </row>
    <row r="1071" spans="10:10" x14ac:dyDescent="0.3">
      <c r="J1071" s="2"/>
    </row>
    <row r="1072" spans="10:10" x14ac:dyDescent="0.3">
      <c r="J1072" s="2"/>
    </row>
    <row r="1073" spans="10:10" x14ac:dyDescent="0.3">
      <c r="J1073" s="2"/>
    </row>
    <row r="1074" spans="10:10" x14ac:dyDescent="0.3">
      <c r="J1074" s="2"/>
    </row>
    <row r="1075" spans="10:10" x14ac:dyDescent="0.3">
      <c r="J1075" s="2"/>
    </row>
    <row r="1076" spans="10:10" x14ac:dyDescent="0.3">
      <c r="J1076" s="2"/>
    </row>
    <row r="1077" spans="10:10" x14ac:dyDescent="0.3">
      <c r="J1077" s="2"/>
    </row>
    <row r="1078" spans="10:10" x14ac:dyDescent="0.3">
      <c r="J1078" s="2"/>
    </row>
    <row r="1079" spans="10:10" x14ac:dyDescent="0.3">
      <c r="J1079" s="2"/>
    </row>
    <row r="1080" spans="10:10" x14ac:dyDescent="0.3">
      <c r="J1080" s="2"/>
    </row>
    <row r="1081" spans="10:10" x14ac:dyDescent="0.3">
      <c r="J1081" s="2"/>
    </row>
    <row r="1082" spans="10:10" x14ac:dyDescent="0.3">
      <c r="J1082" s="2"/>
    </row>
    <row r="1083" spans="10:10" x14ac:dyDescent="0.3">
      <c r="J1083" s="2"/>
    </row>
    <row r="1084" spans="10:10" x14ac:dyDescent="0.3">
      <c r="J1084" s="2"/>
    </row>
    <row r="1085" spans="10:10" x14ac:dyDescent="0.3">
      <c r="J1085" s="2"/>
    </row>
    <row r="1086" spans="10:10" x14ac:dyDescent="0.3">
      <c r="J1086" s="2"/>
    </row>
    <row r="1087" spans="10:10" x14ac:dyDescent="0.3">
      <c r="J1087" s="2"/>
    </row>
    <row r="1088" spans="10:10" x14ac:dyDescent="0.3">
      <c r="J1088" s="2"/>
    </row>
    <row r="1089" spans="10:10" x14ac:dyDescent="0.3">
      <c r="J1089" s="2"/>
    </row>
    <row r="1090" spans="10:10" x14ac:dyDescent="0.3">
      <c r="J1090" s="2"/>
    </row>
    <row r="1091" spans="10:10" x14ac:dyDescent="0.3">
      <c r="J1091" s="2"/>
    </row>
    <row r="1092" spans="10:10" x14ac:dyDescent="0.3">
      <c r="J1092" s="2"/>
    </row>
    <row r="1093" spans="10:10" x14ac:dyDescent="0.3">
      <c r="J1093" s="2"/>
    </row>
    <row r="1094" spans="10:10" x14ac:dyDescent="0.3">
      <c r="J1094" s="2"/>
    </row>
    <row r="1095" spans="10:10" x14ac:dyDescent="0.3">
      <c r="J1095" s="2"/>
    </row>
    <row r="1096" spans="10:10" x14ac:dyDescent="0.3">
      <c r="J1096" s="2"/>
    </row>
    <row r="1097" spans="10:10" x14ac:dyDescent="0.3">
      <c r="J1097" s="2"/>
    </row>
    <row r="1098" spans="10:10" x14ac:dyDescent="0.3">
      <c r="J1098" s="2"/>
    </row>
    <row r="1099" spans="10:10" x14ac:dyDescent="0.3">
      <c r="J1099" s="2"/>
    </row>
    <row r="1100" spans="10:10" x14ac:dyDescent="0.3">
      <c r="J1100" s="2"/>
    </row>
    <row r="1101" spans="10:10" x14ac:dyDescent="0.3">
      <c r="J1101" s="2"/>
    </row>
    <row r="1102" spans="10:10" x14ac:dyDescent="0.3">
      <c r="J1102" s="2"/>
    </row>
    <row r="1103" spans="10:10" x14ac:dyDescent="0.3">
      <c r="J1103" s="2"/>
    </row>
    <row r="1104" spans="10:10" x14ac:dyDescent="0.3">
      <c r="J1104" s="2"/>
    </row>
    <row r="1105" spans="10:10" x14ac:dyDescent="0.3">
      <c r="J1105" s="2"/>
    </row>
    <row r="1106" spans="10:10" x14ac:dyDescent="0.3">
      <c r="J1106" s="2"/>
    </row>
    <row r="1109" spans="10:10" x14ac:dyDescent="0.3">
      <c r="J1109" s="2"/>
    </row>
    <row r="1110" spans="10:10" x14ac:dyDescent="0.3">
      <c r="J1110" s="2"/>
    </row>
    <row r="1111" spans="10:10" x14ac:dyDescent="0.3">
      <c r="J1111" s="2"/>
    </row>
    <row r="1112" spans="10:10" x14ac:dyDescent="0.3">
      <c r="J1112" s="2"/>
    </row>
    <row r="1113" spans="10:10" x14ac:dyDescent="0.3">
      <c r="J1113" s="2"/>
    </row>
    <row r="1114" spans="10:10" x14ac:dyDescent="0.3">
      <c r="J1114" s="2"/>
    </row>
    <row r="1115" spans="10:10" x14ac:dyDescent="0.3">
      <c r="J1115" s="2"/>
    </row>
    <row r="1116" spans="10:10" x14ac:dyDescent="0.3">
      <c r="J1116" s="2"/>
    </row>
    <row r="1117" spans="10:10" x14ac:dyDescent="0.3">
      <c r="J1117" s="2"/>
    </row>
    <row r="1118" spans="10:10" x14ac:dyDescent="0.3">
      <c r="J1118" s="2"/>
    </row>
    <row r="1119" spans="10:10" x14ac:dyDescent="0.3">
      <c r="J1119" s="2"/>
    </row>
    <row r="1120" spans="10:10" x14ac:dyDescent="0.3">
      <c r="J1120" s="2"/>
    </row>
    <row r="1121" spans="10:10" x14ac:dyDescent="0.3">
      <c r="J1121" s="2"/>
    </row>
    <row r="1122" spans="10:10" x14ac:dyDescent="0.3">
      <c r="J1122" s="2"/>
    </row>
    <row r="1123" spans="10:10" x14ac:dyDescent="0.3">
      <c r="J1123" s="2"/>
    </row>
    <row r="1124" spans="10:10" x14ac:dyDescent="0.3">
      <c r="J1124" s="2"/>
    </row>
    <row r="1125" spans="10:10" x14ac:dyDescent="0.3">
      <c r="J1125" s="2"/>
    </row>
    <row r="1126" spans="10:10" x14ac:dyDescent="0.3">
      <c r="J1126" s="2"/>
    </row>
    <row r="1127" spans="10:10" x14ac:dyDescent="0.3">
      <c r="J1127" s="2"/>
    </row>
    <row r="1128" spans="10:10" x14ac:dyDescent="0.3">
      <c r="J1128" s="2"/>
    </row>
    <row r="1129" spans="10:10" x14ac:dyDescent="0.3">
      <c r="J1129" s="2"/>
    </row>
    <row r="1130" spans="10:10" x14ac:dyDescent="0.3">
      <c r="J1130" s="2"/>
    </row>
    <row r="1131" spans="10:10" x14ac:dyDescent="0.3">
      <c r="J1131" s="2"/>
    </row>
    <row r="1132" spans="10:10" x14ac:dyDescent="0.3">
      <c r="J1132" s="2"/>
    </row>
    <row r="1133" spans="10:10" x14ac:dyDescent="0.3">
      <c r="J1133" s="2"/>
    </row>
    <row r="1134" spans="10:10" x14ac:dyDescent="0.3">
      <c r="J1134" s="2"/>
    </row>
    <row r="1135" spans="10:10" x14ac:dyDescent="0.3">
      <c r="J1135" s="2"/>
    </row>
    <row r="1136" spans="10:10" x14ac:dyDescent="0.3">
      <c r="J1136" s="2"/>
    </row>
    <row r="1137" spans="10:37" x14ac:dyDescent="0.3">
      <c r="J1137" s="2"/>
    </row>
    <row r="1138" spans="10:37" x14ac:dyDescent="0.3">
      <c r="J1138" s="2"/>
    </row>
    <row r="1139" spans="10:37" x14ac:dyDescent="0.3">
      <c r="J1139" s="2"/>
    </row>
    <row r="1140" spans="10:37" x14ac:dyDescent="0.3">
      <c r="J1140" s="2"/>
    </row>
    <row r="1141" spans="10:37" x14ac:dyDescent="0.3">
      <c r="J1141" s="2"/>
    </row>
    <row r="1142" spans="10:37" x14ac:dyDescent="0.3">
      <c r="J1142" s="2"/>
    </row>
    <row r="1143" spans="10:37" x14ac:dyDescent="0.3">
      <c r="J1143" s="2"/>
    </row>
    <row r="1144" spans="10:37" x14ac:dyDescent="0.3">
      <c r="J1144" s="2"/>
      <c r="AK1144" s="1"/>
    </row>
    <row r="1145" spans="10:37" x14ac:dyDescent="0.3">
      <c r="J1145" s="2"/>
      <c r="AK1145" s="1"/>
    </row>
    <row r="1146" spans="10:37" x14ac:dyDescent="0.3">
      <c r="J1146" s="2"/>
      <c r="AK1146" s="1"/>
    </row>
    <row r="1147" spans="10:37" x14ac:dyDescent="0.3">
      <c r="J1147" s="2"/>
      <c r="AK1147" s="1"/>
    </row>
    <row r="1148" spans="10:37" x14ac:dyDescent="0.3">
      <c r="J1148" s="2"/>
      <c r="AK1148" s="1"/>
    </row>
    <row r="1149" spans="10:37" x14ac:dyDescent="0.3">
      <c r="J1149" s="2"/>
      <c r="AK1149" s="1"/>
    </row>
    <row r="1150" spans="10:37" x14ac:dyDescent="0.3">
      <c r="J1150" s="2"/>
      <c r="AK1150" s="1"/>
    </row>
    <row r="1151" spans="10:37" x14ac:dyDescent="0.3">
      <c r="J1151" s="2"/>
      <c r="AK1151" s="1"/>
    </row>
    <row r="1152" spans="10:37" x14ac:dyDescent="0.3">
      <c r="J1152" s="2"/>
      <c r="AK1152" s="1"/>
    </row>
    <row r="1153" spans="10:37" x14ac:dyDescent="0.3">
      <c r="J1153" s="2"/>
      <c r="AK1153" s="1"/>
    </row>
    <row r="1154" spans="10:37" x14ac:dyDescent="0.3">
      <c r="J1154" s="2"/>
      <c r="AK1154" s="1"/>
    </row>
    <row r="1155" spans="10:37" x14ac:dyDescent="0.3">
      <c r="J1155" s="2"/>
      <c r="AK1155" s="1"/>
    </row>
    <row r="1156" spans="10:37" x14ac:dyDescent="0.3">
      <c r="J1156" s="2"/>
      <c r="AK1156" s="1"/>
    </row>
    <row r="1157" spans="10:37" x14ac:dyDescent="0.3">
      <c r="J1157" s="2"/>
      <c r="AK1157" s="1"/>
    </row>
    <row r="1158" spans="10:37" x14ac:dyDescent="0.3">
      <c r="J1158" s="2"/>
      <c r="AK1158" s="1"/>
    </row>
    <row r="1159" spans="10:37" x14ac:dyDescent="0.3">
      <c r="J1159" s="2"/>
      <c r="AK1159" s="1"/>
    </row>
    <row r="1160" spans="10:37" x14ac:dyDescent="0.3">
      <c r="J1160" s="2"/>
    </row>
    <row r="1161" spans="10:37" x14ac:dyDescent="0.3">
      <c r="J1161" s="2"/>
    </row>
    <row r="1162" spans="10:37" x14ac:dyDescent="0.3">
      <c r="J1162" s="2"/>
    </row>
    <row r="1163" spans="10:37" x14ac:dyDescent="0.3">
      <c r="J1163" s="2"/>
    </row>
    <row r="1164" spans="10:37" x14ac:dyDescent="0.3">
      <c r="J1164" s="2"/>
    </row>
    <row r="1165" spans="10:37" x14ac:dyDescent="0.3">
      <c r="J1165" s="2"/>
    </row>
    <row r="1166" spans="10:37" x14ac:dyDescent="0.3">
      <c r="J1166" s="2"/>
    </row>
    <row r="1167" spans="10:37" x14ac:dyDescent="0.3">
      <c r="J1167" s="2"/>
    </row>
    <row r="1168" spans="10:37" x14ac:dyDescent="0.3">
      <c r="J1168" s="2"/>
    </row>
    <row r="1169" spans="10:10" x14ac:dyDescent="0.3">
      <c r="J1169" s="2"/>
    </row>
    <row r="1170" spans="10:10" x14ac:dyDescent="0.3">
      <c r="J1170" s="2"/>
    </row>
    <row r="1171" spans="10:10" x14ac:dyDescent="0.3">
      <c r="J1171" s="2"/>
    </row>
    <row r="1172" spans="10:10" x14ac:dyDescent="0.3">
      <c r="J1172" s="2"/>
    </row>
    <row r="1173" spans="10:10" x14ac:dyDescent="0.3">
      <c r="J1173" s="2"/>
    </row>
    <row r="1174" spans="10:10" x14ac:dyDescent="0.3">
      <c r="J1174" s="2"/>
    </row>
    <row r="1175" spans="10:10" x14ac:dyDescent="0.3">
      <c r="J1175" s="2"/>
    </row>
    <row r="1176" spans="10:10" x14ac:dyDescent="0.3">
      <c r="J1176" s="2"/>
    </row>
    <row r="1177" spans="10:10" x14ac:dyDescent="0.3">
      <c r="J1177" s="2"/>
    </row>
    <row r="1178" spans="10:10" x14ac:dyDescent="0.3">
      <c r="J1178" s="2"/>
    </row>
    <row r="1179" spans="10:10" x14ac:dyDescent="0.3">
      <c r="J1179" s="2"/>
    </row>
    <row r="1180" spans="10:10" x14ac:dyDescent="0.3">
      <c r="J1180" s="2"/>
    </row>
    <row r="1181" spans="10:10" x14ac:dyDescent="0.3">
      <c r="J1181" s="2"/>
    </row>
    <row r="1182" spans="10:10" x14ac:dyDescent="0.3">
      <c r="J1182" s="2"/>
    </row>
    <row r="1183" spans="10:10" x14ac:dyDescent="0.3">
      <c r="J1183" s="2"/>
    </row>
    <row r="1184" spans="10:10" x14ac:dyDescent="0.3">
      <c r="J1184" s="2"/>
    </row>
    <row r="1185" spans="2:57" x14ac:dyDescent="0.3">
      <c r="J1185" s="2"/>
    </row>
    <row r="1186" spans="2:57" x14ac:dyDescent="0.3">
      <c r="J1186" s="2"/>
    </row>
    <row r="1187" spans="2:57" x14ac:dyDescent="0.3">
      <c r="J1187" s="2"/>
    </row>
    <row r="1188" spans="2:57" x14ac:dyDescent="0.3">
      <c r="J1188" s="2"/>
    </row>
    <row r="1189" spans="2:57" x14ac:dyDescent="0.3">
      <c r="J1189" s="2"/>
    </row>
    <row r="1190" spans="2:57" x14ac:dyDescent="0.3">
      <c r="J1190" s="2"/>
    </row>
    <row r="1191" spans="2:57" x14ac:dyDescent="0.3">
      <c r="J1191" s="2"/>
    </row>
    <row r="1194" spans="2:57" x14ac:dyDescent="0.3">
      <c r="B1194" s="1"/>
      <c r="J1194" s="2"/>
      <c r="U1194" s="3"/>
      <c r="AW1194" s="1"/>
      <c r="AX1194" s="1"/>
      <c r="BA1194" s="1"/>
      <c r="BD1194" s="1"/>
      <c r="BE1194" s="1"/>
    </row>
    <row r="1195" spans="2:57" x14ac:dyDescent="0.3">
      <c r="B1195" s="1"/>
      <c r="J1195" s="2"/>
      <c r="U1195" s="3"/>
      <c r="AU1195" s="1"/>
      <c r="AW1195" s="1"/>
      <c r="AX1195" s="1"/>
      <c r="BA1195" s="1"/>
      <c r="BD1195" s="1"/>
      <c r="BE1195" s="1"/>
    </row>
    <row r="1196" spans="2:57" x14ac:dyDescent="0.3">
      <c r="B1196" s="1"/>
      <c r="J1196" s="2"/>
      <c r="U1196" s="3"/>
      <c r="AU1196" s="1"/>
      <c r="AW1196" s="1"/>
      <c r="AX1196" s="1"/>
      <c r="BA1196" s="1"/>
      <c r="BD1196" s="1"/>
      <c r="BE1196" s="1"/>
    </row>
    <row r="1197" spans="2:57" x14ac:dyDescent="0.3">
      <c r="B1197" s="1"/>
      <c r="J1197" s="2"/>
      <c r="U1197" s="3"/>
      <c r="AU1197" s="1"/>
      <c r="AW1197" s="1"/>
      <c r="AX1197" s="1"/>
      <c r="BA1197" s="1"/>
      <c r="BD1197" s="1"/>
      <c r="BE1197" s="1"/>
    </row>
    <row r="1198" spans="2:57" x14ac:dyDescent="0.3">
      <c r="B1198" s="1"/>
      <c r="J1198" s="2"/>
      <c r="AW1198" s="1"/>
      <c r="AX1198" s="1"/>
      <c r="BD1198" s="1"/>
    </row>
    <row r="1199" spans="2:57" x14ac:dyDescent="0.3">
      <c r="B1199" s="1"/>
      <c r="J1199" s="2"/>
      <c r="U1199" s="3"/>
      <c r="AW1199" s="1"/>
      <c r="AX1199" s="1"/>
      <c r="BA1199" s="1"/>
      <c r="BD1199" s="1"/>
    </row>
    <row r="1200" spans="2:57" x14ac:dyDescent="0.3">
      <c r="B1200" s="1"/>
      <c r="J1200" s="2"/>
      <c r="U1200" s="3"/>
      <c r="AW1200" s="1"/>
      <c r="AX1200" s="1"/>
      <c r="BA1200" s="1"/>
      <c r="BD1200" s="1"/>
      <c r="BE1200" s="1"/>
    </row>
    <row r="1201" spans="2:57" x14ac:dyDescent="0.3">
      <c r="B1201" s="1"/>
      <c r="J1201" s="2"/>
      <c r="U1201" s="3"/>
      <c r="AW1201" s="1"/>
      <c r="AX1201" s="1"/>
      <c r="BA1201" s="1"/>
      <c r="BD1201" s="1"/>
    </row>
    <row r="1202" spans="2:57" x14ac:dyDescent="0.3">
      <c r="B1202" s="1"/>
      <c r="J1202" s="2"/>
      <c r="U1202" s="3"/>
      <c r="AW1202" s="1"/>
      <c r="AX1202" s="1"/>
      <c r="BA1202" s="1"/>
      <c r="BD1202" s="1"/>
      <c r="BE1202" s="1"/>
    </row>
    <row r="1203" spans="2:57" x14ac:dyDescent="0.3">
      <c r="B1203" s="1"/>
      <c r="J1203" s="2"/>
      <c r="AW1203" s="1"/>
      <c r="AX1203" s="1"/>
      <c r="BD1203" s="1"/>
    </row>
    <row r="1204" spans="2:57" x14ac:dyDescent="0.3">
      <c r="B1204" s="1"/>
      <c r="J1204" s="2"/>
      <c r="U1204" s="3"/>
      <c r="AW1204" s="1"/>
      <c r="AX1204" s="1"/>
      <c r="BA1204" s="1"/>
      <c r="BD1204" s="1"/>
      <c r="BE1204" s="1"/>
    </row>
    <row r="1205" spans="2:57" x14ac:dyDescent="0.3">
      <c r="B1205" s="1"/>
      <c r="J1205" s="2"/>
      <c r="U1205" s="3"/>
      <c r="AE1205" s="1"/>
      <c r="AK1205" s="1"/>
      <c r="AV1205" s="1"/>
      <c r="AW1205" s="1"/>
      <c r="AX1205" s="1"/>
      <c r="BA1205" s="1"/>
      <c r="BD1205" s="1"/>
      <c r="BE1205" s="1"/>
    </row>
    <row r="1206" spans="2:57" x14ac:dyDescent="0.3">
      <c r="B1206" s="1"/>
      <c r="J1206" s="2"/>
      <c r="U1206" s="3"/>
      <c r="AE1206" s="1"/>
      <c r="AK1206" s="1"/>
      <c r="AV1206" s="1"/>
      <c r="AW1206" s="1"/>
      <c r="AX1206" s="1"/>
      <c r="BA1206" s="1"/>
      <c r="BD1206" s="1"/>
      <c r="BE1206" s="1"/>
    </row>
    <row r="1207" spans="2:57" x14ac:dyDescent="0.3">
      <c r="B1207" s="1"/>
      <c r="J1207" s="2"/>
      <c r="U1207" s="3"/>
      <c r="AE1207" s="1"/>
      <c r="AK1207" s="1"/>
      <c r="AV1207" s="1"/>
      <c r="AW1207" s="1"/>
      <c r="AX1207" s="1"/>
      <c r="BA1207" s="1"/>
      <c r="BD1207" s="1"/>
      <c r="BE120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7DBCE-D1C8-4BB3-99E9-29F59C316166}">
  <sheetPr codeName="Sheet2">
    <tabColor theme="5" tint="-0.249977111117893"/>
  </sheetPr>
  <dimension ref="A1:W442"/>
  <sheetViews>
    <sheetView workbookViewId="0">
      <selection activeCell="A2" sqref="A2:W442"/>
    </sheetView>
  </sheetViews>
  <sheetFormatPr defaultRowHeight="14.4" x14ac:dyDescent="0.3"/>
  <cols>
    <col min="1" max="1" width="13.5546875" bestFit="1" customWidth="1"/>
    <col min="2" max="2" width="14.6640625" bestFit="1" customWidth="1"/>
    <col min="4" max="4" width="11.5546875" customWidth="1"/>
    <col min="6" max="6" width="10.44140625" customWidth="1"/>
    <col min="7" max="7" width="12.6640625" customWidth="1"/>
    <col min="8" max="8" width="11.44140625" customWidth="1"/>
    <col min="9" max="9" width="9.109375" customWidth="1"/>
    <col min="10" max="10" width="10.109375" customWidth="1"/>
    <col min="11" max="11" width="9.6640625" customWidth="1"/>
    <col min="12" max="12" width="9.33203125" customWidth="1"/>
    <col min="13" max="13" width="16" customWidth="1"/>
    <col min="15" max="15" width="12.6640625" customWidth="1"/>
    <col min="17" max="17" width="10.44140625" customWidth="1"/>
    <col min="18" max="18" width="11.6640625" customWidth="1"/>
    <col min="19" max="19" width="15.33203125" customWidth="1"/>
    <col min="21" max="21" width="10.5546875" customWidth="1"/>
  </cols>
  <sheetData>
    <row r="1" spans="1:23" x14ac:dyDescent="0.3">
      <c r="A1" s="4" t="s">
        <v>128</v>
      </c>
      <c r="B1" s="4" t="s">
        <v>133</v>
      </c>
      <c r="C1" s="4" t="s">
        <v>130</v>
      </c>
      <c r="D1" t="s">
        <v>56</v>
      </c>
      <c r="E1" s="4" t="s">
        <v>7</v>
      </c>
      <c r="F1" t="s">
        <v>2</v>
      </c>
      <c r="G1" t="s">
        <v>57</v>
      </c>
      <c r="H1" t="s">
        <v>58</v>
      </c>
      <c r="I1" t="s">
        <v>59</v>
      </c>
      <c r="J1" s="4" t="s">
        <v>6</v>
      </c>
      <c r="K1" t="s">
        <v>60</v>
      </c>
      <c r="L1" t="s">
        <v>61</v>
      </c>
      <c r="M1" t="s">
        <v>62</v>
      </c>
      <c r="N1" s="4" t="s">
        <v>63</v>
      </c>
      <c r="O1" t="s">
        <v>64</v>
      </c>
      <c r="P1" s="4" t="s">
        <v>94</v>
      </c>
      <c r="Q1" t="s">
        <v>65</v>
      </c>
      <c r="R1" t="s">
        <v>66</v>
      </c>
      <c r="S1" t="s">
        <v>67</v>
      </c>
      <c r="T1" s="4" t="s">
        <v>132</v>
      </c>
      <c r="U1" s="4" t="s">
        <v>15</v>
      </c>
      <c r="V1" t="s">
        <v>131</v>
      </c>
      <c r="W1" s="4" t="s">
        <v>86</v>
      </c>
    </row>
    <row r="2" spans="1:23" x14ac:dyDescent="0.3">
      <c r="G2" s="2"/>
    </row>
    <row r="3" spans="1:23" x14ac:dyDescent="0.3">
      <c r="G3" s="2"/>
    </row>
    <row r="4" spans="1:23" x14ac:dyDescent="0.3">
      <c r="G4" s="2"/>
    </row>
    <row r="5" spans="1:23" x14ac:dyDescent="0.3">
      <c r="G5" s="2"/>
    </row>
    <row r="6" spans="1:23" x14ac:dyDescent="0.3">
      <c r="G6" s="2"/>
    </row>
    <row r="7" spans="1:23" x14ac:dyDescent="0.3">
      <c r="G7" s="2"/>
    </row>
    <row r="8" spans="1:23" x14ac:dyDescent="0.3">
      <c r="G8" s="2"/>
    </row>
    <row r="9" spans="1:23" x14ac:dyDescent="0.3">
      <c r="G9" s="2"/>
    </row>
    <row r="10" spans="1:23" x14ac:dyDescent="0.3">
      <c r="G10" s="2"/>
    </row>
    <row r="11" spans="1:23" x14ac:dyDescent="0.3">
      <c r="G11" s="2"/>
    </row>
    <row r="12" spans="1:23" x14ac:dyDescent="0.3">
      <c r="G12" s="2"/>
    </row>
    <row r="13" spans="1:23" x14ac:dyDescent="0.3">
      <c r="G13" s="2"/>
    </row>
    <row r="14" spans="1:23" x14ac:dyDescent="0.3">
      <c r="G14" s="2"/>
    </row>
    <row r="15" spans="1:23" x14ac:dyDescent="0.3">
      <c r="G15" s="2"/>
    </row>
    <row r="16" spans="1:23" x14ac:dyDescent="0.3">
      <c r="G16" s="2"/>
    </row>
    <row r="17" spans="7:7" x14ac:dyDescent="0.3">
      <c r="G17" s="2"/>
    </row>
    <row r="18" spans="7:7" x14ac:dyDescent="0.3">
      <c r="G18" s="2"/>
    </row>
    <row r="19" spans="7:7" x14ac:dyDescent="0.3">
      <c r="G19" s="2"/>
    </row>
    <row r="20" spans="7:7" x14ac:dyDescent="0.3">
      <c r="G20" s="2"/>
    </row>
    <row r="21" spans="7:7" x14ac:dyDescent="0.3">
      <c r="G21" s="2"/>
    </row>
    <row r="22" spans="7:7" x14ac:dyDescent="0.3">
      <c r="G22" s="2"/>
    </row>
    <row r="23" spans="7:7" x14ac:dyDescent="0.3">
      <c r="G23" s="2"/>
    </row>
    <row r="26" spans="7:7" x14ac:dyDescent="0.3">
      <c r="G26" s="2"/>
    </row>
    <row r="27" spans="7:7" x14ac:dyDescent="0.3">
      <c r="G27" s="2"/>
    </row>
    <row r="28" spans="7:7" x14ac:dyDescent="0.3">
      <c r="G28" s="2"/>
    </row>
    <row r="29" spans="7:7" x14ac:dyDescent="0.3">
      <c r="G29" s="2"/>
    </row>
    <row r="30" spans="7:7" x14ac:dyDescent="0.3">
      <c r="G30" s="2"/>
    </row>
    <row r="31" spans="7:7" x14ac:dyDescent="0.3">
      <c r="G31" s="2"/>
    </row>
    <row r="32" spans="7:7" x14ac:dyDescent="0.3">
      <c r="G32" s="2"/>
    </row>
    <row r="33" spans="7:7" x14ac:dyDescent="0.3">
      <c r="G33" s="2"/>
    </row>
    <row r="34" spans="7:7" x14ac:dyDescent="0.3">
      <c r="G34" s="2"/>
    </row>
    <row r="35" spans="7:7" x14ac:dyDescent="0.3">
      <c r="G35" s="2"/>
    </row>
    <row r="36" spans="7:7" x14ac:dyDescent="0.3">
      <c r="G36" s="2"/>
    </row>
    <row r="37" spans="7:7" x14ac:dyDescent="0.3">
      <c r="G37" s="2"/>
    </row>
    <row r="38" spans="7:7" x14ac:dyDescent="0.3">
      <c r="G38" s="2"/>
    </row>
    <row r="39" spans="7:7" x14ac:dyDescent="0.3">
      <c r="G39" s="2"/>
    </row>
    <row r="40" spans="7:7" x14ac:dyDescent="0.3">
      <c r="G40" s="2"/>
    </row>
    <row r="41" spans="7:7" x14ac:dyDescent="0.3">
      <c r="G41" s="2"/>
    </row>
    <row r="42" spans="7:7" x14ac:dyDescent="0.3">
      <c r="G42" s="2"/>
    </row>
    <row r="43" spans="7:7" x14ac:dyDescent="0.3">
      <c r="G43" s="2"/>
    </row>
    <row r="44" spans="7:7" x14ac:dyDescent="0.3">
      <c r="G44" s="2"/>
    </row>
    <row r="45" spans="7:7" x14ac:dyDescent="0.3">
      <c r="G45" s="2"/>
    </row>
    <row r="46" spans="7:7" x14ac:dyDescent="0.3">
      <c r="G46" s="2"/>
    </row>
    <row r="47" spans="7:7" x14ac:dyDescent="0.3">
      <c r="G47" s="2"/>
    </row>
    <row r="48" spans="7:7" x14ac:dyDescent="0.3">
      <c r="G48" s="2"/>
    </row>
    <row r="49" spans="7:7" x14ac:dyDescent="0.3">
      <c r="G49" s="2"/>
    </row>
    <row r="50" spans="7:7" x14ac:dyDescent="0.3">
      <c r="G50" s="2"/>
    </row>
    <row r="51" spans="7:7" x14ac:dyDescent="0.3">
      <c r="G51" s="2"/>
    </row>
    <row r="52" spans="7:7" x14ac:dyDescent="0.3">
      <c r="G52" s="2"/>
    </row>
    <row r="53" spans="7:7" x14ac:dyDescent="0.3">
      <c r="G53" s="2"/>
    </row>
    <row r="54" spans="7:7" x14ac:dyDescent="0.3">
      <c r="G54" s="2"/>
    </row>
    <row r="55" spans="7:7" x14ac:dyDescent="0.3">
      <c r="G55" s="2"/>
    </row>
    <row r="56" spans="7:7" x14ac:dyDescent="0.3">
      <c r="G56" s="2"/>
    </row>
    <row r="57" spans="7:7" x14ac:dyDescent="0.3">
      <c r="G57" s="2"/>
    </row>
    <row r="58" spans="7:7" x14ac:dyDescent="0.3">
      <c r="G58" s="2"/>
    </row>
    <row r="59" spans="7:7" x14ac:dyDescent="0.3">
      <c r="G59" s="2"/>
    </row>
    <row r="60" spans="7:7" x14ac:dyDescent="0.3">
      <c r="G60" s="2"/>
    </row>
    <row r="61" spans="7:7" x14ac:dyDescent="0.3">
      <c r="G61" s="2"/>
    </row>
    <row r="62" spans="7:7" x14ac:dyDescent="0.3">
      <c r="G62" s="2"/>
    </row>
    <row r="63" spans="7:7" x14ac:dyDescent="0.3">
      <c r="G63" s="2"/>
    </row>
    <row r="64" spans="7:7" x14ac:dyDescent="0.3">
      <c r="G64" s="2"/>
    </row>
    <row r="65" spans="7:7" x14ac:dyDescent="0.3">
      <c r="G65" s="2"/>
    </row>
    <row r="66" spans="7:7" x14ac:dyDescent="0.3">
      <c r="G66" s="2"/>
    </row>
    <row r="67" spans="7:7" x14ac:dyDescent="0.3">
      <c r="G67" s="2"/>
    </row>
    <row r="68" spans="7:7" x14ac:dyDescent="0.3">
      <c r="G68" s="2"/>
    </row>
    <row r="69" spans="7:7" x14ac:dyDescent="0.3">
      <c r="G69" s="2"/>
    </row>
    <row r="70" spans="7:7" x14ac:dyDescent="0.3">
      <c r="G70" s="2"/>
    </row>
    <row r="71" spans="7:7" x14ac:dyDescent="0.3">
      <c r="G71" s="2"/>
    </row>
    <row r="72" spans="7:7" x14ac:dyDescent="0.3">
      <c r="G72" s="2"/>
    </row>
    <row r="73" spans="7:7" x14ac:dyDescent="0.3">
      <c r="G73" s="2"/>
    </row>
    <row r="74" spans="7:7" x14ac:dyDescent="0.3">
      <c r="G74" s="2"/>
    </row>
    <row r="75" spans="7:7" x14ac:dyDescent="0.3">
      <c r="G75" s="2"/>
    </row>
    <row r="76" spans="7:7" x14ac:dyDescent="0.3">
      <c r="G76" s="2"/>
    </row>
    <row r="77" spans="7:7" x14ac:dyDescent="0.3">
      <c r="G77" s="2"/>
    </row>
    <row r="78" spans="7:7" x14ac:dyDescent="0.3">
      <c r="G78" s="2"/>
    </row>
    <row r="79" spans="7:7" x14ac:dyDescent="0.3">
      <c r="G79" s="2"/>
    </row>
    <row r="80" spans="7:7" x14ac:dyDescent="0.3">
      <c r="G80" s="2"/>
    </row>
    <row r="81" spans="7:7" x14ac:dyDescent="0.3">
      <c r="G81" s="2"/>
    </row>
    <row r="82" spans="7:7" x14ac:dyDescent="0.3">
      <c r="G82" s="2"/>
    </row>
    <row r="83" spans="7:7" x14ac:dyDescent="0.3">
      <c r="G83" s="2"/>
    </row>
    <row r="84" spans="7:7" x14ac:dyDescent="0.3">
      <c r="G84" s="2"/>
    </row>
    <row r="85" spans="7:7" x14ac:dyDescent="0.3">
      <c r="G85" s="2"/>
    </row>
    <row r="86" spans="7:7" x14ac:dyDescent="0.3">
      <c r="G86" s="2"/>
    </row>
    <row r="87" spans="7:7" x14ac:dyDescent="0.3">
      <c r="G87" s="2"/>
    </row>
    <row r="88" spans="7:7" x14ac:dyDescent="0.3">
      <c r="G88" s="2"/>
    </row>
    <row r="89" spans="7:7" x14ac:dyDescent="0.3">
      <c r="G89" s="2"/>
    </row>
    <row r="90" spans="7:7" x14ac:dyDescent="0.3">
      <c r="G90" s="2"/>
    </row>
    <row r="91" spans="7:7" x14ac:dyDescent="0.3">
      <c r="G91" s="2"/>
    </row>
    <row r="92" spans="7:7" x14ac:dyDescent="0.3">
      <c r="G92" s="2"/>
    </row>
    <row r="93" spans="7:7" x14ac:dyDescent="0.3">
      <c r="G93" s="2"/>
    </row>
    <row r="94" spans="7:7" x14ac:dyDescent="0.3">
      <c r="G94" s="2"/>
    </row>
    <row r="95" spans="7:7" x14ac:dyDescent="0.3">
      <c r="G95" s="2"/>
    </row>
    <row r="96" spans="7:7" x14ac:dyDescent="0.3">
      <c r="G96" s="2"/>
    </row>
    <row r="97" spans="7:7" x14ac:dyDescent="0.3">
      <c r="G97" s="2"/>
    </row>
    <row r="98" spans="7:7" x14ac:dyDescent="0.3">
      <c r="G98" s="2"/>
    </row>
    <row r="99" spans="7:7" x14ac:dyDescent="0.3">
      <c r="G99" s="2"/>
    </row>
    <row r="100" spans="7:7" x14ac:dyDescent="0.3">
      <c r="G100" s="2"/>
    </row>
    <row r="101" spans="7:7" x14ac:dyDescent="0.3">
      <c r="G101" s="2"/>
    </row>
    <row r="102" spans="7:7" x14ac:dyDescent="0.3">
      <c r="G102" s="2"/>
    </row>
    <row r="103" spans="7:7" x14ac:dyDescent="0.3">
      <c r="G103" s="2"/>
    </row>
    <row r="104" spans="7:7" x14ac:dyDescent="0.3">
      <c r="G104" s="2"/>
    </row>
    <row r="105" spans="7:7" x14ac:dyDescent="0.3">
      <c r="G105" s="2"/>
    </row>
    <row r="106" spans="7:7" x14ac:dyDescent="0.3">
      <c r="G106" s="2"/>
    </row>
    <row r="107" spans="7:7" x14ac:dyDescent="0.3">
      <c r="G107" s="2"/>
    </row>
    <row r="108" spans="7:7" x14ac:dyDescent="0.3">
      <c r="G108" s="2"/>
    </row>
    <row r="109" spans="7:7" x14ac:dyDescent="0.3">
      <c r="G109" s="2"/>
    </row>
    <row r="110" spans="7:7" x14ac:dyDescent="0.3">
      <c r="G110" s="2"/>
    </row>
    <row r="111" spans="7:7" x14ac:dyDescent="0.3">
      <c r="G111" s="2"/>
    </row>
    <row r="112" spans="7:7" x14ac:dyDescent="0.3">
      <c r="G112" s="2"/>
    </row>
    <row r="113" spans="7:7" x14ac:dyDescent="0.3">
      <c r="G113" s="2"/>
    </row>
    <row r="114" spans="7:7" x14ac:dyDescent="0.3">
      <c r="G114" s="2"/>
    </row>
    <row r="115" spans="7:7" x14ac:dyDescent="0.3">
      <c r="G115" s="2"/>
    </row>
    <row r="116" spans="7:7" x14ac:dyDescent="0.3">
      <c r="G116" s="2"/>
    </row>
    <row r="117" spans="7:7" x14ac:dyDescent="0.3">
      <c r="G117" s="2"/>
    </row>
    <row r="118" spans="7:7" x14ac:dyDescent="0.3">
      <c r="G118" s="2"/>
    </row>
    <row r="119" spans="7:7" x14ac:dyDescent="0.3">
      <c r="G119" s="2"/>
    </row>
    <row r="120" spans="7:7" x14ac:dyDescent="0.3">
      <c r="G120" s="2"/>
    </row>
    <row r="121" spans="7:7" x14ac:dyDescent="0.3">
      <c r="G121" s="2"/>
    </row>
    <row r="122" spans="7:7" x14ac:dyDescent="0.3">
      <c r="G122" s="2"/>
    </row>
    <row r="123" spans="7:7" x14ac:dyDescent="0.3">
      <c r="G123" s="2"/>
    </row>
    <row r="124" spans="7:7" x14ac:dyDescent="0.3">
      <c r="G124" s="2"/>
    </row>
    <row r="125" spans="7:7" x14ac:dyDescent="0.3">
      <c r="G125" s="2"/>
    </row>
    <row r="126" spans="7:7" x14ac:dyDescent="0.3">
      <c r="G126" s="2"/>
    </row>
    <row r="127" spans="7:7" x14ac:dyDescent="0.3">
      <c r="G127" s="2"/>
    </row>
    <row r="128" spans="7:7" x14ac:dyDescent="0.3">
      <c r="G128" s="2"/>
    </row>
    <row r="129" spans="7:7" x14ac:dyDescent="0.3">
      <c r="G129" s="2"/>
    </row>
    <row r="130" spans="7:7" x14ac:dyDescent="0.3">
      <c r="G130" s="2"/>
    </row>
    <row r="131" spans="7:7" x14ac:dyDescent="0.3">
      <c r="G131" s="2"/>
    </row>
    <row r="132" spans="7:7" x14ac:dyDescent="0.3">
      <c r="G132" s="2"/>
    </row>
    <row r="133" spans="7:7" x14ac:dyDescent="0.3">
      <c r="G133" s="2"/>
    </row>
    <row r="134" spans="7:7" x14ac:dyDescent="0.3">
      <c r="G134" s="2"/>
    </row>
    <row r="135" spans="7:7" x14ac:dyDescent="0.3">
      <c r="G135" s="2"/>
    </row>
    <row r="136" spans="7:7" x14ac:dyDescent="0.3">
      <c r="G136" s="2"/>
    </row>
    <row r="137" spans="7:7" x14ac:dyDescent="0.3">
      <c r="G137" s="2"/>
    </row>
    <row r="138" spans="7:7" x14ac:dyDescent="0.3">
      <c r="G138" s="2"/>
    </row>
    <row r="139" spans="7:7" x14ac:dyDescent="0.3">
      <c r="G139" s="2"/>
    </row>
    <row r="140" spans="7:7" x14ac:dyDescent="0.3">
      <c r="G140" s="2"/>
    </row>
    <row r="141" spans="7:7" x14ac:dyDescent="0.3">
      <c r="G141" s="2"/>
    </row>
    <row r="142" spans="7:7" x14ac:dyDescent="0.3">
      <c r="G142" s="2"/>
    </row>
    <row r="143" spans="7:7" x14ac:dyDescent="0.3">
      <c r="G143" s="2"/>
    </row>
    <row r="144" spans="7:7" x14ac:dyDescent="0.3">
      <c r="G144" s="2"/>
    </row>
    <row r="145" spans="7:7" x14ac:dyDescent="0.3">
      <c r="G145" s="2"/>
    </row>
    <row r="146" spans="7:7" x14ac:dyDescent="0.3">
      <c r="G146" s="2"/>
    </row>
    <row r="147" spans="7:7" x14ac:dyDescent="0.3">
      <c r="G147" s="2"/>
    </row>
    <row r="148" spans="7:7" x14ac:dyDescent="0.3">
      <c r="G148" s="2"/>
    </row>
    <row r="149" spans="7:7" x14ac:dyDescent="0.3">
      <c r="G149" s="2"/>
    </row>
    <row r="150" spans="7:7" x14ac:dyDescent="0.3">
      <c r="G150" s="2"/>
    </row>
    <row r="151" spans="7:7" x14ac:dyDescent="0.3">
      <c r="G151" s="2"/>
    </row>
    <row r="152" spans="7:7" x14ac:dyDescent="0.3">
      <c r="G152" s="2"/>
    </row>
    <row r="153" spans="7:7" x14ac:dyDescent="0.3">
      <c r="G153" s="2"/>
    </row>
    <row r="154" spans="7:7" x14ac:dyDescent="0.3">
      <c r="G154" s="2"/>
    </row>
    <row r="155" spans="7:7" x14ac:dyDescent="0.3">
      <c r="G155" s="2"/>
    </row>
    <row r="156" spans="7:7" x14ac:dyDescent="0.3">
      <c r="G156" s="2"/>
    </row>
    <row r="157" spans="7:7" x14ac:dyDescent="0.3">
      <c r="G157" s="2"/>
    </row>
    <row r="158" spans="7:7" x14ac:dyDescent="0.3">
      <c r="G158" s="2"/>
    </row>
    <row r="159" spans="7:7" x14ac:dyDescent="0.3">
      <c r="G159" s="2"/>
    </row>
    <row r="160" spans="7:7" x14ac:dyDescent="0.3">
      <c r="G160" s="2"/>
    </row>
    <row r="161" spans="7:7" x14ac:dyDescent="0.3">
      <c r="G161" s="2"/>
    </row>
    <row r="162" spans="7:7" x14ac:dyDescent="0.3">
      <c r="G162" s="2"/>
    </row>
    <row r="163" spans="7:7" x14ac:dyDescent="0.3">
      <c r="G163" s="2"/>
    </row>
    <row r="164" spans="7:7" x14ac:dyDescent="0.3">
      <c r="G164" s="2"/>
    </row>
    <row r="165" spans="7:7" x14ac:dyDescent="0.3">
      <c r="G165" s="2"/>
    </row>
    <row r="166" spans="7:7" x14ac:dyDescent="0.3">
      <c r="G166" s="2"/>
    </row>
    <row r="167" spans="7:7" x14ac:dyDescent="0.3">
      <c r="G167" s="2"/>
    </row>
    <row r="168" spans="7:7" x14ac:dyDescent="0.3">
      <c r="G168" s="2"/>
    </row>
    <row r="169" spans="7:7" x14ac:dyDescent="0.3">
      <c r="G169" s="2"/>
    </row>
    <row r="170" spans="7:7" x14ac:dyDescent="0.3">
      <c r="G170" s="2"/>
    </row>
    <row r="171" spans="7:7" x14ac:dyDescent="0.3">
      <c r="G171" s="2"/>
    </row>
    <row r="172" spans="7:7" x14ac:dyDescent="0.3">
      <c r="G172" s="2"/>
    </row>
    <row r="173" spans="7:7" x14ac:dyDescent="0.3">
      <c r="G173" s="2"/>
    </row>
    <row r="174" spans="7:7" x14ac:dyDescent="0.3">
      <c r="G174" s="2"/>
    </row>
    <row r="175" spans="7:7" x14ac:dyDescent="0.3">
      <c r="G175" s="2"/>
    </row>
    <row r="176" spans="7:7" x14ac:dyDescent="0.3">
      <c r="G176" s="2"/>
    </row>
    <row r="177" spans="7:7" x14ac:dyDescent="0.3">
      <c r="G177" s="2"/>
    </row>
    <row r="178" spans="7:7" x14ac:dyDescent="0.3">
      <c r="G178" s="2"/>
    </row>
    <row r="179" spans="7:7" x14ac:dyDescent="0.3">
      <c r="G179" s="2"/>
    </row>
    <row r="180" spans="7:7" x14ac:dyDescent="0.3">
      <c r="G180" s="2"/>
    </row>
    <row r="181" spans="7:7" x14ac:dyDescent="0.3">
      <c r="G181" s="2"/>
    </row>
    <row r="182" spans="7:7" x14ac:dyDescent="0.3">
      <c r="G182" s="2"/>
    </row>
    <row r="183" spans="7:7" x14ac:dyDescent="0.3">
      <c r="G183" s="2"/>
    </row>
    <row r="184" spans="7:7" x14ac:dyDescent="0.3">
      <c r="G184" s="2"/>
    </row>
    <row r="185" spans="7:7" x14ac:dyDescent="0.3">
      <c r="G185" s="2"/>
    </row>
    <row r="186" spans="7:7" x14ac:dyDescent="0.3">
      <c r="G186" s="2"/>
    </row>
    <row r="187" spans="7:7" x14ac:dyDescent="0.3">
      <c r="G187" s="2"/>
    </row>
    <row r="188" spans="7:7" x14ac:dyDescent="0.3">
      <c r="G188" s="2"/>
    </row>
    <row r="189" spans="7:7" x14ac:dyDescent="0.3">
      <c r="G189" s="2"/>
    </row>
    <row r="190" spans="7:7" x14ac:dyDescent="0.3">
      <c r="G190" s="2"/>
    </row>
    <row r="191" spans="7:7" x14ac:dyDescent="0.3">
      <c r="G191" s="2"/>
    </row>
    <row r="192" spans="7:7" x14ac:dyDescent="0.3">
      <c r="G192" s="2"/>
    </row>
    <row r="193" spans="7:7" x14ac:dyDescent="0.3">
      <c r="G193" s="2"/>
    </row>
    <row r="194" spans="7:7" x14ac:dyDescent="0.3">
      <c r="G194" s="2"/>
    </row>
    <row r="195" spans="7:7" x14ac:dyDescent="0.3">
      <c r="G195" s="2"/>
    </row>
    <row r="196" spans="7:7" x14ac:dyDescent="0.3">
      <c r="G196" s="2"/>
    </row>
    <row r="197" spans="7:7" x14ac:dyDescent="0.3">
      <c r="G197" s="2"/>
    </row>
    <row r="198" spans="7:7" x14ac:dyDescent="0.3">
      <c r="G198" s="2"/>
    </row>
    <row r="199" spans="7:7" x14ac:dyDescent="0.3">
      <c r="G199" s="2"/>
    </row>
    <row r="200" spans="7:7" x14ac:dyDescent="0.3">
      <c r="G200" s="2"/>
    </row>
    <row r="201" spans="7:7" x14ac:dyDescent="0.3">
      <c r="G201" s="2"/>
    </row>
    <row r="202" spans="7:7" x14ac:dyDescent="0.3">
      <c r="G202" s="2"/>
    </row>
    <row r="203" spans="7:7" x14ac:dyDescent="0.3">
      <c r="G203" s="2"/>
    </row>
    <row r="204" spans="7:7" x14ac:dyDescent="0.3">
      <c r="G204" s="2"/>
    </row>
    <row r="205" spans="7:7" x14ac:dyDescent="0.3">
      <c r="G205" s="2"/>
    </row>
    <row r="206" spans="7:7" x14ac:dyDescent="0.3">
      <c r="G206" s="2"/>
    </row>
    <row r="207" spans="7:7" x14ac:dyDescent="0.3">
      <c r="G207" s="2"/>
    </row>
    <row r="208" spans="7:7" x14ac:dyDescent="0.3">
      <c r="G208" s="2"/>
    </row>
    <row r="209" spans="7:7" x14ac:dyDescent="0.3">
      <c r="G209" s="2"/>
    </row>
    <row r="210" spans="7:7" x14ac:dyDescent="0.3">
      <c r="G210" s="2"/>
    </row>
    <row r="211" spans="7:7" x14ac:dyDescent="0.3">
      <c r="G211" s="2"/>
    </row>
    <row r="212" spans="7:7" x14ac:dyDescent="0.3">
      <c r="G212" s="2"/>
    </row>
    <row r="213" spans="7:7" x14ac:dyDescent="0.3">
      <c r="G213" s="2"/>
    </row>
    <row r="214" spans="7:7" x14ac:dyDescent="0.3">
      <c r="G214" s="2"/>
    </row>
    <row r="215" spans="7:7" x14ac:dyDescent="0.3">
      <c r="G215" s="2"/>
    </row>
    <row r="216" spans="7:7" x14ac:dyDescent="0.3">
      <c r="G216" s="2"/>
    </row>
    <row r="217" spans="7:7" x14ac:dyDescent="0.3">
      <c r="G217" s="2"/>
    </row>
    <row r="218" spans="7:7" x14ac:dyDescent="0.3">
      <c r="G218" s="2"/>
    </row>
    <row r="219" spans="7:7" x14ac:dyDescent="0.3">
      <c r="G219" s="2"/>
    </row>
    <row r="220" spans="7:7" x14ac:dyDescent="0.3">
      <c r="G220" s="2"/>
    </row>
    <row r="221" spans="7:7" x14ac:dyDescent="0.3">
      <c r="G221" s="2"/>
    </row>
    <row r="222" spans="7:7" x14ac:dyDescent="0.3">
      <c r="G222" s="2"/>
    </row>
    <row r="223" spans="7:7" x14ac:dyDescent="0.3">
      <c r="G223" s="2"/>
    </row>
    <row r="224" spans="7:7" x14ac:dyDescent="0.3">
      <c r="G224" s="2"/>
    </row>
    <row r="225" spans="7:7" x14ac:dyDescent="0.3">
      <c r="G225" s="2"/>
    </row>
    <row r="226" spans="7:7" x14ac:dyDescent="0.3">
      <c r="G226" s="2"/>
    </row>
    <row r="227" spans="7:7" x14ac:dyDescent="0.3">
      <c r="G227" s="2"/>
    </row>
    <row r="228" spans="7:7" x14ac:dyDescent="0.3">
      <c r="G228" s="2"/>
    </row>
    <row r="229" spans="7:7" x14ac:dyDescent="0.3">
      <c r="G229" s="2"/>
    </row>
    <row r="230" spans="7:7" x14ac:dyDescent="0.3">
      <c r="G230" s="2"/>
    </row>
    <row r="231" spans="7:7" x14ac:dyDescent="0.3">
      <c r="G231" s="2"/>
    </row>
    <row r="232" spans="7:7" x14ac:dyDescent="0.3">
      <c r="G232" s="2"/>
    </row>
    <row r="233" spans="7:7" x14ac:dyDescent="0.3">
      <c r="G233" s="2"/>
    </row>
    <row r="234" spans="7:7" x14ac:dyDescent="0.3">
      <c r="G234" s="2"/>
    </row>
    <row r="235" spans="7:7" x14ac:dyDescent="0.3">
      <c r="G235" s="2"/>
    </row>
    <row r="236" spans="7:7" x14ac:dyDescent="0.3">
      <c r="G236" s="2"/>
    </row>
    <row r="237" spans="7:7" x14ac:dyDescent="0.3">
      <c r="G237" s="2"/>
    </row>
    <row r="238" spans="7:7" x14ac:dyDescent="0.3">
      <c r="G238" s="2"/>
    </row>
    <row r="239" spans="7:7" x14ac:dyDescent="0.3">
      <c r="G239" s="2"/>
    </row>
    <row r="240" spans="7:7" x14ac:dyDescent="0.3">
      <c r="G240" s="2"/>
    </row>
    <row r="241" spans="7:7" x14ac:dyDescent="0.3">
      <c r="G241" s="2"/>
    </row>
    <row r="242" spans="7:7" x14ac:dyDescent="0.3">
      <c r="G242" s="2"/>
    </row>
    <row r="243" spans="7:7" x14ac:dyDescent="0.3">
      <c r="G243" s="2"/>
    </row>
    <row r="244" spans="7:7" x14ac:dyDescent="0.3">
      <c r="G244" s="2"/>
    </row>
    <row r="245" spans="7:7" x14ac:dyDescent="0.3">
      <c r="G245" s="2"/>
    </row>
    <row r="246" spans="7:7" x14ac:dyDescent="0.3">
      <c r="G246" s="2"/>
    </row>
    <row r="247" spans="7:7" x14ac:dyDescent="0.3">
      <c r="G247" s="2"/>
    </row>
    <row r="248" spans="7:7" x14ac:dyDescent="0.3">
      <c r="G248" s="2"/>
    </row>
    <row r="249" spans="7:7" x14ac:dyDescent="0.3">
      <c r="G249" s="2"/>
    </row>
    <row r="250" spans="7:7" x14ac:dyDescent="0.3">
      <c r="G250" s="2"/>
    </row>
    <row r="251" spans="7:7" x14ac:dyDescent="0.3">
      <c r="G251" s="2"/>
    </row>
    <row r="252" spans="7:7" x14ac:dyDescent="0.3">
      <c r="G252" s="2"/>
    </row>
    <row r="253" spans="7:7" x14ac:dyDescent="0.3">
      <c r="G253" s="2"/>
    </row>
    <row r="254" spans="7:7" x14ac:dyDescent="0.3">
      <c r="G254" s="2"/>
    </row>
    <row r="255" spans="7:7" x14ac:dyDescent="0.3">
      <c r="G255" s="2"/>
    </row>
    <row r="256" spans="7:7" x14ac:dyDescent="0.3">
      <c r="G256" s="2"/>
    </row>
    <row r="257" spans="7:7" x14ac:dyDescent="0.3">
      <c r="G257" s="2"/>
    </row>
    <row r="258" spans="7:7" x14ac:dyDescent="0.3">
      <c r="G258" s="2"/>
    </row>
    <row r="259" spans="7:7" x14ac:dyDescent="0.3">
      <c r="G259" s="2"/>
    </row>
    <row r="260" spans="7:7" x14ac:dyDescent="0.3">
      <c r="G260" s="2"/>
    </row>
    <row r="261" spans="7:7" x14ac:dyDescent="0.3">
      <c r="G261" s="2"/>
    </row>
    <row r="262" spans="7:7" x14ac:dyDescent="0.3">
      <c r="G262" s="2"/>
    </row>
    <row r="263" spans="7:7" x14ac:dyDescent="0.3">
      <c r="G263" s="2"/>
    </row>
    <row r="264" spans="7:7" x14ac:dyDescent="0.3">
      <c r="G264" s="2"/>
    </row>
    <row r="265" spans="7:7" x14ac:dyDescent="0.3">
      <c r="G265" s="2"/>
    </row>
    <row r="266" spans="7:7" x14ac:dyDescent="0.3">
      <c r="G266" s="2"/>
    </row>
    <row r="267" spans="7:7" x14ac:dyDescent="0.3">
      <c r="G267" s="2"/>
    </row>
    <row r="268" spans="7:7" x14ac:dyDescent="0.3">
      <c r="G268" s="2"/>
    </row>
    <row r="269" spans="7:7" x14ac:dyDescent="0.3">
      <c r="G269" s="2"/>
    </row>
    <row r="270" spans="7:7" x14ac:dyDescent="0.3">
      <c r="G270" s="2"/>
    </row>
    <row r="271" spans="7:7" x14ac:dyDescent="0.3">
      <c r="G271" s="2"/>
    </row>
    <row r="272" spans="7:7" x14ac:dyDescent="0.3">
      <c r="G272" s="2"/>
    </row>
    <row r="273" spans="7:7" x14ac:dyDescent="0.3">
      <c r="G273" s="2"/>
    </row>
    <row r="274" spans="7:7" x14ac:dyDescent="0.3">
      <c r="G274" s="2"/>
    </row>
    <row r="275" spans="7:7" x14ac:dyDescent="0.3">
      <c r="G275" s="2"/>
    </row>
    <row r="276" spans="7:7" x14ac:dyDescent="0.3">
      <c r="G276" s="2"/>
    </row>
    <row r="277" spans="7:7" x14ac:dyDescent="0.3">
      <c r="G277" s="2"/>
    </row>
    <row r="278" spans="7:7" x14ac:dyDescent="0.3">
      <c r="G278" s="2"/>
    </row>
    <row r="279" spans="7:7" x14ac:dyDescent="0.3">
      <c r="G279" s="2"/>
    </row>
    <row r="280" spans="7:7" x14ac:dyDescent="0.3">
      <c r="G280" s="2"/>
    </row>
    <row r="281" spans="7:7" x14ac:dyDescent="0.3">
      <c r="G281" s="2"/>
    </row>
    <row r="282" spans="7:7" x14ac:dyDescent="0.3">
      <c r="G282" s="2"/>
    </row>
    <row r="283" spans="7:7" x14ac:dyDescent="0.3">
      <c r="G283" s="2"/>
    </row>
    <row r="284" spans="7:7" x14ac:dyDescent="0.3">
      <c r="G284" s="2"/>
    </row>
    <row r="285" spans="7:7" x14ac:dyDescent="0.3">
      <c r="G285" s="2"/>
    </row>
    <row r="286" spans="7:7" x14ac:dyDescent="0.3">
      <c r="G286" s="2"/>
    </row>
    <row r="287" spans="7:7" x14ac:dyDescent="0.3">
      <c r="G287" s="2"/>
    </row>
    <row r="288" spans="7:7" x14ac:dyDescent="0.3">
      <c r="G288" s="2"/>
    </row>
    <row r="289" spans="7:7" x14ac:dyDescent="0.3">
      <c r="G289" s="2"/>
    </row>
    <row r="290" spans="7:7" x14ac:dyDescent="0.3">
      <c r="G290" s="2"/>
    </row>
    <row r="291" spans="7:7" x14ac:dyDescent="0.3">
      <c r="G291" s="2"/>
    </row>
    <row r="292" spans="7:7" x14ac:dyDescent="0.3">
      <c r="G292" s="2"/>
    </row>
    <row r="293" spans="7:7" x14ac:dyDescent="0.3">
      <c r="G293" s="2"/>
    </row>
    <row r="294" spans="7:7" x14ac:dyDescent="0.3">
      <c r="G294" s="2"/>
    </row>
    <row r="295" spans="7:7" x14ac:dyDescent="0.3">
      <c r="G295" s="2"/>
    </row>
    <row r="296" spans="7:7" x14ac:dyDescent="0.3">
      <c r="G296" s="2"/>
    </row>
    <row r="297" spans="7:7" x14ac:dyDescent="0.3">
      <c r="G297" s="2"/>
    </row>
    <row r="298" spans="7:7" x14ac:dyDescent="0.3">
      <c r="G298" s="2"/>
    </row>
    <row r="299" spans="7:7" x14ac:dyDescent="0.3">
      <c r="G299" s="2"/>
    </row>
    <row r="300" spans="7:7" x14ac:dyDescent="0.3">
      <c r="G300" s="2"/>
    </row>
    <row r="301" spans="7:7" x14ac:dyDescent="0.3">
      <c r="G301" s="2"/>
    </row>
    <row r="302" spans="7:7" x14ac:dyDescent="0.3">
      <c r="G302" s="2"/>
    </row>
    <row r="303" spans="7:7" x14ac:dyDescent="0.3">
      <c r="G303" s="2"/>
    </row>
    <row r="304" spans="7:7" x14ac:dyDescent="0.3">
      <c r="G304" s="2"/>
    </row>
    <row r="305" spans="7:7" x14ac:dyDescent="0.3">
      <c r="G305" s="2"/>
    </row>
    <row r="306" spans="7:7" x14ac:dyDescent="0.3">
      <c r="G306" s="2"/>
    </row>
    <row r="307" spans="7:7" x14ac:dyDescent="0.3">
      <c r="G307" s="2"/>
    </row>
    <row r="308" spans="7:7" x14ac:dyDescent="0.3">
      <c r="G308" s="2"/>
    </row>
    <row r="309" spans="7:7" x14ac:dyDescent="0.3">
      <c r="G309" s="2"/>
    </row>
    <row r="310" spans="7:7" x14ac:dyDescent="0.3">
      <c r="G310" s="2"/>
    </row>
    <row r="311" spans="7:7" x14ac:dyDescent="0.3">
      <c r="G311" s="2"/>
    </row>
    <row r="312" spans="7:7" x14ac:dyDescent="0.3">
      <c r="G312" s="2"/>
    </row>
    <row r="313" spans="7:7" x14ac:dyDescent="0.3">
      <c r="G313" s="2"/>
    </row>
    <row r="314" spans="7:7" x14ac:dyDescent="0.3">
      <c r="G314" s="2"/>
    </row>
    <row r="315" spans="7:7" x14ac:dyDescent="0.3">
      <c r="G315" s="2"/>
    </row>
    <row r="316" spans="7:7" x14ac:dyDescent="0.3">
      <c r="G316" s="2"/>
    </row>
    <row r="317" spans="7:7" x14ac:dyDescent="0.3">
      <c r="G317" s="2"/>
    </row>
    <row r="318" spans="7:7" x14ac:dyDescent="0.3">
      <c r="G318" s="2"/>
    </row>
    <row r="319" spans="7:7" x14ac:dyDescent="0.3">
      <c r="G319" s="2"/>
    </row>
    <row r="320" spans="7:7" x14ac:dyDescent="0.3">
      <c r="G320" s="2"/>
    </row>
    <row r="321" spans="7:7" x14ac:dyDescent="0.3">
      <c r="G321" s="2"/>
    </row>
    <row r="322" spans="7:7" x14ac:dyDescent="0.3">
      <c r="G322" s="2"/>
    </row>
    <row r="323" spans="7:7" x14ac:dyDescent="0.3">
      <c r="G323" s="2"/>
    </row>
    <row r="324" spans="7:7" x14ac:dyDescent="0.3">
      <c r="G324" s="2"/>
    </row>
    <row r="325" spans="7:7" x14ac:dyDescent="0.3">
      <c r="G325" s="2"/>
    </row>
    <row r="326" spans="7:7" x14ac:dyDescent="0.3">
      <c r="G326" s="2"/>
    </row>
    <row r="327" spans="7:7" x14ac:dyDescent="0.3">
      <c r="G327" s="2"/>
    </row>
    <row r="328" spans="7:7" x14ac:dyDescent="0.3">
      <c r="G328" s="2"/>
    </row>
    <row r="329" spans="7:7" x14ac:dyDescent="0.3">
      <c r="G329" s="2"/>
    </row>
    <row r="330" spans="7:7" x14ac:dyDescent="0.3">
      <c r="G330" s="2"/>
    </row>
    <row r="331" spans="7:7" x14ac:dyDescent="0.3">
      <c r="G331" s="2"/>
    </row>
    <row r="332" spans="7:7" x14ac:dyDescent="0.3">
      <c r="G332" s="2"/>
    </row>
    <row r="333" spans="7:7" x14ac:dyDescent="0.3">
      <c r="G333" s="2"/>
    </row>
    <row r="334" spans="7:7" x14ac:dyDescent="0.3">
      <c r="G334" s="2"/>
    </row>
    <row r="335" spans="7:7" x14ac:dyDescent="0.3">
      <c r="G335" s="2"/>
    </row>
    <row r="336" spans="7:7" x14ac:dyDescent="0.3">
      <c r="G336" s="2"/>
    </row>
    <row r="337" spans="7:7" x14ac:dyDescent="0.3">
      <c r="G337" s="2"/>
    </row>
    <row r="338" spans="7:7" x14ac:dyDescent="0.3">
      <c r="G338" s="2"/>
    </row>
    <row r="339" spans="7:7" x14ac:dyDescent="0.3">
      <c r="G339" s="2"/>
    </row>
    <row r="340" spans="7:7" x14ac:dyDescent="0.3">
      <c r="G340" s="2"/>
    </row>
    <row r="341" spans="7:7" x14ac:dyDescent="0.3">
      <c r="G341" s="2"/>
    </row>
    <row r="342" spans="7:7" x14ac:dyDescent="0.3">
      <c r="G342" s="2"/>
    </row>
    <row r="343" spans="7:7" x14ac:dyDescent="0.3">
      <c r="G343" s="2"/>
    </row>
    <row r="344" spans="7:7" x14ac:dyDescent="0.3">
      <c r="G344" s="2"/>
    </row>
    <row r="345" spans="7:7" x14ac:dyDescent="0.3">
      <c r="G345" s="2"/>
    </row>
    <row r="346" spans="7:7" x14ac:dyDescent="0.3">
      <c r="G346" s="2"/>
    </row>
    <row r="347" spans="7:7" x14ac:dyDescent="0.3">
      <c r="G347" s="2"/>
    </row>
    <row r="348" spans="7:7" x14ac:dyDescent="0.3">
      <c r="G348" s="2"/>
    </row>
    <row r="349" spans="7:7" x14ac:dyDescent="0.3">
      <c r="G349" s="2"/>
    </row>
    <row r="350" spans="7:7" x14ac:dyDescent="0.3">
      <c r="G350" s="2"/>
    </row>
    <row r="351" spans="7:7" x14ac:dyDescent="0.3">
      <c r="G351" s="2"/>
    </row>
    <row r="352" spans="7:7" x14ac:dyDescent="0.3">
      <c r="G352" s="2"/>
    </row>
    <row r="353" spans="7:7" x14ac:dyDescent="0.3">
      <c r="G353" s="2"/>
    </row>
    <row r="354" spans="7:7" x14ac:dyDescent="0.3">
      <c r="G354" s="2"/>
    </row>
    <row r="355" spans="7:7" x14ac:dyDescent="0.3">
      <c r="G355" s="2"/>
    </row>
    <row r="356" spans="7:7" x14ac:dyDescent="0.3">
      <c r="G356" s="2"/>
    </row>
    <row r="357" spans="7:7" x14ac:dyDescent="0.3">
      <c r="G357" s="2"/>
    </row>
    <row r="358" spans="7:7" x14ac:dyDescent="0.3">
      <c r="G358" s="2"/>
    </row>
    <row r="359" spans="7:7" x14ac:dyDescent="0.3">
      <c r="G359" s="2"/>
    </row>
    <row r="360" spans="7:7" x14ac:dyDescent="0.3">
      <c r="G360" s="2"/>
    </row>
    <row r="361" spans="7:7" x14ac:dyDescent="0.3">
      <c r="G361" s="2"/>
    </row>
    <row r="362" spans="7:7" x14ac:dyDescent="0.3">
      <c r="G362" s="2"/>
    </row>
    <row r="363" spans="7:7" x14ac:dyDescent="0.3">
      <c r="G363" s="2"/>
    </row>
    <row r="364" spans="7:7" x14ac:dyDescent="0.3">
      <c r="G364" s="2"/>
    </row>
    <row r="365" spans="7:7" x14ac:dyDescent="0.3">
      <c r="G365" s="2"/>
    </row>
    <row r="366" spans="7:7" x14ac:dyDescent="0.3">
      <c r="G366" s="2"/>
    </row>
    <row r="367" spans="7:7" x14ac:dyDescent="0.3">
      <c r="G367" s="2"/>
    </row>
    <row r="368" spans="7:7" x14ac:dyDescent="0.3">
      <c r="G368" s="2"/>
    </row>
    <row r="369" spans="7:7" x14ac:dyDescent="0.3">
      <c r="G369" s="2"/>
    </row>
    <row r="370" spans="7:7" x14ac:dyDescent="0.3">
      <c r="G370" s="2"/>
    </row>
    <row r="371" spans="7:7" x14ac:dyDescent="0.3">
      <c r="G371" s="2"/>
    </row>
    <row r="372" spans="7:7" x14ac:dyDescent="0.3">
      <c r="G372" s="2"/>
    </row>
    <row r="373" spans="7:7" x14ac:dyDescent="0.3">
      <c r="G373" s="2"/>
    </row>
    <row r="374" spans="7:7" x14ac:dyDescent="0.3">
      <c r="G374" s="2"/>
    </row>
    <row r="375" spans="7:7" x14ac:dyDescent="0.3">
      <c r="G375" s="2"/>
    </row>
    <row r="376" spans="7:7" x14ac:dyDescent="0.3">
      <c r="G376" s="2"/>
    </row>
    <row r="377" spans="7:7" x14ac:dyDescent="0.3">
      <c r="G377" s="2"/>
    </row>
    <row r="378" spans="7:7" x14ac:dyDescent="0.3">
      <c r="G378" s="2"/>
    </row>
    <row r="379" spans="7:7" x14ac:dyDescent="0.3">
      <c r="G379" s="2"/>
    </row>
    <row r="380" spans="7:7" x14ac:dyDescent="0.3">
      <c r="G380" s="2"/>
    </row>
    <row r="381" spans="7:7" x14ac:dyDescent="0.3">
      <c r="G381" s="2"/>
    </row>
    <row r="382" spans="7:7" x14ac:dyDescent="0.3">
      <c r="G382" s="2"/>
    </row>
    <row r="383" spans="7:7" x14ac:dyDescent="0.3">
      <c r="G383" s="2"/>
    </row>
    <row r="384" spans="7:7" x14ac:dyDescent="0.3">
      <c r="G384" s="2"/>
    </row>
    <row r="385" spans="7:7" x14ac:dyDescent="0.3">
      <c r="G385" s="2"/>
    </row>
    <row r="386" spans="7:7" x14ac:dyDescent="0.3">
      <c r="G386" s="2"/>
    </row>
    <row r="387" spans="7:7" x14ac:dyDescent="0.3">
      <c r="G387" s="2"/>
    </row>
    <row r="388" spans="7:7" x14ac:dyDescent="0.3">
      <c r="G388" s="2"/>
    </row>
    <row r="389" spans="7:7" x14ac:dyDescent="0.3">
      <c r="G389" s="2"/>
    </row>
    <row r="390" spans="7:7" x14ac:dyDescent="0.3">
      <c r="G390" s="2"/>
    </row>
    <row r="391" spans="7:7" x14ac:dyDescent="0.3">
      <c r="G391" s="2"/>
    </row>
    <row r="392" spans="7:7" x14ac:dyDescent="0.3">
      <c r="G392" s="2"/>
    </row>
    <row r="393" spans="7:7" x14ac:dyDescent="0.3">
      <c r="G393" s="2"/>
    </row>
    <row r="394" spans="7:7" x14ac:dyDescent="0.3">
      <c r="G394" s="2"/>
    </row>
    <row r="395" spans="7:7" x14ac:dyDescent="0.3">
      <c r="G395" s="2"/>
    </row>
    <row r="396" spans="7:7" x14ac:dyDescent="0.3">
      <c r="G396" s="2"/>
    </row>
    <row r="397" spans="7:7" x14ac:dyDescent="0.3">
      <c r="G397" s="2"/>
    </row>
    <row r="398" spans="7:7" x14ac:dyDescent="0.3">
      <c r="G398" s="2"/>
    </row>
    <row r="399" spans="7:7" x14ac:dyDescent="0.3">
      <c r="G399" s="2"/>
    </row>
    <row r="400" spans="7:7" x14ac:dyDescent="0.3">
      <c r="G400" s="2"/>
    </row>
    <row r="401" spans="7:7" x14ac:dyDescent="0.3">
      <c r="G401" s="2"/>
    </row>
    <row r="402" spans="7:7" x14ac:dyDescent="0.3">
      <c r="G402" s="2"/>
    </row>
    <row r="403" spans="7:7" x14ac:dyDescent="0.3">
      <c r="G403" s="2"/>
    </row>
    <row r="404" spans="7:7" x14ac:dyDescent="0.3">
      <c r="G404" s="2"/>
    </row>
    <row r="405" spans="7:7" x14ac:dyDescent="0.3">
      <c r="G405" s="2"/>
    </row>
    <row r="406" spans="7:7" x14ac:dyDescent="0.3">
      <c r="G406" s="2"/>
    </row>
    <row r="407" spans="7:7" x14ac:dyDescent="0.3">
      <c r="G407" s="2"/>
    </row>
    <row r="408" spans="7:7" x14ac:dyDescent="0.3">
      <c r="G408" s="2"/>
    </row>
    <row r="409" spans="7:7" x14ac:dyDescent="0.3">
      <c r="G409" s="2"/>
    </row>
    <row r="410" spans="7:7" x14ac:dyDescent="0.3">
      <c r="G410" s="2"/>
    </row>
    <row r="411" spans="7:7" x14ac:dyDescent="0.3">
      <c r="G411" s="2"/>
    </row>
    <row r="412" spans="7:7" x14ac:dyDescent="0.3">
      <c r="G412" s="2"/>
    </row>
    <row r="413" spans="7:7" x14ac:dyDescent="0.3">
      <c r="G413" s="2"/>
    </row>
    <row r="414" spans="7:7" x14ac:dyDescent="0.3">
      <c r="G414" s="2"/>
    </row>
    <row r="415" spans="7:7" x14ac:dyDescent="0.3">
      <c r="G415" s="2"/>
    </row>
    <row r="416" spans="7:7" x14ac:dyDescent="0.3">
      <c r="G416" s="2"/>
    </row>
    <row r="417" spans="7:7" x14ac:dyDescent="0.3">
      <c r="G417" s="2"/>
    </row>
    <row r="418" spans="7:7" x14ac:dyDescent="0.3">
      <c r="G418" s="2"/>
    </row>
    <row r="419" spans="7:7" x14ac:dyDescent="0.3">
      <c r="G419" s="2"/>
    </row>
    <row r="420" spans="7:7" x14ac:dyDescent="0.3">
      <c r="G420" s="2"/>
    </row>
    <row r="421" spans="7:7" x14ac:dyDescent="0.3">
      <c r="G421" s="2"/>
    </row>
    <row r="422" spans="7:7" x14ac:dyDescent="0.3">
      <c r="G422" s="2"/>
    </row>
    <row r="423" spans="7:7" x14ac:dyDescent="0.3">
      <c r="G423" s="2"/>
    </row>
    <row r="424" spans="7:7" x14ac:dyDescent="0.3">
      <c r="G424" s="2"/>
    </row>
    <row r="425" spans="7:7" x14ac:dyDescent="0.3">
      <c r="G425" s="2"/>
    </row>
    <row r="426" spans="7:7" x14ac:dyDescent="0.3">
      <c r="G426" s="2"/>
    </row>
    <row r="427" spans="7:7" x14ac:dyDescent="0.3">
      <c r="G427" s="2"/>
    </row>
    <row r="428" spans="7:7" x14ac:dyDescent="0.3">
      <c r="G428" s="2"/>
    </row>
    <row r="429" spans="7:7" x14ac:dyDescent="0.3">
      <c r="G429" s="2"/>
    </row>
    <row r="430" spans="7:7" x14ac:dyDescent="0.3">
      <c r="G430" s="2"/>
    </row>
    <row r="431" spans="7:7" x14ac:dyDescent="0.3">
      <c r="G431" s="2"/>
    </row>
    <row r="432" spans="7:7" x14ac:dyDescent="0.3">
      <c r="G432" s="2"/>
    </row>
    <row r="433" spans="7:7" x14ac:dyDescent="0.3">
      <c r="G433" s="2"/>
    </row>
    <row r="434" spans="7:7" x14ac:dyDescent="0.3">
      <c r="G434" s="2"/>
    </row>
    <row r="435" spans="7:7" x14ac:dyDescent="0.3">
      <c r="G435" s="2"/>
    </row>
    <row r="436" spans="7:7" x14ac:dyDescent="0.3">
      <c r="G436" s="2"/>
    </row>
    <row r="437" spans="7:7" x14ac:dyDescent="0.3">
      <c r="G437" s="2"/>
    </row>
    <row r="438" spans="7:7" x14ac:dyDescent="0.3">
      <c r="G438" s="2"/>
    </row>
    <row r="439" spans="7:7" x14ac:dyDescent="0.3">
      <c r="G439" s="2"/>
    </row>
    <row r="440" spans="7:7" x14ac:dyDescent="0.3">
      <c r="G440" s="2"/>
    </row>
    <row r="441" spans="7:7" x14ac:dyDescent="0.3">
      <c r="G441" s="2"/>
    </row>
    <row r="442" spans="7:7" x14ac:dyDescent="0.3">
      <c r="G4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EFD1-B017-4E16-872D-DA7FA801120B}">
  <sheetPr codeName="Sheet3">
    <tabColor theme="5" tint="-0.249977111117893"/>
  </sheetPr>
  <dimension ref="A1:O131"/>
  <sheetViews>
    <sheetView workbookViewId="0">
      <selection activeCell="A2" sqref="A2:O141"/>
    </sheetView>
  </sheetViews>
  <sheetFormatPr defaultRowHeight="14.4" x14ac:dyDescent="0.3"/>
  <cols>
    <col min="1" max="1" width="9.33203125" customWidth="1"/>
    <col min="2" max="2" width="11.44140625" bestFit="1" customWidth="1"/>
    <col min="3" max="3" width="13" customWidth="1"/>
    <col min="4" max="4" width="6.5546875" bestFit="1" customWidth="1"/>
    <col min="5" max="5" width="7.44140625" customWidth="1"/>
    <col min="6" max="6" width="13.5546875" bestFit="1" customWidth="1"/>
    <col min="8" max="8" width="10.109375" customWidth="1"/>
    <col min="9" max="9" width="12.33203125" bestFit="1" customWidth="1"/>
    <col min="10" max="10" width="9" customWidth="1"/>
    <col min="11" max="11" width="11.33203125" bestFit="1" customWidth="1"/>
    <col min="12" max="12" width="13.33203125" bestFit="1" customWidth="1"/>
    <col min="13" max="13" width="10.5546875" customWidth="1"/>
    <col min="15" max="15" width="10.109375" customWidth="1"/>
  </cols>
  <sheetData>
    <row r="1" spans="1:15" x14ac:dyDescent="0.3">
      <c r="A1" t="s">
        <v>5</v>
      </c>
      <c r="B1" s="4" t="s">
        <v>133</v>
      </c>
      <c r="C1" t="s">
        <v>71</v>
      </c>
      <c r="D1" s="4" t="s">
        <v>63</v>
      </c>
      <c r="E1" t="s">
        <v>72</v>
      </c>
      <c r="F1" s="4" t="s">
        <v>128</v>
      </c>
      <c r="G1" s="4" t="s">
        <v>7</v>
      </c>
      <c r="H1" t="s">
        <v>73</v>
      </c>
      <c r="I1" s="4" t="s">
        <v>130</v>
      </c>
      <c r="J1" s="4" t="s">
        <v>342</v>
      </c>
      <c r="K1" s="4" t="s">
        <v>132</v>
      </c>
      <c r="L1" s="4" t="s">
        <v>94</v>
      </c>
      <c r="M1" s="4" t="s">
        <v>15</v>
      </c>
      <c r="N1" s="4" t="s">
        <v>131</v>
      </c>
      <c r="O1" s="4" t="s">
        <v>6</v>
      </c>
    </row>
    <row r="2" spans="1:15" x14ac:dyDescent="0.3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3"/>
      <c r="N2" s="53"/>
    </row>
    <row r="3" spans="1:15" x14ac:dyDescent="0.3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3"/>
      <c r="N3" s="53"/>
    </row>
    <row r="4" spans="1:15" x14ac:dyDescent="0.3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3"/>
      <c r="N4" s="53"/>
    </row>
    <row r="5" spans="1:15" x14ac:dyDescent="0.3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3"/>
      <c r="N5" s="53"/>
    </row>
    <row r="6" spans="1:15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3"/>
      <c r="N6" s="53"/>
    </row>
    <row r="7" spans="1:15" x14ac:dyDescent="0.3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3"/>
      <c r="N7" s="53"/>
    </row>
    <row r="8" spans="1:15" x14ac:dyDescent="0.3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3"/>
      <c r="N8" s="53"/>
    </row>
    <row r="9" spans="1:15" x14ac:dyDescent="0.3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3"/>
      <c r="N9" s="53"/>
    </row>
    <row r="10" spans="1:15" x14ac:dyDescent="0.3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3"/>
      <c r="N10" s="53"/>
    </row>
    <row r="11" spans="1:15" x14ac:dyDescent="0.3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3"/>
      <c r="N11" s="53"/>
    </row>
    <row r="12" spans="1:15" x14ac:dyDescent="0.3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3"/>
      <c r="N12" s="53"/>
    </row>
    <row r="13" spans="1:15" x14ac:dyDescent="0.3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3"/>
      <c r="N13" s="53"/>
    </row>
    <row r="14" spans="1:15" x14ac:dyDescent="0.3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3"/>
      <c r="N14" s="53"/>
    </row>
    <row r="15" spans="1:15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3"/>
      <c r="N15" s="53"/>
    </row>
    <row r="16" spans="1:15" x14ac:dyDescent="0.3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3"/>
      <c r="N16" s="53"/>
    </row>
    <row r="17" spans="1:14" x14ac:dyDescent="0.3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3"/>
      <c r="N17" s="53"/>
    </row>
    <row r="18" spans="1:14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3"/>
      <c r="N18" s="53"/>
    </row>
    <row r="19" spans="1:14" x14ac:dyDescent="0.3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3"/>
    </row>
    <row r="20" spans="1:14" x14ac:dyDescent="0.3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3"/>
    </row>
    <row r="21" spans="1:14" x14ac:dyDescent="0.3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3"/>
      <c r="N21" s="53"/>
    </row>
    <row r="22" spans="1:14" x14ac:dyDescent="0.3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3"/>
      <c r="N22" s="53"/>
    </row>
    <row r="23" spans="1:14" x14ac:dyDescent="0.3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3"/>
      <c r="N23" s="53"/>
    </row>
    <row r="24" spans="1:14" x14ac:dyDescent="0.3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3"/>
      <c r="N24" s="53"/>
    </row>
    <row r="25" spans="1:14" x14ac:dyDescent="0.3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3"/>
      <c r="N25" s="53"/>
    </row>
    <row r="26" spans="1:14" x14ac:dyDescent="0.3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3"/>
      <c r="N26" s="53"/>
    </row>
    <row r="27" spans="1:14" x14ac:dyDescent="0.3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3"/>
      <c r="N27" s="53"/>
    </row>
    <row r="28" spans="1:14" x14ac:dyDescent="0.3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3"/>
      <c r="N28" s="53"/>
    </row>
    <row r="29" spans="1:14" x14ac:dyDescent="0.3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3"/>
      <c r="N29" s="53"/>
    </row>
    <row r="30" spans="1:14" x14ac:dyDescent="0.3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3"/>
      <c r="N30" s="53"/>
    </row>
    <row r="31" spans="1:14" x14ac:dyDescent="0.3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3"/>
      <c r="N31" s="53"/>
    </row>
    <row r="32" spans="1:14" x14ac:dyDescent="0.3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3"/>
      <c r="N32" s="53"/>
    </row>
    <row r="33" spans="1:14" x14ac:dyDescent="0.3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3"/>
      <c r="N33" s="53"/>
    </row>
    <row r="34" spans="1:14" x14ac:dyDescent="0.3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3"/>
      <c r="N34" s="53"/>
    </row>
    <row r="35" spans="1:14" x14ac:dyDescent="0.3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3"/>
      <c r="N35" s="53"/>
    </row>
    <row r="36" spans="1:14" x14ac:dyDescent="0.3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3"/>
      <c r="N36" s="53"/>
    </row>
    <row r="37" spans="1:14" x14ac:dyDescent="0.3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3"/>
      <c r="N37" s="53"/>
    </row>
    <row r="38" spans="1:14" x14ac:dyDescent="0.3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3"/>
      <c r="N38" s="53"/>
    </row>
    <row r="39" spans="1:14" x14ac:dyDescent="0.3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3"/>
      <c r="N39" s="53"/>
    </row>
    <row r="40" spans="1:14" x14ac:dyDescent="0.3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3"/>
      <c r="N40" s="53"/>
    </row>
    <row r="41" spans="1:14" x14ac:dyDescent="0.3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3"/>
      <c r="N41" s="53"/>
    </row>
    <row r="42" spans="1:14" x14ac:dyDescent="0.3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3"/>
      <c r="N42" s="53"/>
    </row>
    <row r="43" spans="1:14" x14ac:dyDescent="0.3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3"/>
      <c r="N43" s="53"/>
    </row>
    <row r="44" spans="1:14" x14ac:dyDescent="0.3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3"/>
      <c r="N44" s="53"/>
    </row>
    <row r="45" spans="1:14" x14ac:dyDescent="0.3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3"/>
      <c r="N45" s="53"/>
    </row>
    <row r="46" spans="1:14" x14ac:dyDescent="0.3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3"/>
      <c r="N46" s="53"/>
    </row>
    <row r="47" spans="1:14" x14ac:dyDescent="0.3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3"/>
      <c r="N47" s="53"/>
    </row>
    <row r="48" spans="1:14" x14ac:dyDescent="0.3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3"/>
    </row>
    <row r="49" spans="1:14" x14ac:dyDescent="0.3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3"/>
    </row>
    <row r="50" spans="1:14" x14ac:dyDescent="0.3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3"/>
    </row>
    <row r="51" spans="1:14" x14ac:dyDescent="0.3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3"/>
    </row>
    <row r="52" spans="1:14" x14ac:dyDescent="0.3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3"/>
    </row>
    <row r="53" spans="1:14" x14ac:dyDescent="0.3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3"/>
    </row>
    <row r="54" spans="1:14" x14ac:dyDescent="0.3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3"/>
    </row>
    <row r="55" spans="1:14" x14ac:dyDescent="0.3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3"/>
    </row>
    <row r="56" spans="1:14" x14ac:dyDescent="0.3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3"/>
    </row>
    <row r="57" spans="1:14" x14ac:dyDescent="0.3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3"/>
    </row>
    <row r="58" spans="1:14" x14ac:dyDescent="0.3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3"/>
    </row>
    <row r="59" spans="1:14" x14ac:dyDescent="0.3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3"/>
    </row>
    <row r="60" spans="1:14" x14ac:dyDescent="0.3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3"/>
    </row>
    <row r="61" spans="1:14" x14ac:dyDescent="0.3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3"/>
    </row>
    <row r="62" spans="1:14" x14ac:dyDescent="0.3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3"/>
    </row>
    <row r="63" spans="1:14" x14ac:dyDescent="0.3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3"/>
    </row>
    <row r="64" spans="1:14" x14ac:dyDescent="0.3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3"/>
    </row>
    <row r="65" spans="1:14" x14ac:dyDescent="0.3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3"/>
    </row>
    <row r="66" spans="1:14" x14ac:dyDescent="0.3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3"/>
    </row>
    <row r="67" spans="1:14" x14ac:dyDescent="0.3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3"/>
      <c r="N67" s="53"/>
    </row>
    <row r="68" spans="1:14" x14ac:dyDescent="0.3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3"/>
      <c r="N68" s="53"/>
    </row>
    <row r="69" spans="1:14" x14ac:dyDescent="0.3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3"/>
      <c r="N69" s="53"/>
    </row>
    <row r="70" spans="1:14" x14ac:dyDescent="0.3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3"/>
      <c r="N70" s="53"/>
    </row>
    <row r="71" spans="1:14" x14ac:dyDescent="0.3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3"/>
      <c r="N71" s="53"/>
    </row>
    <row r="72" spans="1:14" x14ac:dyDescent="0.3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3"/>
      <c r="N72" s="53"/>
    </row>
    <row r="73" spans="1:14" x14ac:dyDescent="0.3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3"/>
      <c r="N73" s="53"/>
    </row>
    <row r="74" spans="1:14" x14ac:dyDescent="0.3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3"/>
      <c r="N74" s="53"/>
    </row>
    <row r="75" spans="1:14" x14ac:dyDescent="0.3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3"/>
      <c r="N75" s="53"/>
    </row>
    <row r="76" spans="1:14" x14ac:dyDescent="0.3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3"/>
      <c r="N76" s="53"/>
    </row>
    <row r="77" spans="1:14" x14ac:dyDescent="0.3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3"/>
      <c r="N77" s="53"/>
    </row>
    <row r="78" spans="1:14" x14ac:dyDescent="0.3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3"/>
      <c r="N78" s="53"/>
    </row>
    <row r="79" spans="1:14" x14ac:dyDescent="0.3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3"/>
      <c r="N79" s="53"/>
    </row>
    <row r="80" spans="1:14" x14ac:dyDescent="0.3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3"/>
      <c r="N80" s="53"/>
    </row>
    <row r="81" spans="1:14" x14ac:dyDescent="0.3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3"/>
      <c r="N81" s="53"/>
    </row>
    <row r="82" spans="1:14" x14ac:dyDescent="0.3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3"/>
      <c r="N82" s="53"/>
    </row>
    <row r="83" spans="1:14" x14ac:dyDescent="0.3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3"/>
      <c r="N83" s="53"/>
    </row>
    <row r="84" spans="1:14" x14ac:dyDescent="0.3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3"/>
      <c r="N84" s="53"/>
    </row>
    <row r="85" spans="1:14" x14ac:dyDescent="0.3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3"/>
      <c r="N85" s="53"/>
    </row>
    <row r="86" spans="1:14" x14ac:dyDescent="0.3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3"/>
      <c r="N86" s="53"/>
    </row>
    <row r="87" spans="1:14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3"/>
      <c r="N87" s="53"/>
    </row>
    <row r="88" spans="1:14" x14ac:dyDescent="0.3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3"/>
      <c r="N88" s="53"/>
    </row>
    <row r="89" spans="1:14" x14ac:dyDescent="0.3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3"/>
      <c r="N89" s="53"/>
    </row>
    <row r="90" spans="1:14" x14ac:dyDescent="0.3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3"/>
      <c r="N90" s="53"/>
    </row>
    <row r="91" spans="1:14" x14ac:dyDescent="0.3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3"/>
      <c r="N91" s="53"/>
    </row>
    <row r="92" spans="1:14" x14ac:dyDescent="0.3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3"/>
      <c r="N92" s="53"/>
    </row>
    <row r="93" spans="1:14" x14ac:dyDescent="0.3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3"/>
      <c r="N93" s="53"/>
    </row>
    <row r="94" spans="1:14" x14ac:dyDescent="0.3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3"/>
      <c r="N94" s="53"/>
    </row>
    <row r="95" spans="1:14" x14ac:dyDescent="0.3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3"/>
      <c r="N95" s="53"/>
    </row>
    <row r="96" spans="1:14" x14ac:dyDescent="0.3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3"/>
      <c r="N96" s="53"/>
    </row>
    <row r="97" spans="1:14" x14ac:dyDescent="0.3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3"/>
      <c r="N97" s="53"/>
    </row>
    <row r="98" spans="1:14" x14ac:dyDescent="0.3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3"/>
      <c r="N98" s="53"/>
    </row>
    <row r="99" spans="1:14" x14ac:dyDescent="0.3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3"/>
      <c r="N99" s="53"/>
    </row>
    <row r="100" spans="1:14" x14ac:dyDescent="0.3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3"/>
      <c r="N100" s="53"/>
    </row>
    <row r="101" spans="1:14" x14ac:dyDescent="0.3">
      <c r="A101" s="52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3"/>
      <c r="N101" s="53"/>
    </row>
    <row r="102" spans="1:14" x14ac:dyDescent="0.3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3"/>
      <c r="N102" s="53"/>
    </row>
    <row r="103" spans="1:14" x14ac:dyDescent="0.3">
      <c r="A103" s="52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3"/>
      <c r="N103" s="53"/>
    </row>
    <row r="104" spans="1:14" x14ac:dyDescent="0.3">
      <c r="A104" s="52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3"/>
      <c r="N104" s="53"/>
    </row>
    <row r="105" spans="1:14" x14ac:dyDescent="0.3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3"/>
      <c r="N105" s="53"/>
    </row>
    <row r="106" spans="1:14" x14ac:dyDescent="0.3">
      <c r="A106" s="52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3"/>
      <c r="N106" s="53"/>
    </row>
    <row r="107" spans="1:14" x14ac:dyDescent="0.3">
      <c r="A107" s="52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3"/>
      <c r="N107" s="53"/>
    </row>
    <row r="108" spans="1:14" x14ac:dyDescent="0.3">
      <c r="A108" s="52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3"/>
      <c r="N108" s="53"/>
    </row>
    <row r="109" spans="1:14" x14ac:dyDescent="0.3">
      <c r="A109" s="52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3"/>
      <c r="N109" s="53"/>
    </row>
    <row r="110" spans="1:14" x14ac:dyDescent="0.3">
      <c r="A110" s="52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3"/>
      <c r="N110" s="53"/>
    </row>
    <row r="111" spans="1:14" x14ac:dyDescent="0.3">
      <c r="A111" s="52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3"/>
      <c r="N111" s="53"/>
    </row>
    <row r="112" spans="1:14" x14ac:dyDescent="0.3">
      <c r="A112" s="52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3"/>
      <c r="N112" s="53"/>
    </row>
    <row r="113" spans="1:14" x14ac:dyDescent="0.3">
      <c r="A113" s="52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3"/>
      <c r="N113" s="53"/>
    </row>
    <row r="114" spans="1:14" x14ac:dyDescent="0.3">
      <c r="A114" s="52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3"/>
      <c r="N114" s="53"/>
    </row>
    <row r="115" spans="1:14" x14ac:dyDescent="0.3">
      <c r="A115" s="52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3"/>
      <c r="N115" s="53"/>
    </row>
    <row r="116" spans="1:14" x14ac:dyDescent="0.3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3"/>
      <c r="N116" s="53"/>
    </row>
    <row r="117" spans="1:14" x14ac:dyDescent="0.3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3"/>
      <c r="N117" s="53"/>
    </row>
    <row r="118" spans="1:14" x14ac:dyDescent="0.3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3"/>
      <c r="N118" s="53"/>
    </row>
    <row r="119" spans="1:14" x14ac:dyDescent="0.3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3"/>
      <c r="N119" s="53"/>
    </row>
    <row r="120" spans="1:14" x14ac:dyDescent="0.3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3"/>
      <c r="N120" s="53"/>
    </row>
    <row r="121" spans="1:14" x14ac:dyDescent="0.3">
      <c r="A121" s="52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3"/>
      <c r="N121" s="53"/>
    </row>
    <row r="122" spans="1:14" x14ac:dyDescent="0.3">
      <c r="A122" s="52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3"/>
      <c r="N122" s="53"/>
    </row>
    <row r="123" spans="1:14" x14ac:dyDescent="0.3">
      <c r="A123" s="52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3"/>
      <c r="N123" s="53"/>
    </row>
    <row r="124" spans="1:14" x14ac:dyDescent="0.3">
      <c r="A124" s="52"/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3"/>
      <c r="N124" s="53"/>
    </row>
    <row r="125" spans="1:14" x14ac:dyDescent="0.3">
      <c r="A125" s="52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3"/>
      <c r="N125" s="53"/>
    </row>
    <row r="126" spans="1:14" x14ac:dyDescent="0.3">
      <c r="A126" s="52"/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3"/>
      <c r="N126" s="53"/>
    </row>
    <row r="127" spans="1:14" x14ac:dyDescent="0.3">
      <c r="A127" s="5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3"/>
      <c r="N127" s="53"/>
    </row>
    <row r="128" spans="1:14" x14ac:dyDescent="0.3">
      <c r="A128" s="5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3"/>
      <c r="N128" s="53"/>
    </row>
    <row r="129" spans="1:14" x14ac:dyDescent="0.3">
      <c r="A129" s="5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3"/>
      <c r="N129" s="53"/>
    </row>
    <row r="130" spans="1:14" x14ac:dyDescent="0.3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3"/>
      <c r="N130" s="53"/>
    </row>
    <row r="131" spans="1:14" x14ac:dyDescent="0.3">
      <c r="A131" s="5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3"/>
      <c r="N131" s="5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E4AD-DDA5-4653-81A5-76830CAA4E46}">
  <sheetPr codeName="Sheet4">
    <tabColor theme="5" tint="-0.249977111117893"/>
  </sheetPr>
  <dimension ref="A1:N251"/>
  <sheetViews>
    <sheetView workbookViewId="0">
      <selection activeCell="A2" sqref="A2:N251"/>
    </sheetView>
  </sheetViews>
  <sheetFormatPr defaultRowHeight="14.4" x14ac:dyDescent="0.3"/>
  <cols>
    <col min="1" max="1" width="13.109375" customWidth="1"/>
    <col min="2" max="2" width="8.88671875" customWidth="1"/>
    <col min="3" max="3" width="5.6640625" customWidth="1"/>
    <col min="4" max="4" width="11.33203125" customWidth="1"/>
    <col min="5" max="5" width="10.44140625" customWidth="1"/>
    <col min="6" max="6" width="8.33203125" customWidth="1"/>
    <col min="7" max="8" width="7.5546875" customWidth="1"/>
    <col min="9" max="9" width="11.33203125" customWidth="1"/>
    <col min="10" max="10" width="12.5546875" customWidth="1"/>
    <col min="11" max="11" width="8" customWidth="1"/>
    <col min="12" max="12" width="9.5546875" customWidth="1"/>
    <col min="13" max="14" width="9.33203125" customWidth="1"/>
  </cols>
  <sheetData>
    <row r="1" spans="1:14" ht="14.25" customHeight="1" x14ac:dyDescent="0.3">
      <c r="A1" s="6" t="s">
        <v>128</v>
      </c>
      <c r="B1" s="9" t="s">
        <v>61</v>
      </c>
      <c r="C1" s="7" t="s">
        <v>7</v>
      </c>
      <c r="D1" s="7" t="s">
        <v>133</v>
      </c>
      <c r="E1" s="7" t="s">
        <v>6</v>
      </c>
      <c r="F1" s="7" t="s">
        <v>94</v>
      </c>
      <c r="G1" s="7" t="s">
        <v>63</v>
      </c>
      <c r="H1" s="9" t="s">
        <v>85</v>
      </c>
      <c r="I1" s="9" t="s">
        <v>10</v>
      </c>
      <c r="J1" s="7" t="s">
        <v>130</v>
      </c>
      <c r="K1" s="7" t="s">
        <v>131</v>
      </c>
      <c r="L1" s="7" t="s">
        <v>15</v>
      </c>
      <c r="M1" s="7" t="s">
        <v>86</v>
      </c>
      <c r="N1" s="8" t="s">
        <v>132</v>
      </c>
    </row>
    <row r="2" spans="1:14" ht="14.25" customHeight="1" x14ac:dyDescent="0.3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3"/>
      <c r="N2" s="53"/>
    </row>
    <row r="3" spans="1:14" ht="14.25" customHeight="1" x14ac:dyDescent="0.3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3"/>
      <c r="N3" s="53"/>
    </row>
    <row r="4" spans="1:14" ht="14.25" customHeight="1" x14ac:dyDescent="0.3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3"/>
      <c r="N4" s="53"/>
    </row>
    <row r="5" spans="1:14" ht="14.25" customHeight="1" x14ac:dyDescent="0.3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3"/>
      <c r="N5" s="53"/>
    </row>
    <row r="6" spans="1:14" ht="14.25" customHeight="1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3"/>
      <c r="N6" s="53"/>
    </row>
    <row r="7" spans="1:14" ht="14.25" customHeight="1" x14ac:dyDescent="0.3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3"/>
      <c r="N7" s="53"/>
    </row>
    <row r="8" spans="1:14" ht="14.25" customHeight="1" x14ac:dyDescent="0.3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3"/>
      <c r="N8" s="53"/>
    </row>
    <row r="9" spans="1:14" ht="14.25" customHeight="1" x14ac:dyDescent="0.3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3"/>
      <c r="N9" s="53"/>
    </row>
    <row r="10" spans="1:14" ht="14.25" customHeight="1" x14ac:dyDescent="0.3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3"/>
      <c r="N10" s="53"/>
    </row>
    <row r="11" spans="1:14" ht="14.25" customHeight="1" x14ac:dyDescent="0.3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3"/>
      <c r="N11" s="53"/>
    </row>
    <row r="12" spans="1:14" ht="14.25" customHeight="1" x14ac:dyDescent="0.3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3"/>
      <c r="N12" s="53"/>
    </row>
    <row r="13" spans="1:14" ht="14.25" customHeight="1" x14ac:dyDescent="0.3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3"/>
      <c r="N13" s="53"/>
    </row>
    <row r="14" spans="1:14" ht="14.25" customHeight="1" x14ac:dyDescent="0.3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3"/>
      <c r="N14" s="53"/>
    </row>
    <row r="15" spans="1:14" ht="14.25" customHeight="1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3"/>
      <c r="N15" s="53"/>
    </row>
    <row r="16" spans="1:14" ht="14.25" customHeight="1" x14ac:dyDescent="0.3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3"/>
      <c r="N16" s="53"/>
    </row>
    <row r="17" spans="1:14" ht="14.25" customHeight="1" x14ac:dyDescent="0.3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3"/>
      <c r="N17" s="53"/>
    </row>
    <row r="18" spans="1:14" ht="14.25" customHeight="1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3"/>
      <c r="N18" s="53"/>
    </row>
    <row r="19" spans="1:14" ht="14.25" customHeight="1" x14ac:dyDescent="0.3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3"/>
    </row>
    <row r="20" spans="1:14" ht="14.25" customHeight="1" x14ac:dyDescent="0.3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3"/>
    </row>
    <row r="21" spans="1:14" ht="14.25" customHeight="1" x14ac:dyDescent="0.3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3"/>
      <c r="N21" s="53"/>
    </row>
    <row r="22" spans="1:14" ht="14.25" customHeight="1" x14ac:dyDescent="0.3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3"/>
      <c r="N22" s="53"/>
    </row>
    <row r="23" spans="1:14" ht="14.25" customHeight="1" x14ac:dyDescent="0.3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3"/>
      <c r="N23" s="53"/>
    </row>
    <row r="24" spans="1:14" ht="14.25" customHeight="1" x14ac:dyDescent="0.3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3"/>
      <c r="N24" s="53"/>
    </row>
    <row r="25" spans="1:14" ht="14.25" customHeight="1" x14ac:dyDescent="0.3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3"/>
      <c r="N25" s="53"/>
    </row>
    <row r="26" spans="1:14" ht="14.25" customHeight="1" x14ac:dyDescent="0.3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3"/>
      <c r="N26" s="53"/>
    </row>
    <row r="27" spans="1:14" ht="14.25" customHeight="1" x14ac:dyDescent="0.3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3"/>
      <c r="N27" s="53"/>
    </row>
    <row r="28" spans="1:14" ht="14.25" customHeight="1" x14ac:dyDescent="0.3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3"/>
      <c r="N28" s="53"/>
    </row>
    <row r="29" spans="1:14" ht="14.25" customHeight="1" x14ac:dyDescent="0.3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3"/>
      <c r="N29" s="53"/>
    </row>
    <row r="30" spans="1:14" ht="14.25" customHeight="1" x14ac:dyDescent="0.3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3"/>
      <c r="N30" s="53"/>
    </row>
    <row r="31" spans="1:14" ht="14.25" customHeight="1" x14ac:dyDescent="0.3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3"/>
      <c r="N31" s="53"/>
    </row>
    <row r="32" spans="1:14" ht="14.25" customHeight="1" x14ac:dyDescent="0.3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3"/>
      <c r="N32" s="53"/>
    </row>
    <row r="33" spans="1:14" ht="14.25" customHeight="1" x14ac:dyDescent="0.3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3"/>
      <c r="N33" s="53"/>
    </row>
    <row r="34" spans="1:14" ht="14.25" customHeight="1" x14ac:dyDescent="0.3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3"/>
      <c r="N34" s="53"/>
    </row>
    <row r="35" spans="1:14" ht="14.25" customHeight="1" x14ac:dyDescent="0.3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3"/>
      <c r="N35" s="53"/>
    </row>
    <row r="36" spans="1:14" ht="14.25" customHeight="1" x14ac:dyDescent="0.3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3"/>
      <c r="N36" s="53"/>
    </row>
    <row r="37" spans="1:14" ht="14.25" customHeight="1" x14ac:dyDescent="0.3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3"/>
      <c r="N37" s="53"/>
    </row>
    <row r="38" spans="1:14" ht="14.25" customHeight="1" x14ac:dyDescent="0.3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3"/>
      <c r="N38" s="53"/>
    </row>
    <row r="39" spans="1:14" ht="14.25" customHeight="1" x14ac:dyDescent="0.3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3"/>
      <c r="N39" s="53"/>
    </row>
    <row r="40" spans="1:14" ht="14.25" customHeight="1" x14ac:dyDescent="0.3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3"/>
      <c r="N40" s="53"/>
    </row>
    <row r="41" spans="1:14" ht="14.25" customHeight="1" x14ac:dyDescent="0.3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3"/>
      <c r="N41" s="53"/>
    </row>
    <row r="42" spans="1:14" ht="14.25" customHeight="1" x14ac:dyDescent="0.3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3"/>
      <c r="N42" s="53"/>
    </row>
    <row r="43" spans="1:14" ht="14.25" customHeight="1" x14ac:dyDescent="0.3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3"/>
      <c r="N43" s="53"/>
    </row>
    <row r="44" spans="1:14" ht="14.25" customHeight="1" x14ac:dyDescent="0.3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3"/>
      <c r="N44" s="53"/>
    </row>
    <row r="45" spans="1:14" ht="14.25" customHeight="1" x14ac:dyDescent="0.3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3"/>
      <c r="N45" s="53"/>
    </row>
    <row r="46" spans="1:14" ht="14.25" customHeight="1" x14ac:dyDescent="0.3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3"/>
      <c r="N46" s="53"/>
    </row>
    <row r="47" spans="1:14" ht="14.25" customHeight="1" x14ac:dyDescent="0.3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3"/>
      <c r="N47" s="53"/>
    </row>
    <row r="48" spans="1:14" ht="14.25" customHeight="1" x14ac:dyDescent="0.3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3"/>
    </row>
    <row r="49" spans="1:14" ht="14.25" customHeight="1" x14ac:dyDescent="0.3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3"/>
    </row>
    <row r="50" spans="1:14" ht="14.25" customHeight="1" x14ac:dyDescent="0.3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3"/>
    </row>
    <row r="51" spans="1:14" ht="14.25" customHeight="1" x14ac:dyDescent="0.3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3"/>
    </row>
    <row r="52" spans="1:14" ht="14.25" customHeight="1" x14ac:dyDescent="0.3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3"/>
    </row>
    <row r="53" spans="1:14" ht="14.25" customHeight="1" x14ac:dyDescent="0.3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3"/>
    </row>
    <row r="54" spans="1:14" ht="14.25" customHeight="1" x14ac:dyDescent="0.3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3"/>
    </row>
    <row r="55" spans="1:14" ht="14.25" customHeight="1" x14ac:dyDescent="0.3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3"/>
    </row>
    <row r="56" spans="1:14" ht="14.25" customHeight="1" x14ac:dyDescent="0.3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3"/>
    </row>
    <row r="57" spans="1:14" ht="14.25" customHeight="1" x14ac:dyDescent="0.3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3"/>
    </row>
    <row r="58" spans="1:14" ht="14.25" customHeight="1" x14ac:dyDescent="0.3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3"/>
    </row>
    <row r="59" spans="1:14" ht="14.25" customHeight="1" x14ac:dyDescent="0.3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3"/>
    </row>
    <row r="60" spans="1:14" ht="14.25" customHeight="1" x14ac:dyDescent="0.3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3"/>
    </row>
    <row r="61" spans="1:14" ht="14.25" customHeight="1" x14ac:dyDescent="0.3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3"/>
    </row>
    <row r="62" spans="1:14" ht="14.25" customHeight="1" x14ac:dyDescent="0.3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3"/>
    </row>
    <row r="63" spans="1:14" ht="14.25" customHeight="1" x14ac:dyDescent="0.3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3"/>
    </row>
    <row r="64" spans="1:14" ht="14.25" customHeight="1" x14ac:dyDescent="0.3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3"/>
    </row>
    <row r="65" spans="1:14" ht="14.25" customHeight="1" x14ac:dyDescent="0.3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3"/>
    </row>
    <row r="66" spans="1:14" ht="14.25" customHeight="1" x14ac:dyDescent="0.3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3"/>
    </row>
    <row r="67" spans="1:14" ht="14.25" customHeight="1" x14ac:dyDescent="0.3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3"/>
      <c r="N67" s="53"/>
    </row>
    <row r="68" spans="1:14" ht="14.25" customHeight="1" x14ac:dyDescent="0.3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3"/>
      <c r="N68" s="53"/>
    </row>
    <row r="69" spans="1:14" ht="14.25" customHeight="1" x14ac:dyDescent="0.3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3"/>
      <c r="N69" s="53"/>
    </row>
    <row r="70" spans="1:14" ht="14.25" customHeight="1" x14ac:dyDescent="0.3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3"/>
      <c r="N70" s="53"/>
    </row>
    <row r="71" spans="1:14" ht="14.25" customHeight="1" x14ac:dyDescent="0.3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3"/>
      <c r="N71" s="53"/>
    </row>
    <row r="72" spans="1:14" ht="14.25" customHeight="1" x14ac:dyDescent="0.3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3"/>
      <c r="N72" s="53"/>
    </row>
    <row r="73" spans="1:14" ht="14.25" customHeight="1" x14ac:dyDescent="0.3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3"/>
      <c r="N73" s="53"/>
    </row>
    <row r="74" spans="1:14" ht="14.25" customHeight="1" x14ac:dyDescent="0.3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3"/>
      <c r="N74" s="53"/>
    </row>
    <row r="75" spans="1:14" ht="14.25" customHeight="1" x14ac:dyDescent="0.3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3"/>
      <c r="N75" s="53"/>
    </row>
    <row r="76" spans="1:14" x14ac:dyDescent="0.3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3"/>
      <c r="N76" s="53"/>
    </row>
    <row r="77" spans="1:14" x14ac:dyDescent="0.3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3"/>
      <c r="N77" s="53"/>
    </row>
    <row r="78" spans="1:14" x14ac:dyDescent="0.3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3"/>
      <c r="N78" s="53"/>
    </row>
    <row r="79" spans="1:14" x14ac:dyDescent="0.3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3"/>
      <c r="N79" s="53"/>
    </row>
    <row r="80" spans="1:14" x14ac:dyDescent="0.3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3"/>
      <c r="N80" s="53"/>
    </row>
    <row r="81" spans="1:14" x14ac:dyDescent="0.3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3"/>
      <c r="N81" s="53"/>
    </row>
    <row r="82" spans="1:14" x14ac:dyDescent="0.3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3"/>
      <c r="N82" s="53"/>
    </row>
    <row r="83" spans="1:14" x14ac:dyDescent="0.3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3"/>
      <c r="N83" s="53"/>
    </row>
    <row r="84" spans="1:14" x14ac:dyDescent="0.3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3"/>
      <c r="N84" s="53"/>
    </row>
    <row r="85" spans="1:14" x14ac:dyDescent="0.3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3"/>
      <c r="N85" s="53"/>
    </row>
    <row r="86" spans="1:14" x14ac:dyDescent="0.3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3"/>
      <c r="N86" s="53"/>
    </row>
    <row r="87" spans="1:14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3"/>
      <c r="N87" s="53"/>
    </row>
    <row r="88" spans="1:14" x14ac:dyDescent="0.3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3"/>
      <c r="N88" s="53"/>
    </row>
    <row r="89" spans="1:14" x14ac:dyDescent="0.3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3"/>
      <c r="N89" s="53"/>
    </row>
    <row r="90" spans="1:14" x14ac:dyDescent="0.3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3"/>
      <c r="N90" s="53"/>
    </row>
    <row r="91" spans="1:14" x14ac:dyDescent="0.3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3"/>
      <c r="N91" s="53"/>
    </row>
    <row r="92" spans="1:14" x14ac:dyDescent="0.3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3"/>
      <c r="N92" s="53"/>
    </row>
    <row r="93" spans="1:14" x14ac:dyDescent="0.3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3"/>
      <c r="N93" s="53"/>
    </row>
    <row r="94" spans="1:14" x14ac:dyDescent="0.3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3"/>
      <c r="N94" s="53"/>
    </row>
    <row r="95" spans="1:14" x14ac:dyDescent="0.3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3"/>
      <c r="N95" s="53"/>
    </row>
    <row r="96" spans="1:14" x14ac:dyDescent="0.3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3"/>
      <c r="N96" s="53"/>
    </row>
    <row r="97" spans="1:14" x14ac:dyDescent="0.3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3"/>
      <c r="N97" s="53"/>
    </row>
    <row r="98" spans="1:14" x14ac:dyDescent="0.3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3"/>
      <c r="N98" s="53"/>
    </row>
    <row r="99" spans="1:14" x14ac:dyDescent="0.3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3"/>
      <c r="N99" s="53"/>
    </row>
    <row r="100" spans="1:14" x14ac:dyDescent="0.3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3"/>
      <c r="N100" s="53"/>
    </row>
    <row r="101" spans="1:14" x14ac:dyDescent="0.3">
      <c r="A101" s="52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3"/>
      <c r="N101" s="53"/>
    </row>
    <row r="102" spans="1:14" x14ac:dyDescent="0.3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3"/>
      <c r="N102" s="53"/>
    </row>
    <row r="103" spans="1:14" x14ac:dyDescent="0.3">
      <c r="A103" s="52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3"/>
      <c r="N103" s="53"/>
    </row>
    <row r="104" spans="1:14" x14ac:dyDescent="0.3">
      <c r="A104" s="52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3"/>
      <c r="N104" s="53"/>
    </row>
    <row r="105" spans="1:14" x14ac:dyDescent="0.3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3"/>
      <c r="N105" s="53"/>
    </row>
    <row r="106" spans="1:14" x14ac:dyDescent="0.3">
      <c r="A106" s="52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3"/>
      <c r="N106" s="53"/>
    </row>
    <row r="107" spans="1:14" x14ac:dyDescent="0.3">
      <c r="A107" s="52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3"/>
      <c r="N107" s="53"/>
    </row>
    <row r="108" spans="1:14" x14ac:dyDescent="0.3">
      <c r="A108" s="52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3"/>
      <c r="N108" s="53"/>
    </row>
    <row r="109" spans="1:14" x14ac:dyDescent="0.3">
      <c r="A109" s="52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3"/>
      <c r="N109" s="53"/>
    </row>
    <row r="110" spans="1:14" x14ac:dyDescent="0.3">
      <c r="A110" s="52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3"/>
      <c r="N110" s="53"/>
    </row>
    <row r="111" spans="1:14" x14ac:dyDescent="0.3">
      <c r="A111" s="52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3"/>
      <c r="N111" s="53"/>
    </row>
    <row r="112" spans="1:14" x14ac:dyDescent="0.3">
      <c r="A112" s="52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3"/>
      <c r="N112" s="53"/>
    </row>
    <row r="113" spans="1:14" x14ac:dyDescent="0.3">
      <c r="A113" s="52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3"/>
      <c r="N113" s="53"/>
    </row>
    <row r="114" spans="1:14" x14ac:dyDescent="0.3">
      <c r="A114" s="52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3"/>
      <c r="N114" s="53"/>
    </row>
    <row r="115" spans="1:14" x14ac:dyDescent="0.3">
      <c r="A115" s="52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3"/>
      <c r="N115" s="53"/>
    </row>
    <row r="116" spans="1:14" x14ac:dyDescent="0.3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3"/>
      <c r="N116" s="53"/>
    </row>
    <row r="117" spans="1:14" x14ac:dyDescent="0.3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3"/>
      <c r="N117" s="53"/>
    </row>
    <row r="118" spans="1:14" x14ac:dyDescent="0.3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3"/>
      <c r="N118" s="53"/>
    </row>
    <row r="119" spans="1:14" x14ac:dyDescent="0.3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3"/>
      <c r="N119" s="53"/>
    </row>
    <row r="120" spans="1:14" x14ac:dyDescent="0.3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3"/>
      <c r="N120" s="53"/>
    </row>
    <row r="121" spans="1:14" x14ac:dyDescent="0.3">
      <c r="A121" s="52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3"/>
      <c r="N121" s="53"/>
    </row>
    <row r="122" spans="1:14" x14ac:dyDescent="0.3">
      <c r="A122" s="52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3"/>
      <c r="N122" s="53"/>
    </row>
    <row r="123" spans="1:14" x14ac:dyDescent="0.3">
      <c r="A123" s="52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3"/>
      <c r="N123" s="53"/>
    </row>
    <row r="124" spans="1:14" x14ac:dyDescent="0.3">
      <c r="A124" s="52"/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3"/>
      <c r="N124" s="53"/>
    </row>
    <row r="125" spans="1:14" x14ac:dyDescent="0.3">
      <c r="A125" s="52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3"/>
      <c r="N125" s="53"/>
    </row>
    <row r="126" spans="1:14" x14ac:dyDescent="0.3">
      <c r="A126" s="52"/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3"/>
      <c r="N126" s="53"/>
    </row>
    <row r="127" spans="1:14" x14ac:dyDescent="0.3">
      <c r="A127" s="5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3"/>
      <c r="N127" s="53"/>
    </row>
    <row r="128" spans="1:14" x14ac:dyDescent="0.3">
      <c r="A128" s="5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3"/>
      <c r="N128" s="53"/>
    </row>
    <row r="129" spans="1:14" x14ac:dyDescent="0.3">
      <c r="A129" s="5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3"/>
      <c r="N129" s="53"/>
    </row>
    <row r="130" spans="1:14" x14ac:dyDescent="0.3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3"/>
      <c r="N130" s="53"/>
    </row>
    <row r="131" spans="1:14" x14ac:dyDescent="0.3">
      <c r="A131" s="5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3"/>
      <c r="N131" s="53"/>
    </row>
    <row r="134" spans="1:14" x14ac:dyDescent="0.3">
      <c r="A134" s="52"/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3"/>
      <c r="N134" s="53"/>
    </row>
    <row r="135" spans="1:14" x14ac:dyDescent="0.3">
      <c r="A135" s="52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3"/>
      <c r="N135" s="53"/>
    </row>
    <row r="136" spans="1:14" x14ac:dyDescent="0.3">
      <c r="A136" s="52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3"/>
      <c r="N136" s="53"/>
    </row>
    <row r="137" spans="1:14" x14ac:dyDescent="0.3">
      <c r="A137" s="52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3"/>
      <c r="N137" s="53"/>
    </row>
    <row r="138" spans="1:14" x14ac:dyDescent="0.3">
      <c r="A138" s="52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3"/>
      <c r="N138" s="53"/>
    </row>
    <row r="139" spans="1:14" x14ac:dyDescent="0.3">
      <c r="A139" s="52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3"/>
      <c r="N139" s="53"/>
    </row>
    <row r="140" spans="1:14" x14ac:dyDescent="0.3">
      <c r="A140" s="52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3"/>
      <c r="N140" s="53"/>
    </row>
    <row r="141" spans="1:14" x14ac:dyDescent="0.3">
      <c r="A141" s="52"/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3"/>
      <c r="N141" s="53"/>
    </row>
    <row r="142" spans="1:14" x14ac:dyDescent="0.3">
      <c r="A142" s="52"/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3"/>
      <c r="N142" s="53"/>
    </row>
    <row r="143" spans="1:14" x14ac:dyDescent="0.3">
      <c r="A143" s="52"/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3"/>
      <c r="N143" s="53"/>
    </row>
    <row r="144" spans="1:14" x14ac:dyDescent="0.3">
      <c r="A144" s="52"/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3"/>
      <c r="N144" s="53"/>
    </row>
    <row r="145" spans="1:14" x14ac:dyDescent="0.3">
      <c r="A145" s="52"/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3"/>
      <c r="N145" s="53"/>
    </row>
    <row r="146" spans="1:14" x14ac:dyDescent="0.3">
      <c r="A146" s="52"/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3"/>
      <c r="N146" s="53"/>
    </row>
    <row r="147" spans="1:14" x14ac:dyDescent="0.3">
      <c r="A147" s="52"/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3"/>
      <c r="N147" s="53"/>
    </row>
    <row r="148" spans="1:14" x14ac:dyDescent="0.3">
      <c r="A148" s="52"/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3"/>
      <c r="N148" s="53"/>
    </row>
    <row r="149" spans="1:14" x14ac:dyDescent="0.3">
      <c r="A149" s="52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3"/>
      <c r="N149" s="53"/>
    </row>
    <row r="150" spans="1:14" x14ac:dyDescent="0.3">
      <c r="A150" s="52"/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3"/>
      <c r="N150" s="53"/>
    </row>
    <row r="151" spans="1:14" x14ac:dyDescent="0.3">
      <c r="A151" s="52"/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3"/>
      <c r="N151" s="53"/>
    </row>
    <row r="152" spans="1:14" x14ac:dyDescent="0.3">
      <c r="A152" s="52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3"/>
      <c r="N152" s="53"/>
    </row>
    <row r="153" spans="1:14" x14ac:dyDescent="0.3">
      <c r="A153" s="52"/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3"/>
      <c r="N153" s="53"/>
    </row>
    <row r="154" spans="1:14" x14ac:dyDescent="0.3">
      <c r="A154" s="52"/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3"/>
      <c r="N154" s="53"/>
    </row>
    <row r="155" spans="1:14" x14ac:dyDescent="0.3">
      <c r="A155" s="52"/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3"/>
      <c r="N155" s="53"/>
    </row>
    <row r="156" spans="1:14" x14ac:dyDescent="0.3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3"/>
      <c r="N156" s="53"/>
    </row>
    <row r="157" spans="1:14" x14ac:dyDescent="0.3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3"/>
      <c r="N157" s="53"/>
    </row>
    <row r="158" spans="1:14" x14ac:dyDescent="0.3">
      <c r="A158" s="52"/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3"/>
      <c r="N158" s="53"/>
    </row>
    <row r="159" spans="1:14" x14ac:dyDescent="0.3">
      <c r="A159" s="52"/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3"/>
      <c r="N159" s="53"/>
    </row>
    <row r="160" spans="1:14" x14ac:dyDescent="0.3">
      <c r="A160" s="52"/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3"/>
      <c r="N160" s="53"/>
    </row>
    <row r="161" spans="1:14" x14ac:dyDescent="0.3">
      <c r="A161" s="52"/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3"/>
      <c r="N161" s="53"/>
    </row>
    <row r="162" spans="1:14" x14ac:dyDescent="0.3">
      <c r="A162" s="52"/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3"/>
      <c r="N162" s="53"/>
    </row>
    <row r="163" spans="1:14" x14ac:dyDescent="0.3">
      <c r="A163" s="52"/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3"/>
      <c r="N163" s="53"/>
    </row>
    <row r="164" spans="1:14" x14ac:dyDescent="0.3">
      <c r="A164" s="52"/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3"/>
      <c r="N164" s="53"/>
    </row>
    <row r="165" spans="1:14" x14ac:dyDescent="0.3">
      <c r="A165" s="52"/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3"/>
      <c r="N165" s="53"/>
    </row>
    <row r="166" spans="1:14" x14ac:dyDescent="0.3">
      <c r="A166" s="52"/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3"/>
      <c r="N166" s="53"/>
    </row>
    <row r="167" spans="1:14" x14ac:dyDescent="0.3">
      <c r="A167" s="52"/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3"/>
      <c r="N167" s="53"/>
    </row>
    <row r="168" spans="1:14" x14ac:dyDescent="0.3">
      <c r="A168" s="52"/>
      <c r="B168" s="52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3"/>
      <c r="N168" s="53"/>
    </row>
    <row r="169" spans="1:14" x14ac:dyDescent="0.3">
      <c r="A169" s="52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3"/>
      <c r="N169" s="53"/>
    </row>
    <row r="170" spans="1:14" x14ac:dyDescent="0.3">
      <c r="A170" s="52"/>
      <c r="B170" s="52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3"/>
      <c r="N170" s="53"/>
    </row>
    <row r="171" spans="1:14" x14ac:dyDescent="0.3">
      <c r="A171" s="52"/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3"/>
      <c r="N171" s="53"/>
    </row>
    <row r="172" spans="1:14" x14ac:dyDescent="0.3">
      <c r="A172" s="52"/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3"/>
      <c r="N172" s="53"/>
    </row>
    <row r="173" spans="1:14" x14ac:dyDescent="0.3">
      <c r="A173" s="52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3"/>
      <c r="N173" s="53"/>
    </row>
    <row r="174" spans="1:14" x14ac:dyDescent="0.3">
      <c r="A174" s="52"/>
      <c r="B174" s="52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3"/>
      <c r="N174" s="53"/>
    </row>
    <row r="175" spans="1:14" x14ac:dyDescent="0.3">
      <c r="A175" s="52"/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3"/>
      <c r="N175" s="53"/>
    </row>
    <row r="176" spans="1:14" x14ac:dyDescent="0.3">
      <c r="A176" s="52"/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3"/>
      <c r="N176" s="53"/>
    </row>
    <row r="177" spans="1:14" x14ac:dyDescent="0.3">
      <c r="A177" s="52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3"/>
      <c r="N177" s="53"/>
    </row>
    <row r="180" spans="1:14" x14ac:dyDescent="0.3">
      <c r="A180" s="52"/>
      <c r="B180" s="52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3"/>
      <c r="N180" s="53"/>
    </row>
    <row r="181" spans="1:14" x14ac:dyDescent="0.3">
      <c r="A181" s="52"/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3"/>
      <c r="N181" s="53"/>
    </row>
    <row r="182" spans="1:14" x14ac:dyDescent="0.3">
      <c r="A182" s="52"/>
      <c r="B182" s="52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3"/>
      <c r="N182" s="53"/>
    </row>
    <row r="183" spans="1:14" x14ac:dyDescent="0.3">
      <c r="A183" s="52"/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3"/>
      <c r="N183" s="53"/>
    </row>
    <row r="184" spans="1:14" x14ac:dyDescent="0.3">
      <c r="A184" s="52"/>
      <c r="B184" s="52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3"/>
      <c r="N184" s="53"/>
    </row>
    <row r="185" spans="1:14" x14ac:dyDescent="0.3">
      <c r="A185" s="52"/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3"/>
      <c r="N185" s="53"/>
    </row>
    <row r="186" spans="1:14" x14ac:dyDescent="0.3">
      <c r="A186" s="52"/>
      <c r="B186" s="52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3"/>
      <c r="N186" s="53"/>
    </row>
    <row r="187" spans="1:14" x14ac:dyDescent="0.3">
      <c r="A187" s="52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3"/>
      <c r="N187" s="53"/>
    </row>
    <row r="188" spans="1:14" x14ac:dyDescent="0.3">
      <c r="A188" s="52"/>
      <c r="B188" s="52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3"/>
      <c r="N188" s="53"/>
    </row>
    <row r="189" spans="1:14" x14ac:dyDescent="0.3">
      <c r="A189" s="52"/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3"/>
      <c r="N189" s="53"/>
    </row>
    <row r="190" spans="1:14" x14ac:dyDescent="0.3">
      <c r="A190" s="52"/>
      <c r="B190" s="52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3"/>
      <c r="N190" s="53"/>
    </row>
    <row r="191" spans="1:14" x14ac:dyDescent="0.3">
      <c r="A191" s="52"/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3"/>
      <c r="N191" s="53"/>
    </row>
    <row r="192" spans="1:14" x14ac:dyDescent="0.3">
      <c r="A192" s="52"/>
      <c r="B192" s="52"/>
      <c r="C192" s="52"/>
      <c r="D192" s="52"/>
      <c r="E192" s="52"/>
      <c r="F192" s="52"/>
      <c r="G192" s="52"/>
      <c r="H192" s="52"/>
      <c r="I192" s="52"/>
      <c r="J192" s="52"/>
      <c r="K192" s="52"/>
      <c r="L192" s="52"/>
      <c r="M192" s="53"/>
      <c r="N192" s="53"/>
    </row>
    <row r="193" spans="1:14" x14ac:dyDescent="0.3">
      <c r="A193" s="52"/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2"/>
      <c r="M193" s="53"/>
      <c r="N193" s="53"/>
    </row>
    <row r="194" spans="1:14" x14ac:dyDescent="0.3">
      <c r="A194" s="52"/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3"/>
      <c r="N194" s="53"/>
    </row>
    <row r="195" spans="1:14" x14ac:dyDescent="0.3">
      <c r="A195" s="52"/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3"/>
      <c r="N195" s="53"/>
    </row>
    <row r="196" spans="1:14" x14ac:dyDescent="0.3">
      <c r="A196" s="52"/>
      <c r="B196" s="52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3"/>
      <c r="N196" s="53"/>
    </row>
    <row r="197" spans="1:14" x14ac:dyDescent="0.3">
      <c r="A197" s="52"/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3"/>
      <c r="N197" s="53"/>
    </row>
    <row r="198" spans="1:14" x14ac:dyDescent="0.3">
      <c r="A198" s="52"/>
      <c r="B198" s="52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3"/>
      <c r="N198" s="53"/>
    </row>
    <row r="199" spans="1:14" x14ac:dyDescent="0.3">
      <c r="A199" s="52"/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3"/>
      <c r="N199" s="53"/>
    </row>
    <row r="200" spans="1:14" x14ac:dyDescent="0.3">
      <c r="A200" s="52"/>
      <c r="B200" s="52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3"/>
      <c r="N200" s="53"/>
    </row>
    <row r="201" spans="1:14" x14ac:dyDescent="0.3">
      <c r="A201" s="52"/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3"/>
      <c r="N201" s="53"/>
    </row>
    <row r="202" spans="1:14" x14ac:dyDescent="0.3">
      <c r="A202" s="52"/>
      <c r="B202" s="52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3"/>
      <c r="N202" s="53"/>
    </row>
    <row r="203" spans="1:14" x14ac:dyDescent="0.3">
      <c r="A203" s="52"/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3"/>
      <c r="N203" s="53"/>
    </row>
    <row r="204" spans="1:14" x14ac:dyDescent="0.3">
      <c r="A204" s="52"/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3"/>
      <c r="N204" s="53"/>
    </row>
    <row r="205" spans="1:14" x14ac:dyDescent="0.3">
      <c r="A205" s="52"/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3"/>
      <c r="N205" s="53"/>
    </row>
    <row r="206" spans="1:14" x14ac:dyDescent="0.3">
      <c r="A206" s="52"/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3"/>
      <c r="N206" s="53"/>
    </row>
    <row r="207" spans="1:14" x14ac:dyDescent="0.3">
      <c r="A207" s="52"/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3"/>
      <c r="N207" s="53"/>
    </row>
    <row r="208" spans="1:14" x14ac:dyDescent="0.3">
      <c r="A208" s="52"/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3"/>
      <c r="N208" s="53"/>
    </row>
    <row r="209" spans="1:14" x14ac:dyDescent="0.3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3"/>
      <c r="N209" s="53"/>
    </row>
    <row r="210" spans="1:14" x14ac:dyDescent="0.3">
      <c r="A210" s="52"/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3"/>
      <c r="N210" s="53"/>
    </row>
    <row r="211" spans="1:14" x14ac:dyDescent="0.3">
      <c r="A211" s="52"/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3"/>
      <c r="N211" s="53"/>
    </row>
    <row r="212" spans="1:14" x14ac:dyDescent="0.3">
      <c r="A212" s="52"/>
      <c r="B212" s="52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3"/>
      <c r="N212" s="53"/>
    </row>
    <row r="213" spans="1:14" x14ac:dyDescent="0.3">
      <c r="A213" s="52"/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3"/>
      <c r="N213" s="53"/>
    </row>
    <row r="214" spans="1:14" x14ac:dyDescent="0.3">
      <c r="A214" s="52"/>
      <c r="B214" s="52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3"/>
      <c r="N214" s="53"/>
    </row>
    <row r="215" spans="1:14" x14ac:dyDescent="0.3">
      <c r="A215" s="52"/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3"/>
      <c r="N215" s="53"/>
    </row>
    <row r="216" spans="1:14" x14ac:dyDescent="0.3">
      <c r="A216" s="52"/>
      <c r="B216" s="52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3"/>
      <c r="N216" s="53"/>
    </row>
    <row r="217" spans="1:14" x14ac:dyDescent="0.3">
      <c r="A217" s="52"/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3"/>
      <c r="N217" s="53"/>
    </row>
    <row r="218" spans="1:14" x14ac:dyDescent="0.3">
      <c r="A218" s="52"/>
      <c r="B218" s="52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3"/>
      <c r="N218" s="53"/>
    </row>
    <row r="219" spans="1:14" x14ac:dyDescent="0.3">
      <c r="A219" s="52"/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3"/>
      <c r="N219" s="53"/>
    </row>
    <row r="220" spans="1:14" x14ac:dyDescent="0.3">
      <c r="A220" s="52"/>
      <c r="B220" s="52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3"/>
      <c r="N220" s="53"/>
    </row>
    <row r="224" spans="1:14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5"/>
      <c r="N224" s="55"/>
    </row>
    <row r="225" spans="1:14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5"/>
      <c r="N225" s="55"/>
    </row>
    <row r="226" spans="1:14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5"/>
      <c r="N226" s="55"/>
    </row>
    <row r="227" spans="1:14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5"/>
      <c r="N227" s="55"/>
    </row>
    <row r="228" spans="1:14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5"/>
      <c r="N228" s="55"/>
    </row>
    <row r="229" spans="1:14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5"/>
      <c r="N229" s="55"/>
    </row>
    <row r="230" spans="1:14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5"/>
      <c r="N230" s="55"/>
    </row>
    <row r="231" spans="1:14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5"/>
      <c r="N231" s="55"/>
    </row>
    <row r="232" spans="1:14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5"/>
      <c r="N232" s="55"/>
    </row>
    <row r="233" spans="1:14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5"/>
      <c r="N233" s="55"/>
    </row>
    <row r="234" spans="1:14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5"/>
      <c r="N234" s="55"/>
    </row>
    <row r="235" spans="1:14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5"/>
      <c r="N235" s="55"/>
    </row>
    <row r="236" spans="1:14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5"/>
      <c r="N236" s="55"/>
    </row>
    <row r="237" spans="1:14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5"/>
      <c r="N237" s="55"/>
    </row>
    <row r="238" spans="1:14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5"/>
      <c r="N238" s="55"/>
    </row>
    <row r="239" spans="1:14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5"/>
      <c r="N239" s="55"/>
    </row>
    <row r="240" spans="1:14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5"/>
      <c r="N240" s="55"/>
    </row>
    <row r="241" spans="1:14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5"/>
      <c r="N241" s="55"/>
    </row>
    <row r="242" spans="1:14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5"/>
      <c r="N242" s="55"/>
    </row>
    <row r="243" spans="1:14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5"/>
      <c r="N243" s="55"/>
    </row>
    <row r="244" spans="1:14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5"/>
      <c r="N244" s="55"/>
    </row>
    <row r="245" spans="1:14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7"/>
      <c r="N245" s="57"/>
    </row>
    <row r="246" spans="1:14" x14ac:dyDescent="0.3">
      <c r="A246" s="56"/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7"/>
      <c r="N246" s="57"/>
    </row>
    <row r="247" spans="1:14" x14ac:dyDescent="0.3">
      <c r="A247" s="56"/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7"/>
      <c r="N247" s="57"/>
    </row>
    <row r="248" spans="1:14" x14ac:dyDescent="0.3">
      <c r="A248" s="56"/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7"/>
      <c r="N248" s="57"/>
    </row>
    <row r="249" spans="1:14" x14ac:dyDescent="0.3">
      <c r="A249" s="56"/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7"/>
      <c r="N249" s="57"/>
    </row>
    <row r="250" spans="1:14" x14ac:dyDescent="0.3">
      <c r="A250" s="56"/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7"/>
      <c r="N250" s="57"/>
    </row>
    <row r="251" spans="1:14" x14ac:dyDescent="0.3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9"/>
      <c r="N251" s="5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7EFC-8F34-4A55-A7E8-297DD448CAB9}">
  <sheetPr codeName="Sheet5">
    <tabColor theme="5" tint="-0.249977111117893"/>
  </sheetPr>
  <dimension ref="A1:AV185"/>
  <sheetViews>
    <sheetView workbookViewId="0">
      <selection activeCell="A2" sqref="A2:AV202"/>
    </sheetView>
  </sheetViews>
  <sheetFormatPr defaultRowHeight="14.4" x14ac:dyDescent="0.3"/>
  <cols>
    <col min="1" max="1" width="17.6640625" customWidth="1"/>
    <col min="2" max="2" width="13.5546875" bestFit="1" customWidth="1"/>
    <col min="3" max="3" width="14.6640625" customWidth="1"/>
    <col min="4" max="4" width="14" customWidth="1"/>
    <col min="5" max="5" width="13" customWidth="1"/>
    <col min="6" max="6" width="14.6640625" customWidth="1"/>
    <col min="8" max="8" width="10.88671875" customWidth="1"/>
    <col min="9" max="9" width="22" customWidth="1"/>
    <col min="10" max="10" width="10.109375" customWidth="1"/>
    <col min="12" max="12" width="21" customWidth="1"/>
    <col min="13" max="13" width="10.109375" customWidth="1"/>
    <col min="14" max="14" width="18.88671875" customWidth="1"/>
    <col min="16" max="16" width="23.33203125" customWidth="1"/>
    <col min="17" max="17" width="16.33203125" customWidth="1"/>
    <col min="19" max="19" width="16.109375" customWidth="1"/>
    <col min="20" max="20" width="15.33203125" customWidth="1"/>
    <col min="22" max="22" width="10.44140625" customWidth="1"/>
    <col min="23" max="23" width="13.6640625" customWidth="1"/>
    <col min="24" max="24" width="14.6640625" customWidth="1"/>
    <col min="25" max="25" width="13.5546875" customWidth="1"/>
    <col min="26" max="26" width="14.6640625" customWidth="1"/>
    <col min="27" max="27" width="25.33203125" customWidth="1"/>
    <col min="29" max="29" width="12.6640625" customWidth="1"/>
    <col min="30" max="30" width="11.5546875" customWidth="1"/>
    <col min="31" max="31" width="11.33203125" customWidth="1"/>
    <col min="32" max="32" width="22.33203125" customWidth="1"/>
    <col min="33" max="33" width="19.5546875" customWidth="1"/>
    <col min="34" max="34" width="15.33203125" customWidth="1"/>
    <col min="35" max="35" width="15.88671875" customWidth="1"/>
    <col min="36" max="36" width="15.6640625" customWidth="1"/>
    <col min="39" max="39" width="11" customWidth="1"/>
    <col min="41" max="41" width="16.33203125" customWidth="1"/>
    <col min="43" max="43" width="16.44140625" customWidth="1"/>
    <col min="44" max="44" width="16.33203125" customWidth="1"/>
    <col min="45" max="45" width="14.33203125" customWidth="1"/>
    <col min="47" max="47" width="10.5546875" customWidth="1"/>
  </cols>
  <sheetData>
    <row r="1" spans="1:48" x14ac:dyDescent="0.3">
      <c r="A1" t="s">
        <v>90</v>
      </c>
      <c r="B1" s="4" t="s">
        <v>128</v>
      </c>
      <c r="C1" s="4" t="s">
        <v>133</v>
      </c>
      <c r="D1" t="s">
        <v>91</v>
      </c>
      <c r="E1" t="s">
        <v>92</v>
      </c>
      <c r="F1" t="s">
        <v>93</v>
      </c>
      <c r="G1" t="s">
        <v>338</v>
      </c>
      <c r="H1" t="s">
        <v>95</v>
      </c>
      <c r="I1" t="s">
        <v>96</v>
      </c>
      <c r="J1" s="4" t="s">
        <v>6</v>
      </c>
      <c r="K1" s="4" t="s">
        <v>7</v>
      </c>
      <c r="L1" t="s">
        <v>97</v>
      </c>
      <c r="M1" t="s">
        <v>73</v>
      </c>
      <c r="N1" s="4" t="s">
        <v>86</v>
      </c>
      <c r="O1" s="4" t="s">
        <v>132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4</v>
      </c>
      <c r="V1" t="s">
        <v>103</v>
      </c>
      <c r="W1" t="s">
        <v>104</v>
      </c>
      <c r="X1" t="s">
        <v>105</v>
      </c>
      <c r="Y1" t="s">
        <v>106</v>
      </c>
      <c r="Z1" t="s">
        <v>107</v>
      </c>
      <c r="AA1" t="s">
        <v>108</v>
      </c>
      <c r="AB1" t="s">
        <v>94</v>
      </c>
      <c r="AC1" t="s">
        <v>10</v>
      </c>
      <c r="AD1" t="s">
        <v>109</v>
      </c>
      <c r="AE1" t="s">
        <v>110</v>
      </c>
      <c r="AF1" t="s">
        <v>111</v>
      </c>
      <c r="AG1" t="s">
        <v>112</v>
      </c>
      <c r="AH1" t="s">
        <v>113</v>
      </c>
      <c r="AI1" t="s">
        <v>114</v>
      </c>
      <c r="AJ1" t="s">
        <v>115</v>
      </c>
      <c r="AK1" t="s">
        <v>116</v>
      </c>
      <c r="AL1" s="4" t="s">
        <v>130</v>
      </c>
      <c r="AM1" t="s">
        <v>13</v>
      </c>
      <c r="AN1" s="4" t="s">
        <v>63</v>
      </c>
      <c r="AO1" t="s">
        <v>117</v>
      </c>
      <c r="AP1" t="s">
        <v>118</v>
      </c>
      <c r="AQ1" t="s">
        <v>14</v>
      </c>
      <c r="AR1" t="s">
        <v>119</v>
      </c>
      <c r="AS1" t="s">
        <v>120</v>
      </c>
      <c r="AT1" t="s">
        <v>121</v>
      </c>
      <c r="AU1" s="4" t="s">
        <v>15</v>
      </c>
      <c r="AV1" s="4" t="s">
        <v>131</v>
      </c>
    </row>
    <row r="7" spans="1:48" x14ac:dyDescent="0.3">
      <c r="W7" s="1"/>
      <c r="AO7" s="1"/>
    </row>
    <row r="14" spans="1:48" x14ac:dyDescent="0.3">
      <c r="W14" s="1"/>
      <c r="AO14" s="1"/>
    </row>
    <row r="27" spans="23:41" x14ac:dyDescent="0.3">
      <c r="W27" s="1"/>
      <c r="AO27" s="1"/>
    </row>
    <row r="50" spans="23:41" x14ac:dyDescent="0.3">
      <c r="W50" s="1"/>
      <c r="AO50" s="1"/>
    </row>
    <row r="51" spans="23:41" x14ac:dyDescent="0.3">
      <c r="W51" s="1"/>
      <c r="AO51" s="1"/>
    </row>
    <row r="70" spans="23:41" x14ac:dyDescent="0.3">
      <c r="W70" s="1"/>
      <c r="AO70" s="1"/>
    </row>
    <row r="73" spans="23:41" x14ac:dyDescent="0.3">
      <c r="W73" s="1"/>
      <c r="AO73" s="1"/>
    </row>
    <row r="77" spans="23:41" x14ac:dyDescent="0.3">
      <c r="W77" s="1"/>
      <c r="AO77" s="1"/>
    </row>
    <row r="79" spans="23:41" x14ac:dyDescent="0.3">
      <c r="W79" s="1"/>
      <c r="AO79" s="1"/>
    </row>
    <row r="80" spans="23:41" x14ac:dyDescent="0.3">
      <c r="W80" s="1"/>
      <c r="AO80" s="1"/>
    </row>
    <row r="81" spans="23:41" x14ac:dyDescent="0.3">
      <c r="W81" s="1"/>
      <c r="AO81" s="1"/>
    </row>
    <row r="85" spans="23:41" x14ac:dyDescent="0.3">
      <c r="W85" s="1"/>
      <c r="AO85" s="1"/>
    </row>
    <row r="86" spans="23:41" x14ac:dyDescent="0.3">
      <c r="W86" s="1"/>
      <c r="AO86" s="1"/>
    </row>
    <row r="87" spans="23:41" x14ac:dyDescent="0.3">
      <c r="W87" s="1"/>
      <c r="AO87" s="1"/>
    </row>
    <row r="89" spans="23:41" x14ac:dyDescent="0.3">
      <c r="W89" s="1"/>
      <c r="AO89" s="1"/>
    </row>
    <row r="90" spans="23:41" x14ac:dyDescent="0.3">
      <c r="W90" s="1"/>
      <c r="AO90" s="1"/>
    </row>
    <row r="91" spans="23:41" x14ac:dyDescent="0.3">
      <c r="W91" s="1"/>
      <c r="AO91" s="1"/>
    </row>
    <row r="93" spans="23:41" x14ac:dyDescent="0.3">
      <c r="W93" s="1"/>
      <c r="AO93" s="1"/>
    </row>
    <row r="96" spans="23:41" x14ac:dyDescent="0.3">
      <c r="W96" s="1"/>
      <c r="AO96" s="1"/>
    </row>
    <row r="97" spans="23:41" x14ac:dyDescent="0.3">
      <c r="W97" s="1"/>
      <c r="AO97" s="1"/>
    </row>
    <row r="98" spans="23:41" x14ac:dyDescent="0.3">
      <c r="W98" s="1"/>
      <c r="AO98" s="1"/>
    </row>
    <row r="102" spans="23:41" x14ac:dyDescent="0.3">
      <c r="W102" s="1"/>
      <c r="AO102" s="1"/>
    </row>
    <row r="103" spans="23:41" x14ac:dyDescent="0.3">
      <c r="W103" s="1"/>
      <c r="AO103" s="1"/>
    </row>
    <row r="104" spans="23:41" x14ac:dyDescent="0.3">
      <c r="W104" s="1"/>
      <c r="AO104" s="1"/>
    </row>
    <row r="105" spans="23:41" x14ac:dyDescent="0.3">
      <c r="W105" s="1"/>
      <c r="AO105" s="1"/>
    </row>
    <row r="108" spans="23:41" x14ac:dyDescent="0.3">
      <c r="W108" s="1"/>
      <c r="AO108" s="1"/>
    </row>
    <row r="109" spans="23:41" x14ac:dyDescent="0.3">
      <c r="W109" s="1"/>
      <c r="AO109" s="1"/>
    </row>
    <row r="114" spans="23:23" x14ac:dyDescent="0.3">
      <c r="W114" s="1"/>
    </row>
    <row r="150" spans="23:23" x14ac:dyDescent="0.3">
      <c r="W150" s="1"/>
    </row>
    <row r="165" spans="23:23" x14ac:dyDescent="0.3">
      <c r="W165" s="1"/>
    </row>
    <row r="179" spans="23:23" x14ac:dyDescent="0.3">
      <c r="W179" s="1"/>
    </row>
    <row r="185" spans="23:23" x14ac:dyDescent="0.3">
      <c r="W185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7275-1A0C-48ED-B903-4F971BCB7DC1}">
  <sheetPr codeName="Sheet6">
    <tabColor rgb="FF00B0F0"/>
  </sheetPr>
  <dimension ref="A1:V60"/>
  <sheetViews>
    <sheetView topLeftCell="A19" zoomScale="70" zoomScaleNormal="70" workbookViewId="0">
      <selection activeCell="H35" sqref="H35"/>
    </sheetView>
  </sheetViews>
  <sheetFormatPr defaultRowHeight="14.4" x14ac:dyDescent="0.3"/>
  <cols>
    <col min="1" max="1" width="26.5546875" bestFit="1" customWidth="1"/>
    <col min="12" max="13" width="10.5546875" customWidth="1"/>
    <col min="16" max="16" width="60.6640625" bestFit="1" customWidth="1"/>
    <col min="19" max="19" width="12.109375" customWidth="1"/>
    <col min="22" max="22" width="11.33203125" customWidth="1"/>
  </cols>
  <sheetData>
    <row r="1" spans="1:16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 t="s">
        <v>140</v>
      </c>
      <c r="M1" s="19" t="s">
        <v>134</v>
      </c>
      <c r="N1" s="19"/>
    </row>
    <row r="2" spans="1:16" ht="15.6" customHeight="1" x14ac:dyDescent="0.3">
      <c r="A2" s="19"/>
      <c r="B2" s="19"/>
      <c r="C2" s="19"/>
      <c r="D2" s="19"/>
      <c r="E2" s="19"/>
      <c r="F2" s="19"/>
      <c r="G2" s="19"/>
      <c r="H2" s="19"/>
      <c r="I2" s="19" t="s">
        <v>124</v>
      </c>
      <c r="J2" s="19">
        <v>1</v>
      </c>
      <c r="K2" s="19"/>
      <c r="L2" s="19" t="s">
        <v>135</v>
      </c>
      <c r="M2" s="19"/>
      <c r="N2" s="19"/>
      <c r="P2" s="32" t="s">
        <v>323</v>
      </c>
    </row>
    <row r="3" spans="1:16" x14ac:dyDescent="0.3">
      <c r="A3" s="19"/>
      <c r="B3" s="19"/>
      <c r="C3" s="19"/>
      <c r="D3" s="19"/>
      <c r="E3" s="19"/>
      <c r="F3" s="19"/>
      <c r="G3" s="19"/>
      <c r="H3" s="19"/>
      <c r="I3" s="19" t="s">
        <v>122</v>
      </c>
      <c r="J3" s="19">
        <v>2</v>
      </c>
      <c r="K3" s="19"/>
      <c r="L3" s="19" t="s">
        <v>69</v>
      </c>
      <c r="M3" s="19"/>
      <c r="N3" s="19"/>
      <c r="P3" t="s">
        <v>324</v>
      </c>
    </row>
    <row r="4" spans="1:16" ht="13.95" customHeight="1" x14ac:dyDescent="0.3">
      <c r="A4" s="19"/>
      <c r="B4" s="19"/>
      <c r="C4" s="19"/>
      <c r="D4" s="19"/>
      <c r="E4" s="19"/>
      <c r="F4" s="19"/>
      <c r="G4" s="19"/>
      <c r="H4" s="19"/>
      <c r="I4" s="19" t="s">
        <v>125</v>
      </c>
      <c r="J4" s="19">
        <v>3</v>
      </c>
      <c r="K4" s="19"/>
      <c r="L4" s="19" t="s">
        <v>136</v>
      </c>
      <c r="M4" s="19"/>
      <c r="N4" s="19"/>
      <c r="P4" s="32" t="s">
        <v>335</v>
      </c>
    </row>
    <row r="5" spans="1:16" x14ac:dyDescent="0.3">
      <c r="A5" s="19"/>
      <c r="B5" s="19"/>
      <c r="C5" s="19"/>
      <c r="D5" s="19"/>
      <c r="E5" s="19"/>
      <c r="F5" s="19"/>
      <c r="G5" s="19"/>
      <c r="H5" s="19"/>
      <c r="I5" s="19" t="s">
        <v>126</v>
      </c>
      <c r="J5" s="19">
        <v>4</v>
      </c>
      <c r="K5" s="19"/>
      <c r="L5" s="19" t="s">
        <v>137</v>
      </c>
      <c r="M5" s="19">
        <v>1</v>
      </c>
      <c r="N5" s="19"/>
      <c r="P5" t="s">
        <v>336</v>
      </c>
    </row>
    <row r="6" spans="1:16" x14ac:dyDescent="0.3">
      <c r="A6" s="19"/>
      <c r="B6" s="19"/>
      <c r="C6" s="19"/>
      <c r="D6" s="19"/>
      <c r="E6" s="19"/>
      <c r="F6" s="19"/>
      <c r="G6" s="19"/>
      <c r="H6" s="19"/>
      <c r="I6" s="19" t="s">
        <v>390</v>
      </c>
      <c r="J6" s="19">
        <v>5</v>
      </c>
      <c r="K6" s="19"/>
      <c r="L6" s="19" t="s">
        <v>138</v>
      </c>
      <c r="M6" s="19"/>
      <c r="N6" s="19"/>
    </row>
    <row r="7" spans="1:16" x14ac:dyDescent="0.3">
      <c r="A7" s="19"/>
      <c r="B7" s="19"/>
      <c r="C7" s="19"/>
      <c r="D7" s="19"/>
      <c r="E7" s="19"/>
      <c r="F7" s="19"/>
      <c r="G7" s="19"/>
      <c r="H7" s="19"/>
      <c r="I7" s="19" t="s">
        <v>127</v>
      </c>
      <c r="J7" s="19">
        <v>6</v>
      </c>
      <c r="K7" s="19"/>
      <c r="L7" s="19" t="s">
        <v>139</v>
      </c>
      <c r="M7" s="19"/>
      <c r="N7" s="19"/>
    </row>
    <row r="8" spans="1:16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1:16" x14ac:dyDescent="0.3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</row>
    <row r="10" spans="1:16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</row>
    <row r="11" spans="1:16" x14ac:dyDescent="0.3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2" spans="1:16" x14ac:dyDescent="0.3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</row>
    <row r="13" spans="1:16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1:16" x14ac:dyDescent="0.3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 t="s">
        <v>134</v>
      </c>
      <c r="M14" s="19"/>
      <c r="N14" s="19"/>
    </row>
    <row r="15" spans="1:16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 t="str" cm="1">
        <f t="array" ref="L15">INDEX(Table7[port],M5)</f>
        <v>AKL</v>
      </c>
      <c r="M15" s="19"/>
      <c r="N15" s="19"/>
    </row>
    <row r="16" spans="1:16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</row>
    <row r="17" spans="1:22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</row>
    <row r="18" spans="1:22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</row>
    <row r="19" spans="1:22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</row>
    <row r="20" spans="1:22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</row>
    <row r="21" spans="1:22" x14ac:dyDescent="0.3">
      <c r="A21" s="19"/>
      <c r="B21" s="19"/>
      <c r="C21" s="19"/>
      <c r="D21" s="19"/>
      <c r="E21" s="19"/>
      <c r="F21" s="19"/>
      <c r="G21" s="19" t="s">
        <v>322</v>
      </c>
      <c r="H21" s="19"/>
      <c r="I21" s="19" t="s">
        <v>253</v>
      </c>
      <c r="J21" s="19"/>
      <c r="K21" s="19"/>
      <c r="L21" s="20">
        <v>1</v>
      </c>
      <c r="M21" s="21" t="s">
        <v>134</v>
      </c>
      <c r="N21" s="19"/>
    </row>
    <row r="22" spans="1:22" x14ac:dyDescent="0.3">
      <c r="A22" s="19"/>
      <c r="B22" s="19"/>
      <c r="C22" s="19"/>
      <c r="D22" s="19"/>
      <c r="E22" s="19"/>
      <c r="F22" s="19"/>
      <c r="G22" s="19" t="s">
        <v>320</v>
      </c>
      <c r="H22" s="19"/>
      <c r="I22" s="19" t="s">
        <v>254</v>
      </c>
      <c r="J22" s="19"/>
      <c r="K22" s="19"/>
      <c r="L22" s="22"/>
      <c r="M22" s="23" t="str" cm="1">
        <f t="array" ref="M22">INDEX(I21:I23,L21)</f>
        <v>DSR</v>
      </c>
      <c r="N22" s="19"/>
    </row>
    <row r="23" spans="1:22" x14ac:dyDescent="0.3">
      <c r="A23" s="19"/>
      <c r="B23" s="19"/>
      <c r="C23" s="19"/>
      <c r="D23" s="19"/>
      <c r="E23" s="19"/>
      <c r="F23" s="19"/>
      <c r="G23" s="19" t="s">
        <v>321</v>
      </c>
      <c r="H23" s="19"/>
      <c r="I23" s="19" t="s">
        <v>184</v>
      </c>
      <c r="J23" s="19"/>
      <c r="K23" s="19"/>
      <c r="L23" s="19"/>
      <c r="M23" s="19"/>
      <c r="N23" s="19"/>
    </row>
    <row r="24" spans="1:22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</row>
    <row r="28" spans="1:22" x14ac:dyDescent="0.3">
      <c r="S28" t="s">
        <v>304</v>
      </c>
      <c r="T28">
        <v>1</v>
      </c>
      <c r="V28" t="s">
        <v>301</v>
      </c>
    </row>
    <row r="29" spans="1:22" x14ac:dyDescent="0.3">
      <c r="A29" t="s">
        <v>304</v>
      </c>
      <c r="E29">
        <v>7</v>
      </c>
      <c r="S29" t="s">
        <v>378</v>
      </c>
      <c r="T29">
        <v>2</v>
      </c>
      <c r="V29" t="s">
        <v>307</v>
      </c>
    </row>
    <row r="30" spans="1:22" x14ac:dyDescent="0.3">
      <c r="A30" t="s">
        <v>319</v>
      </c>
      <c r="S30" t="s">
        <v>379</v>
      </c>
      <c r="T30">
        <v>3</v>
      </c>
      <c r="V30" t="s">
        <v>303</v>
      </c>
    </row>
    <row r="31" spans="1:22" x14ac:dyDescent="0.3">
      <c r="A31" t="s">
        <v>305</v>
      </c>
      <c r="S31" t="s">
        <v>380</v>
      </c>
      <c r="T31">
        <v>4</v>
      </c>
      <c r="V31" t="s">
        <v>308</v>
      </c>
    </row>
    <row r="32" spans="1:22" x14ac:dyDescent="0.3">
      <c r="A32" t="s">
        <v>296</v>
      </c>
      <c r="E32" t="str" cm="1">
        <f t="array" ref="E32">INDEX(A29:A35,E29)</f>
        <v>CEDO</v>
      </c>
      <c r="L32" t="s">
        <v>301</v>
      </c>
      <c r="S32" t="s">
        <v>300</v>
      </c>
      <c r="T32">
        <v>5</v>
      </c>
      <c r="V32" t="s">
        <v>309</v>
      </c>
    </row>
    <row r="33" spans="1:22" x14ac:dyDescent="0.3">
      <c r="A33" t="s">
        <v>300</v>
      </c>
      <c r="L33" t="s">
        <v>307</v>
      </c>
      <c r="S33" t="s">
        <v>84</v>
      </c>
      <c r="T33">
        <v>7</v>
      </c>
      <c r="V33" t="s">
        <v>84</v>
      </c>
    </row>
    <row r="34" spans="1:22" x14ac:dyDescent="0.3">
      <c r="A34" t="s">
        <v>297</v>
      </c>
      <c r="L34" t="s">
        <v>303</v>
      </c>
    </row>
    <row r="35" spans="1:22" x14ac:dyDescent="0.3">
      <c r="A35" t="s">
        <v>84</v>
      </c>
      <c r="H35">
        <v>7</v>
      </c>
      <c r="L35" t="s">
        <v>308</v>
      </c>
    </row>
    <row r="36" spans="1:22" x14ac:dyDescent="0.3">
      <c r="A36" t="s">
        <v>7</v>
      </c>
      <c r="L36" t="s">
        <v>309</v>
      </c>
      <c r="V36" t="s">
        <v>134</v>
      </c>
    </row>
    <row r="37" spans="1:22" x14ac:dyDescent="0.3">
      <c r="L37" t="s">
        <v>310</v>
      </c>
      <c r="S37">
        <v>1</v>
      </c>
      <c r="V37" t="str" cm="1">
        <f t="array" ref="V37">INDEX(L32:L39,H35)</f>
        <v>CEDO</v>
      </c>
    </row>
    <row r="38" spans="1:22" x14ac:dyDescent="0.3">
      <c r="H38" t="str" cm="1">
        <f t="array" ref="H38">INDEX(L32:L39,H35)</f>
        <v>CEDO</v>
      </c>
      <c r="L38" t="s">
        <v>84</v>
      </c>
    </row>
    <row r="39" spans="1:22" x14ac:dyDescent="0.3">
      <c r="L39" t="s">
        <v>7</v>
      </c>
    </row>
    <row r="45" spans="1:22" x14ac:dyDescent="0.3">
      <c r="A45" t="s">
        <v>304</v>
      </c>
      <c r="B45">
        <f>ROWS(Empty_Bookings[])</f>
        <v>4</v>
      </c>
    </row>
    <row r="46" spans="1:22" x14ac:dyDescent="0.3">
      <c r="A46" t="s">
        <v>319</v>
      </c>
      <c r="B46">
        <f>COUNTA(Container_s__Not_Pre_advised[Booking])</f>
        <v>1</v>
      </c>
    </row>
    <row r="47" spans="1:22" x14ac:dyDescent="0.3">
      <c r="A47" t="s">
        <v>305</v>
      </c>
      <c r="B47">
        <f>COUNTA(Not_Linked_Mis[PortData.Booking])</f>
        <v>54</v>
      </c>
    </row>
    <row r="48" spans="1:22" x14ac:dyDescent="0.3">
      <c r="A48" t="s">
        <v>296</v>
      </c>
      <c r="B48">
        <f>COUNTA(POD_FPOD[Booking])</f>
        <v>0</v>
      </c>
      <c r="J48">
        <f>ROWS(HAZ_OOG[])</f>
        <v>5</v>
      </c>
    </row>
    <row r="49" spans="1:2" x14ac:dyDescent="0.3">
      <c r="A49" t="s">
        <v>300</v>
      </c>
      <c r="B49">
        <f>COUNTA(TEMP_VENT_HUM[Booking])</f>
        <v>0</v>
      </c>
    </row>
    <row r="50" spans="1:2" x14ac:dyDescent="0.3">
      <c r="A50" t="s">
        <v>297</v>
      </c>
      <c r="B50">
        <f>ROWS(HAZ_OOG[])</f>
        <v>5</v>
      </c>
    </row>
    <row r="51" spans="1:2" x14ac:dyDescent="0.3">
      <c r="A51" t="s">
        <v>7</v>
      </c>
      <c r="B51">
        <f>COUNTA(ISO[Booking])</f>
        <v>0</v>
      </c>
    </row>
    <row r="52" spans="1:2" x14ac:dyDescent="0.3">
      <c r="A52" t="s">
        <v>84</v>
      </c>
      <c r="B52">
        <f>ROWS(CEDO[])</f>
        <v>36</v>
      </c>
    </row>
    <row r="53" spans="1:2" x14ac:dyDescent="0.3">
      <c r="A53" t="s">
        <v>306</v>
      </c>
      <c r="B53">
        <f>B60-SUM(B45:B52)</f>
        <v>-100</v>
      </c>
    </row>
    <row r="60" spans="1:2" x14ac:dyDescent="0.3">
      <c r="A60" t="s">
        <v>302</v>
      </c>
      <c r="B60">
        <f>IF(COUNTA(PortData[Container]) &gt; COUNTA(OurDATA[Booking]),COUNTA(PortData[Container]),COUNTA(OurDATA[Booking]))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Drop Down 3">
              <controlPr defaultSize="0" autoLine="0" autoPict="0">
                <anchor moveWithCells="1">
                  <from>
                    <xdr:col>6</xdr:col>
                    <xdr:colOff>144780</xdr:colOff>
                    <xdr:row>27</xdr:row>
                    <xdr:rowOff>137160</xdr:rowOff>
                  </from>
                  <to>
                    <xdr:col>8</xdr:col>
                    <xdr:colOff>365760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D533-74C6-4F82-A9B5-18BF157F9D24}">
  <sheetPr codeName="Sheet29">
    <tabColor rgb="FF92D050"/>
  </sheetPr>
  <dimension ref="A1:H37"/>
  <sheetViews>
    <sheetView workbookViewId="0">
      <selection activeCell="A2" sqref="A2:G37"/>
    </sheetView>
  </sheetViews>
  <sheetFormatPr defaultRowHeight="14.4" x14ac:dyDescent="0.3"/>
  <cols>
    <col min="1" max="1" width="13.5546875" bestFit="1" customWidth="1"/>
    <col min="2" max="2" width="11.44140625" bestFit="1" customWidth="1"/>
    <col min="3" max="3" width="7.88671875" bestFit="1" customWidth="1"/>
    <col min="4" max="4" width="11" bestFit="1" customWidth="1"/>
    <col min="5" max="5" width="11.88671875" bestFit="1" customWidth="1"/>
    <col min="6" max="6" width="26.6640625" bestFit="1" customWidth="1"/>
    <col min="7" max="7" width="31.109375" bestFit="1" customWidth="1"/>
    <col min="8" max="8" width="9.33203125" bestFit="1" customWidth="1"/>
    <col min="9" max="9" width="6.5546875" bestFit="1" customWidth="1"/>
    <col min="10" max="10" width="9.6640625" bestFit="1" customWidth="1"/>
    <col min="11" max="12" width="9.33203125" bestFit="1" customWidth="1"/>
    <col min="13" max="13" width="33.5546875" bestFit="1" customWidth="1"/>
    <col min="14" max="14" width="18.5546875" bestFit="1" customWidth="1"/>
    <col min="15" max="15" width="15.109375" bestFit="1" customWidth="1"/>
    <col min="16" max="16" width="16.109375" bestFit="1" customWidth="1"/>
    <col min="17" max="17" width="9.6640625" bestFit="1" customWidth="1"/>
    <col min="18" max="18" width="9.33203125" bestFit="1" customWidth="1"/>
    <col min="19" max="19" width="14.33203125" bestFit="1" customWidth="1"/>
    <col min="20" max="20" width="7.33203125" bestFit="1" customWidth="1"/>
    <col min="21" max="21" width="15.5546875" bestFit="1" customWidth="1"/>
    <col min="22" max="22" width="9.6640625" bestFit="1" customWidth="1"/>
    <col min="23" max="23" width="9.33203125" bestFit="1" customWidth="1"/>
    <col min="24" max="24" width="7" bestFit="1" customWidth="1"/>
    <col min="25" max="25" width="7.33203125" bestFit="1" customWidth="1"/>
    <col min="26" max="26" width="32.44140625" bestFit="1" customWidth="1"/>
    <col min="27" max="27" width="9.33203125" bestFit="1" customWidth="1"/>
    <col min="28" max="28" width="29" bestFit="1" customWidth="1"/>
    <col min="29" max="29" width="18.5546875" bestFit="1" customWidth="1"/>
    <col min="30" max="30" width="15.109375" bestFit="1" customWidth="1"/>
    <col min="31" max="31" width="16.109375" bestFit="1" customWidth="1"/>
    <col min="32" max="32" width="31.5546875" bestFit="1" customWidth="1"/>
    <col min="33" max="33" width="9.33203125" bestFit="1" customWidth="1"/>
    <col min="34" max="34" width="7.109375" bestFit="1" customWidth="1"/>
    <col min="35" max="35" width="6.5546875" bestFit="1" customWidth="1"/>
    <col min="36" max="36" width="34.6640625" bestFit="1" customWidth="1"/>
    <col min="37" max="37" width="33.5546875" bestFit="1" customWidth="1"/>
    <col min="38" max="38" width="26.6640625" bestFit="1" customWidth="1"/>
    <col min="39" max="39" width="18.5546875" bestFit="1" customWidth="1"/>
    <col min="40" max="40" width="15.109375" bestFit="1" customWidth="1"/>
    <col min="41" max="41" width="16.109375" bestFit="1" customWidth="1"/>
    <col min="42" max="42" width="22.21875" bestFit="1" customWidth="1"/>
    <col min="43" max="43" width="9.33203125" bestFit="1" customWidth="1"/>
    <col min="44" max="44" width="6.88671875" bestFit="1" customWidth="1"/>
    <col min="45" max="45" width="6.5546875" bestFit="1" customWidth="1"/>
    <col min="46" max="46" width="9.6640625" bestFit="1" customWidth="1"/>
    <col min="47" max="47" width="9.33203125" bestFit="1" customWidth="1"/>
    <col min="48" max="48" width="9.6640625" bestFit="1" customWidth="1"/>
    <col min="49" max="49" width="9.33203125" bestFit="1" customWidth="1"/>
    <col min="50" max="50" width="7.109375" bestFit="1" customWidth="1"/>
    <col min="51" max="51" width="6.5546875" bestFit="1" customWidth="1"/>
    <col min="52" max="52" width="31.109375" bestFit="1" customWidth="1"/>
    <col min="53" max="53" width="9.33203125" bestFit="1" customWidth="1"/>
    <col min="54" max="54" width="9.6640625" bestFit="1" customWidth="1"/>
    <col min="55" max="55" width="9.33203125" bestFit="1" customWidth="1"/>
    <col min="56" max="56" width="7.109375" bestFit="1" customWidth="1"/>
    <col min="57" max="57" width="6.5546875" bestFit="1" customWidth="1"/>
    <col min="58" max="58" width="31.109375" bestFit="1" customWidth="1"/>
    <col min="59" max="59" width="9.33203125" bestFit="1" customWidth="1"/>
    <col min="60" max="60" width="33.5546875" bestFit="1" customWidth="1"/>
    <col min="61" max="61" width="18.5546875" bestFit="1" customWidth="1"/>
    <col min="62" max="62" width="15.109375" bestFit="1" customWidth="1"/>
    <col min="63" max="63" width="16.109375" bestFit="1" customWidth="1"/>
    <col min="64" max="64" width="28.5546875" bestFit="1" customWidth="1"/>
    <col min="65" max="65" width="9.33203125" bestFit="1" customWidth="1"/>
    <col min="66" max="66" width="7.109375" bestFit="1" customWidth="1"/>
    <col min="67" max="67" width="6.5546875" bestFit="1" customWidth="1"/>
    <col min="68" max="68" width="31.109375" bestFit="1" customWidth="1"/>
    <col min="69" max="70" width="9.33203125" bestFit="1" customWidth="1"/>
    <col min="71" max="71" width="6.21875" bestFit="1" customWidth="1"/>
    <col min="72" max="72" width="61.77734375" bestFit="1" customWidth="1"/>
    <col min="73" max="73" width="7.33203125" bestFit="1" customWidth="1"/>
    <col min="74" max="74" width="15.5546875" bestFit="1" customWidth="1"/>
    <col min="75" max="75" width="9.6640625" bestFit="1" customWidth="1"/>
    <col min="76" max="76" width="9.33203125" bestFit="1" customWidth="1"/>
    <col min="77" max="77" width="7.109375" bestFit="1" customWidth="1"/>
    <col min="78" max="78" width="6.5546875" bestFit="1" customWidth="1"/>
    <col min="79" max="79" width="31.109375" bestFit="1" customWidth="1"/>
    <col min="80" max="80" width="9.33203125" bestFit="1" customWidth="1"/>
    <col min="81" max="81" width="33.5546875" bestFit="1" customWidth="1"/>
    <col min="82" max="82" width="18.5546875" bestFit="1" customWidth="1"/>
    <col min="83" max="83" width="15.109375" bestFit="1" customWidth="1"/>
    <col min="84" max="84" width="16.109375" bestFit="1" customWidth="1"/>
    <col min="85" max="85" width="28.5546875" bestFit="1" customWidth="1"/>
    <col min="86" max="86" width="9.33203125" bestFit="1" customWidth="1"/>
    <col min="87" max="87" width="7" bestFit="1" customWidth="1"/>
    <col min="88" max="88" width="6.77734375" bestFit="1" customWidth="1"/>
    <col min="89" max="89" width="30.77734375" bestFit="1" customWidth="1"/>
    <col min="90" max="90" width="9.33203125" bestFit="1" customWidth="1"/>
    <col min="91" max="91" width="37.33203125" bestFit="1" customWidth="1"/>
    <col min="92" max="92" width="18.5546875" bestFit="1" customWidth="1"/>
    <col min="93" max="93" width="15.109375" bestFit="1" customWidth="1"/>
    <col min="94" max="94" width="16.109375" bestFit="1" customWidth="1"/>
    <col min="95" max="95" width="30.77734375" bestFit="1" customWidth="1"/>
    <col min="96" max="96" width="9.33203125" bestFit="1" customWidth="1"/>
    <col min="97" max="97" width="6.88671875" bestFit="1" customWidth="1"/>
    <col min="98" max="98" width="6.5546875" bestFit="1" customWidth="1"/>
    <col min="99" max="99" width="9.6640625" bestFit="1" customWidth="1"/>
    <col min="100" max="100" width="9.33203125" bestFit="1" customWidth="1"/>
    <col min="101" max="101" width="27.33203125" bestFit="1" customWidth="1"/>
    <col min="102" max="102" width="18.5546875" bestFit="1" customWidth="1"/>
    <col min="103" max="103" width="15.109375" bestFit="1" customWidth="1"/>
    <col min="104" max="104" width="16.109375" bestFit="1" customWidth="1"/>
    <col min="105" max="105" width="22.21875" bestFit="1" customWidth="1"/>
    <col min="106" max="106" width="9.33203125" bestFit="1" customWidth="1"/>
    <col min="107" max="107" width="7" bestFit="1" customWidth="1"/>
    <col min="108" max="108" width="7.33203125" bestFit="1" customWidth="1"/>
    <col min="109" max="109" width="32.44140625" bestFit="1" customWidth="1"/>
    <col min="110" max="112" width="9.33203125" bestFit="1" customWidth="1"/>
    <col min="113" max="113" width="9.6640625" bestFit="1" customWidth="1"/>
    <col min="114" max="114" width="9.33203125" bestFit="1" customWidth="1"/>
    <col min="115" max="115" width="6.21875" bestFit="1" customWidth="1"/>
    <col min="116" max="116" width="14.33203125" bestFit="1" customWidth="1"/>
    <col min="117" max="117" width="7.33203125" bestFit="1" customWidth="1"/>
    <col min="118" max="118" width="15.5546875" bestFit="1" customWidth="1"/>
    <col min="119" max="119" width="9.6640625" bestFit="1" customWidth="1"/>
    <col min="120" max="120" width="9.33203125" bestFit="1" customWidth="1"/>
    <col min="121" max="121" width="6.88671875" bestFit="1" customWidth="1"/>
    <col min="122" max="122" width="6.5546875" bestFit="1" customWidth="1"/>
    <col min="123" max="123" width="9.6640625" bestFit="1" customWidth="1"/>
    <col min="124" max="125" width="9.33203125" bestFit="1" customWidth="1"/>
    <col min="126" max="126" width="6.21875" bestFit="1" customWidth="1"/>
    <col min="127" max="127" width="14.33203125" bestFit="1" customWidth="1"/>
    <col min="128" max="128" width="7.33203125" bestFit="1" customWidth="1"/>
    <col min="129" max="129" width="15.5546875" bestFit="1" customWidth="1"/>
    <col min="130" max="130" width="9.6640625" bestFit="1" customWidth="1"/>
    <col min="131" max="131" width="9.33203125" bestFit="1" customWidth="1"/>
    <col min="132" max="132" width="33.5546875" bestFit="1" customWidth="1"/>
    <col min="133" max="133" width="9.6640625" bestFit="1" customWidth="1"/>
    <col min="134" max="134" width="9.33203125" bestFit="1" customWidth="1"/>
    <col min="135" max="135" width="6.5546875" bestFit="1" customWidth="1"/>
    <col min="136" max="136" width="31.109375" bestFit="1" customWidth="1"/>
    <col min="137" max="137" width="9.33203125" bestFit="1" customWidth="1"/>
    <col min="138" max="138" width="33.5546875" bestFit="1" customWidth="1"/>
    <col min="139" max="139" width="18.5546875" bestFit="1" customWidth="1"/>
    <col min="140" max="140" width="15.109375" bestFit="1" customWidth="1"/>
    <col min="141" max="141" width="16.109375" bestFit="1" customWidth="1"/>
    <col min="142" max="142" width="31.109375" bestFit="1" customWidth="1"/>
    <col min="143" max="143" width="9.33203125" bestFit="1" customWidth="1"/>
    <col min="144" max="144" width="14.33203125" bestFit="1" customWidth="1"/>
    <col min="145" max="145" width="7.33203125" bestFit="1" customWidth="1"/>
    <col min="146" max="146" width="15.5546875" bestFit="1" customWidth="1"/>
    <col min="147" max="147" width="9.6640625" customWidth="1"/>
    <col min="148" max="149" width="9.33203125" bestFit="1" customWidth="1"/>
    <col min="150" max="150" width="6.5546875" bestFit="1" customWidth="1"/>
    <col min="151" max="151" width="49.44140625" bestFit="1" customWidth="1"/>
    <col min="152" max="153" width="9.33203125" bestFit="1" customWidth="1"/>
    <col min="154" max="154" width="33.5546875" bestFit="1" customWidth="1"/>
    <col min="155" max="155" width="18.5546875" bestFit="1" customWidth="1"/>
    <col min="156" max="156" width="15.109375" bestFit="1" customWidth="1"/>
    <col min="157" max="157" width="16.109375" bestFit="1" customWidth="1"/>
    <col min="158" max="158" width="31.109375" bestFit="1" customWidth="1"/>
    <col min="159" max="159" width="9.33203125" bestFit="1" customWidth="1"/>
    <col min="160" max="160" width="7.109375" bestFit="1" customWidth="1"/>
    <col min="161" max="161" width="7.21875" bestFit="1" customWidth="1"/>
    <col min="162" max="162" width="34.6640625" bestFit="1" customWidth="1"/>
    <col min="163" max="163" width="33.5546875" bestFit="1" customWidth="1"/>
    <col min="164" max="164" width="12.33203125" bestFit="1" customWidth="1"/>
    <col min="165" max="165" width="18.5546875" bestFit="1" customWidth="1"/>
    <col min="166" max="166" width="15.109375" bestFit="1" customWidth="1"/>
    <col min="167" max="167" width="16.109375" bestFit="1" customWidth="1"/>
    <col min="168" max="168" width="9.6640625" bestFit="1" customWidth="1"/>
    <col min="169" max="169" width="9.33203125" bestFit="1" customWidth="1"/>
    <col min="170" max="170" width="7.109375" bestFit="1" customWidth="1"/>
    <col min="171" max="171" width="7.21875" bestFit="1" customWidth="1"/>
    <col min="172" max="172" width="34.6640625" bestFit="1" customWidth="1"/>
    <col min="173" max="174" width="33.5546875" bestFit="1" customWidth="1"/>
    <col min="175" max="175" width="9.6640625" bestFit="1" customWidth="1"/>
    <col min="176" max="176" width="9.33203125" bestFit="1" customWidth="1"/>
    <col min="177" max="177" width="6.88671875" bestFit="1" customWidth="1"/>
    <col min="178" max="178" width="6.5546875" bestFit="1" customWidth="1"/>
    <col min="179" max="179" width="9.6640625" bestFit="1" customWidth="1"/>
    <col min="180" max="180" width="9.33203125" bestFit="1" customWidth="1"/>
    <col min="181" max="181" width="27.33203125" bestFit="1" customWidth="1"/>
    <col min="182" max="182" width="9.33203125" bestFit="1" customWidth="1"/>
    <col min="183" max="183" width="9.6640625" bestFit="1" customWidth="1"/>
    <col min="184" max="184" width="9.21875" bestFit="1" customWidth="1"/>
    <col min="185" max="185" width="7.21875" bestFit="1" customWidth="1"/>
    <col min="186" max="186" width="15.33203125" bestFit="1" customWidth="1"/>
    <col min="187" max="187" width="10.88671875" bestFit="1" customWidth="1"/>
    <col min="188" max="188" width="19" bestFit="1" customWidth="1"/>
    <col min="189" max="189" width="9.6640625" bestFit="1" customWidth="1"/>
    <col min="190" max="190" width="9.21875" bestFit="1" customWidth="1"/>
    <col min="191" max="191" width="36.6640625" bestFit="1" customWidth="1"/>
    <col min="192" max="192" width="18.5546875" bestFit="1" customWidth="1"/>
    <col min="193" max="193" width="14.88671875" bestFit="1" customWidth="1"/>
    <col min="194" max="194" width="16" bestFit="1" customWidth="1"/>
    <col min="195" max="195" width="21.33203125" bestFit="1" customWidth="1"/>
    <col min="196" max="196" width="9.21875" bestFit="1" customWidth="1"/>
    <col min="197" max="198" width="7" bestFit="1" customWidth="1"/>
    <col min="199" max="199" width="21.33203125" bestFit="1" customWidth="1"/>
    <col min="200" max="200" width="9.21875" bestFit="1" customWidth="1"/>
    <col min="201" max="201" width="6.21875" bestFit="1" customWidth="1"/>
    <col min="202" max="202" width="14.21875" bestFit="1" customWidth="1"/>
    <col min="203" max="203" width="7.109375" bestFit="1" customWidth="1"/>
    <col min="204" max="204" width="15.109375" bestFit="1" customWidth="1"/>
    <col min="205" max="205" width="9.6640625" bestFit="1" customWidth="1"/>
    <col min="206" max="206" width="9.21875" bestFit="1" customWidth="1"/>
    <col min="207" max="207" width="7.21875" bestFit="1" customWidth="1"/>
    <col min="208" max="208" width="15.33203125" bestFit="1" customWidth="1"/>
    <col min="209" max="209" width="10.88671875" bestFit="1" customWidth="1"/>
    <col min="210" max="210" width="19" bestFit="1" customWidth="1"/>
    <col min="211" max="211" width="9.6640625" bestFit="1" customWidth="1"/>
    <col min="212" max="212" width="9.21875" bestFit="1" customWidth="1"/>
    <col min="213" max="213" width="36.6640625" bestFit="1" customWidth="1"/>
    <col min="214" max="214" width="18.5546875" bestFit="1" customWidth="1"/>
    <col min="215" max="215" width="14.88671875" bestFit="1" customWidth="1"/>
    <col min="216" max="216" width="16" bestFit="1" customWidth="1"/>
    <col min="217" max="217" width="21.33203125" bestFit="1" customWidth="1"/>
    <col min="218" max="218" width="9.21875" bestFit="1" customWidth="1"/>
    <col min="219" max="220" width="7" bestFit="1" customWidth="1"/>
    <col min="221" max="221" width="21.33203125" bestFit="1" customWidth="1"/>
    <col min="222" max="222" width="9.21875" bestFit="1" customWidth="1"/>
    <col min="223" max="223" width="36.6640625" bestFit="1" customWidth="1"/>
    <col min="224" max="224" width="18.5546875" bestFit="1" customWidth="1"/>
    <col min="225" max="225" width="14.88671875" bestFit="1" customWidth="1"/>
    <col min="226" max="226" width="16" bestFit="1" customWidth="1"/>
    <col min="227" max="227" width="21.33203125" bestFit="1" customWidth="1"/>
    <col min="228" max="228" width="9.21875" bestFit="1" customWidth="1"/>
    <col min="229" max="229" width="6.88671875" bestFit="1" customWidth="1"/>
    <col min="230" max="230" width="6.5546875" bestFit="1" customWidth="1"/>
    <col min="231" max="231" width="9.6640625" bestFit="1" customWidth="1"/>
    <col min="232" max="232" width="9.21875" bestFit="1" customWidth="1"/>
    <col min="233" max="233" width="37.109375" bestFit="1" customWidth="1"/>
    <col min="234" max="234" width="18.77734375" bestFit="1" customWidth="1"/>
    <col min="235" max="235" width="15.21875" bestFit="1" customWidth="1"/>
    <col min="236" max="236" width="16.21875" bestFit="1" customWidth="1"/>
    <col min="237" max="237" width="21.77734375" bestFit="1" customWidth="1"/>
    <col min="238" max="238" width="9.21875" bestFit="1" customWidth="1"/>
    <col min="239" max="239" width="7" bestFit="1" customWidth="1"/>
    <col min="240" max="240" width="6.5546875" bestFit="1" customWidth="1"/>
    <col min="241" max="241" width="31.21875" bestFit="1" customWidth="1"/>
    <col min="242" max="242" width="20.77734375" bestFit="1" customWidth="1"/>
    <col min="243" max="243" width="9.5546875" bestFit="1" customWidth="1"/>
    <col min="244" max="244" width="34.5546875" bestFit="1" customWidth="1"/>
    <col min="245" max="245" width="19.109375" bestFit="1" customWidth="1"/>
    <col min="246" max="246" width="15.5546875" bestFit="1" customWidth="1"/>
    <col min="247" max="247" width="16.5546875" bestFit="1" customWidth="1"/>
    <col min="248" max="248" width="25.6640625" bestFit="1" customWidth="1"/>
    <col min="249" max="249" width="9.5546875" bestFit="1" customWidth="1"/>
    <col min="250" max="250" width="7.33203125" bestFit="1" customWidth="1"/>
    <col min="251" max="251" width="6.6640625" bestFit="1" customWidth="1"/>
    <col min="252" max="252" width="27.44140625" bestFit="1" customWidth="1"/>
    <col min="253" max="253" width="9.5546875" bestFit="1" customWidth="1"/>
    <col min="254" max="254" width="29.88671875" bestFit="1" customWidth="1"/>
    <col min="255" max="255" width="19.109375" bestFit="1" customWidth="1"/>
    <col min="256" max="256" width="15.5546875" bestFit="1" customWidth="1"/>
    <col min="257" max="257" width="16.5546875" bestFit="1" customWidth="1"/>
    <col min="258" max="258" width="22.88671875" bestFit="1" customWidth="1"/>
    <col min="259" max="259" width="9.5546875" bestFit="1" customWidth="1"/>
    <col min="260" max="260" width="7.33203125" bestFit="1" customWidth="1"/>
    <col min="261" max="261" width="7.5546875" bestFit="1" customWidth="1"/>
    <col min="262" max="262" width="34.44140625" bestFit="1" customWidth="1"/>
    <col min="263" max="263" width="34.5546875" bestFit="1" customWidth="1"/>
    <col min="264" max="264" width="29.88671875" bestFit="1" customWidth="1"/>
    <col min="265" max="265" width="19.33203125" bestFit="1" customWidth="1"/>
    <col min="266" max="266" width="15.6640625" bestFit="1" customWidth="1"/>
    <col min="267" max="267" width="16.6640625" bestFit="1" customWidth="1"/>
    <col min="268" max="268" width="22.88671875" bestFit="1" customWidth="1"/>
    <col min="269" max="269" width="9.5546875" bestFit="1" customWidth="1"/>
    <col min="270" max="270" width="7.109375" bestFit="1" customWidth="1"/>
    <col min="271" max="271" width="6.6640625" bestFit="1" customWidth="1"/>
    <col min="272" max="272" width="27.44140625" bestFit="1" customWidth="1"/>
    <col min="273" max="273" width="9.5546875" bestFit="1" customWidth="1"/>
    <col min="274" max="274" width="10.6640625" bestFit="1" customWidth="1"/>
    <col min="275" max="275" width="6.44140625" bestFit="1" customWidth="1"/>
    <col min="276" max="276" width="81.109375" bestFit="1" customWidth="1"/>
    <col min="277" max="277" width="7.5546875" bestFit="1" customWidth="1"/>
    <col min="278" max="278" width="16" bestFit="1" customWidth="1"/>
    <col min="279" max="279" width="31.6640625" bestFit="1" customWidth="1"/>
    <col min="280" max="281" width="9.5546875" bestFit="1" customWidth="1"/>
    <col min="282" max="282" width="6.6640625" bestFit="1" customWidth="1"/>
    <col min="283" max="283" width="27.44140625" bestFit="1" customWidth="1"/>
    <col min="284" max="284" width="9.5546875" bestFit="1" customWidth="1"/>
    <col min="285" max="285" width="34.5546875" bestFit="1" customWidth="1"/>
    <col min="286" max="286" width="19.109375" bestFit="1" customWidth="1"/>
    <col min="287" max="287" width="15.5546875" bestFit="1" customWidth="1"/>
    <col min="288" max="288" width="16.5546875" bestFit="1" customWidth="1"/>
    <col min="289" max="289" width="25.6640625" bestFit="1" customWidth="1"/>
    <col min="290" max="290" width="9.5546875" bestFit="1" customWidth="1"/>
    <col min="291" max="291" width="7.109375" bestFit="1" customWidth="1"/>
    <col min="292" max="292" width="6.6640625" bestFit="1" customWidth="1"/>
    <col min="293" max="293" width="27.44140625" bestFit="1" customWidth="1"/>
    <col min="294" max="294" width="9.5546875" bestFit="1" customWidth="1"/>
    <col min="295" max="295" width="34.5546875" bestFit="1" customWidth="1"/>
    <col min="296" max="296" width="19.33203125" bestFit="1" customWidth="1"/>
    <col min="297" max="297" width="15.6640625" bestFit="1" customWidth="1"/>
    <col min="298" max="298" width="16.6640625" bestFit="1" customWidth="1"/>
    <col min="299" max="299" width="25.6640625" bestFit="1" customWidth="1"/>
    <col min="300" max="300" width="9.5546875" bestFit="1" customWidth="1"/>
    <col min="301" max="301" width="7.109375" bestFit="1" customWidth="1"/>
    <col min="302" max="302" width="6.6640625" bestFit="1" customWidth="1"/>
    <col min="303" max="303" width="27.44140625" bestFit="1" customWidth="1"/>
    <col min="304" max="304" width="9.5546875" bestFit="1" customWidth="1"/>
    <col min="305" max="305" width="10.6640625" bestFit="1" customWidth="1"/>
    <col min="306" max="306" width="6.44140625" bestFit="1" customWidth="1"/>
    <col min="307" max="307" width="81.109375" bestFit="1" customWidth="1"/>
    <col min="308" max="308" width="7.5546875" bestFit="1" customWidth="1"/>
    <col min="309" max="309" width="16" bestFit="1" customWidth="1"/>
    <col min="310" max="310" width="31.6640625" bestFit="1" customWidth="1"/>
    <col min="311" max="311" width="9.5546875" bestFit="1" customWidth="1"/>
    <col min="312" max="312" width="15.6640625" bestFit="1" customWidth="1"/>
    <col min="313" max="313" width="16.6640625" bestFit="1" customWidth="1"/>
    <col min="314" max="314" width="25.6640625" bestFit="1" customWidth="1"/>
    <col min="315" max="315" width="9.5546875" bestFit="1" customWidth="1"/>
    <col min="316" max="316" width="7.109375" bestFit="1" customWidth="1"/>
    <col min="317" max="317" width="6.6640625" bestFit="1" customWidth="1"/>
    <col min="318" max="318" width="27.44140625" bestFit="1" customWidth="1"/>
    <col min="319" max="319" width="9.5546875" bestFit="1" customWidth="1"/>
    <col min="320" max="320" width="10" bestFit="1" customWidth="1"/>
    <col min="321" max="321" width="9.5546875" bestFit="1" customWidth="1"/>
    <col min="322" max="322" width="6.6640625" bestFit="1" customWidth="1"/>
    <col min="323" max="323" width="27.44140625" bestFit="1" customWidth="1"/>
    <col min="324" max="325" width="9.5546875" bestFit="1" customWidth="1"/>
    <col min="326" max="326" width="10" bestFit="1" customWidth="1"/>
    <col min="327" max="327" width="9.5546875" bestFit="1" customWidth="1"/>
    <col min="328" max="328" width="6.6640625" bestFit="1" customWidth="1"/>
    <col min="329" max="329" width="27.44140625" bestFit="1" customWidth="1"/>
    <col min="330" max="330" width="9.5546875" bestFit="1" customWidth="1"/>
    <col min="331" max="331" width="19" bestFit="1" customWidth="1"/>
    <col min="332" max="332" width="19.109375" bestFit="1" customWidth="1"/>
    <col min="333" max="333" width="15.5546875" bestFit="1" customWidth="1"/>
    <col min="334" max="334" width="16.5546875" bestFit="1" customWidth="1"/>
    <col min="335" max="335" width="10" bestFit="1" customWidth="1"/>
    <col min="336" max="336" width="9.5546875" bestFit="1" customWidth="1"/>
    <col min="337" max="337" width="7.33203125" bestFit="1" customWidth="1"/>
    <col min="338" max="338" width="6.6640625" bestFit="1" customWidth="1"/>
    <col min="339" max="339" width="22.88671875" bestFit="1" customWidth="1"/>
    <col min="340" max="340" width="9.5546875" bestFit="1" customWidth="1"/>
    <col min="341" max="341" width="29.88671875" bestFit="1" customWidth="1"/>
    <col min="342" max="342" width="19.109375" bestFit="1" customWidth="1"/>
    <col min="343" max="343" width="15.5546875" bestFit="1" customWidth="1"/>
    <col min="344" max="344" width="16.5546875" bestFit="1" customWidth="1"/>
    <col min="345" max="345" width="22.88671875" bestFit="1" customWidth="1"/>
    <col min="346" max="346" width="9.5546875" bestFit="1" customWidth="1"/>
    <col min="347" max="347" width="7.33203125" bestFit="1" customWidth="1"/>
    <col min="348" max="348" width="6.6640625" bestFit="1" customWidth="1"/>
    <col min="349" max="349" width="31.6640625" bestFit="1" customWidth="1"/>
    <col min="350" max="350" width="9.5546875" bestFit="1" customWidth="1"/>
    <col min="351" max="351" width="34.5546875" bestFit="1" customWidth="1"/>
    <col min="352" max="352" width="19.109375" bestFit="1" customWidth="1"/>
    <col min="353" max="353" width="15.5546875" bestFit="1" customWidth="1"/>
    <col min="354" max="354" width="16.5546875" bestFit="1" customWidth="1"/>
    <col min="355" max="355" width="25.6640625" bestFit="1" customWidth="1"/>
    <col min="356" max="356" width="9.5546875" bestFit="1" customWidth="1"/>
    <col min="357" max="357" width="7.33203125" bestFit="1" customWidth="1"/>
    <col min="358" max="358" width="6.6640625" bestFit="1" customWidth="1"/>
    <col min="359" max="359" width="32" bestFit="1" customWidth="1"/>
    <col min="360" max="360" width="9.5546875" bestFit="1" customWidth="1"/>
    <col min="361" max="361" width="34.5546875" bestFit="1" customWidth="1"/>
    <col min="362" max="362" width="19.109375" bestFit="1" customWidth="1"/>
    <col min="363" max="363" width="15.5546875" bestFit="1" customWidth="1"/>
    <col min="364" max="364" width="16.5546875" bestFit="1" customWidth="1"/>
    <col min="365" max="365" width="25.6640625" bestFit="1" customWidth="1"/>
    <col min="366" max="366" width="9.5546875" bestFit="1" customWidth="1"/>
    <col min="367" max="367" width="7.33203125" bestFit="1" customWidth="1"/>
    <col min="368" max="368" width="6.6640625" bestFit="1" customWidth="1"/>
    <col min="369" max="369" width="32" bestFit="1" customWidth="1"/>
    <col min="370" max="370" width="9.5546875" bestFit="1" customWidth="1"/>
    <col min="371" max="371" width="34.5546875" bestFit="1" customWidth="1"/>
    <col min="372" max="372" width="19.33203125" bestFit="1" customWidth="1"/>
    <col min="373" max="373" width="15.6640625" bestFit="1" customWidth="1"/>
    <col min="374" max="374" width="16.6640625" bestFit="1" customWidth="1"/>
    <col min="375" max="375" width="25.6640625" bestFit="1" customWidth="1"/>
    <col min="376" max="376" width="9.5546875" bestFit="1" customWidth="1"/>
    <col min="377" max="377" width="7.109375" bestFit="1" customWidth="1"/>
    <col min="378" max="378" width="6.6640625" bestFit="1" customWidth="1"/>
    <col min="379" max="379" width="32" bestFit="1" customWidth="1"/>
    <col min="380" max="380" width="9.5546875" bestFit="1" customWidth="1"/>
    <col min="381" max="381" width="30.88671875" bestFit="1" customWidth="1"/>
    <col min="382" max="382" width="19.33203125" bestFit="1" customWidth="1"/>
    <col min="383" max="383" width="15.6640625" bestFit="1" customWidth="1"/>
    <col min="384" max="384" width="16.6640625" bestFit="1" customWidth="1"/>
    <col min="385" max="385" width="33.44140625" bestFit="1" customWidth="1"/>
    <col min="386" max="386" width="9.5546875" bestFit="1" customWidth="1"/>
    <col min="387" max="388" width="7.109375" bestFit="1" customWidth="1"/>
    <col min="389" max="389" width="34.44140625" bestFit="1" customWidth="1"/>
    <col min="390" max="390" width="9.5546875" bestFit="1" customWidth="1"/>
    <col min="391" max="391" width="29.88671875" bestFit="1" customWidth="1"/>
    <col min="392" max="392" width="19.33203125" bestFit="1" customWidth="1"/>
    <col min="393" max="393" width="15.6640625" bestFit="1" customWidth="1"/>
    <col min="394" max="394" width="16.6640625" bestFit="1" customWidth="1"/>
    <col min="395" max="395" width="22.88671875" bestFit="1" customWidth="1"/>
    <col min="396" max="397" width="9.5546875" bestFit="1" customWidth="1"/>
    <col min="398" max="398" width="6.6640625" bestFit="1" customWidth="1"/>
    <col min="399" max="399" width="32" bestFit="1" customWidth="1"/>
    <col min="400" max="400" width="21.88671875" bestFit="1" customWidth="1"/>
    <col min="401" max="401" width="34.5546875" bestFit="1" customWidth="1"/>
    <col min="402" max="402" width="19.109375" bestFit="1" customWidth="1"/>
    <col min="403" max="403" width="15.5546875" bestFit="1" customWidth="1"/>
    <col min="404" max="404" width="16.5546875" bestFit="1" customWidth="1"/>
    <col min="405" max="405" width="10" bestFit="1" customWidth="1"/>
    <col min="406" max="406" width="9.5546875" bestFit="1" customWidth="1"/>
    <col min="407" max="407" width="7.109375" bestFit="1" customWidth="1"/>
    <col min="408" max="408" width="6.6640625" bestFit="1" customWidth="1"/>
    <col min="409" max="409" width="10" bestFit="1" customWidth="1"/>
    <col min="410" max="412" width="9.5546875" bestFit="1" customWidth="1"/>
    <col min="413" max="413" width="33.44140625" bestFit="1" customWidth="1"/>
    <col min="414" max="414" width="19.109375" bestFit="1" customWidth="1"/>
    <col min="415" max="415" width="15.5546875" bestFit="1" customWidth="1"/>
    <col min="416" max="416" width="16.5546875" bestFit="1" customWidth="1"/>
    <col min="417" max="417" width="10" bestFit="1" customWidth="1"/>
    <col min="418" max="418" width="9.5546875" bestFit="1" customWidth="1"/>
    <col min="419" max="419" width="7.109375" bestFit="1" customWidth="1"/>
    <col min="420" max="420" width="6.6640625" bestFit="1" customWidth="1"/>
    <col min="421" max="421" width="10" bestFit="1" customWidth="1"/>
    <col min="422" max="422" width="9.5546875" bestFit="1" customWidth="1"/>
    <col min="423" max="423" width="10" bestFit="1" customWidth="1"/>
    <col min="424" max="424" width="9.5546875" bestFit="1" customWidth="1"/>
    <col min="425" max="425" width="6.6640625" bestFit="1" customWidth="1"/>
    <col min="426" max="426" width="10" bestFit="1" customWidth="1"/>
    <col min="427" max="430" width="9.5546875" bestFit="1" customWidth="1"/>
    <col min="431" max="431" width="10" bestFit="1" customWidth="1"/>
    <col min="432" max="432" width="9.5546875" bestFit="1" customWidth="1"/>
    <col min="433" max="433" width="6.44140625" bestFit="1" customWidth="1"/>
    <col min="434" max="434" width="14.6640625" bestFit="1" customWidth="1"/>
    <col min="435" max="435" width="7.5546875" bestFit="1" customWidth="1"/>
    <col min="436" max="436" width="16" bestFit="1" customWidth="1"/>
    <col min="437" max="437" width="10" bestFit="1" customWidth="1"/>
    <col min="438" max="438" width="9.5546875" bestFit="1" customWidth="1"/>
    <col min="439" max="439" width="15.5546875" bestFit="1" customWidth="1"/>
    <col min="440" max="440" width="16.5546875" bestFit="1" customWidth="1"/>
    <col min="441" max="441" width="10" bestFit="1" customWidth="1"/>
    <col min="442" max="442" width="9.5546875" bestFit="1" customWidth="1"/>
    <col min="443" max="443" width="7.109375" bestFit="1" customWidth="1"/>
    <col min="444" max="444" width="6.6640625" bestFit="1" customWidth="1"/>
    <col min="445" max="445" width="10" bestFit="1" customWidth="1"/>
    <col min="446" max="447" width="9.5546875" bestFit="1" customWidth="1"/>
    <col min="448" max="448" width="33.44140625" bestFit="1" customWidth="1"/>
    <col min="449" max="449" width="19.109375" bestFit="1" customWidth="1"/>
    <col min="450" max="450" width="15.5546875" bestFit="1" customWidth="1"/>
    <col min="451" max="451" width="16.5546875" bestFit="1" customWidth="1"/>
    <col min="452" max="452" width="10" bestFit="1" customWidth="1"/>
    <col min="453" max="453" width="9.5546875" bestFit="1" customWidth="1"/>
    <col min="454" max="454" width="7.109375" bestFit="1" customWidth="1"/>
    <col min="455" max="455" width="7.5546875" bestFit="1" customWidth="1"/>
    <col min="456" max="456" width="34.44140625" bestFit="1" customWidth="1"/>
    <col min="457" max="457" width="9.5546875" bestFit="1" customWidth="1"/>
    <col min="458" max="458" width="29.88671875" bestFit="1" customWidth="1"/>
    <col min="459" max="459" width="19.109375" bestFit="1" customWidth="1"/>
    <col min="460" max="460" width="15.5546875" bestFit="1" customWidth="1"/>
    <col min="461" max="461" width="16.5546875" bestFit="1" customWidth="1"/>
    <col min="462" max="462" width="32" bestFit="1" customWidth="1"/>
    <col min="463" max="463" width="9.5546875" bestFit="1" customWidth="1"/>
    <col min="464" max="464" width="7.109375" bestFit="1" customWidth="1"/>
    <col min="465" max="465" width="7.5546875" bestFit="1" customWidth="1"/>
    <col min="466" max="466" width="34.44140625" bestFit="1" customWidth="1"/>
    <col min="467" max="467" width="9.5546875" bestFit="1" customWidth="1"/>
    <col min="468" max="468" width="32" bestFit="1" customWidth="1"/>
    <col min="469" max="469" width="9.5546875" bestFit="1" customWidth="1"/>
    <col min="470" max="470" width="6.6640625" bestFit="1" customWidth="1"/>
    <col min="471" max="471" width="32.88671875" bestFit="1" customWidth="1"/>
    <col min="472" max="473" width="21.88671875" bestFit="1" customWidth="1"/>
    <col min="474" max="474" width="34.5546875" bestFit="1" customWidth="1"/>
    <col min="475" max="475" width="19.109375" bestFit="1" customWidth="1"/>
    <col min="476" max="476" width="15.5546875" bestFit="1" customWidth="1"/>
    <col min="477" max="477" width="16.5546875" bestFit="1" customWidth="1"/>
    <col min="478" max="478" width="10" bestFit="1" customWidth="1"/>
    <col min="479" max="479" width="9.5546875" bestFit="1" customWidth="1"/>
    <col min="480" max="480" width="81.109375" bestFit="1" customWidth="1"/>
    <col min="481" max="481" width="7.5546875" bestFit="1" customWidth="1"/>
    <col min="482" max="482" width="16" bestFit="1" customWidth="1"/>
    <col min="483" max="483" width="31.6640625" bestFit="1" customWidth="1"/>
    <col min="484" max="485" width="9.5546875" bestFit="1" customWidth="1"/>
    <col min="486" max="486" width="36.6640625" bestFit="1" customWidth="1"/>
    <col min="487" max="487" width="19.109375" bestFit="1" customWidth="1"/>
    <col min="488" max="488" width="15.5546875" bestFit="1" customWidth="1"/>
    <col min="489" max="489" width="16.5546875" bestFit="1" customWidth="1"/>
    <col min="490" max="490" width="28.109375" bestFit="1" customWidth="1"/>
    <col min="491" max="491" width="9.5546875" bestFit="1" customWidth="1"/>
    <col min="492" max="492" width="31.6640625" bestFit="1" customWidth="1"/>
    <col min="493" max="493" width="9.5546875" bestFit="1" customWidth="1"/>
    <col min="494" max="494" width="36.6640625" bestFit="1" customWidth="1"/>
    <col min="495" max="495" width="19.109375" bestFit="1" customWidth="1"/>
    <col min="496" max="496" width="15.5546875" bestFit="1" customWidth="1"/>
    <col min="497" max="497" width="16.5546875" bestFit="1" customWidth="1"/>
    <col min="498" max="498" width="28.109375" bestFit="1" customWidth="1"/>
    <col min="499" max="499" width="9.5546875" bestFit="1" customWidth="1"/>
    <col min="500" max="500" width="7.109375" bestFit="1" customWidth="1"/>
    <col min="501" max="501" width="6.6640625" bestFit="1" customWidth="1"/>
    <col min="502" max="502" width="10" bestFit="1" customWidth="1"/>
    <col min="503" max="503" width="9.5546875" bestFit="1" customWidth="1"/>
    <col min="504" max="504" width="31.6640625" bestFit="1" customWidth="1"/>
    <col min="505" max="505" width="9.5546875" bestFit="1" customWidth="1"/>
    <col min="506" max="506" width="7.109375" bestFit="1" customWidth="1"/>
    <col min="507" max="507" width="10" bestFit="1" customWidth="1"/>
    <col min="508" max="509" width="9.5546875" bestFit="1" customWidth="1"/>
    <col min="510" max="510" width="36.6640625" bestFit="1" customWidth="1"/>
    <col min="511" max="511" width="19.109375" bestFit="1" customWidth="1"/>
    <col min="512" max="512" width="15.5546875" bestFit="1" customWidth="1"/>
    <col min="513" max="513" width="16.5546875" bestFit="1" customWidth="1"/>
    <col min="514" max="514" width="28.109375" bestFit="1" customWidth="1"/>
    <col min="515" max="515" width="9.5546875" bestFit="1" customWidth="1"/>
    <col min="516" max="516" width="7.109375" bestFit="1" customWidth="1"/>
    <col min="517" max="517" width="7.5546875" bestFit="1" customWidth="1"/>
    <col min="518" max="518" width="34.44140625" bestFit="1" customWidth="1"/>
    <col min="519" max="519" width="9.5546875" bestFit="1" customWidth="1"/>
    <col min="520" max="520" width="34.44140625" bestFit="1" customWidth="1"/>
    <col min="521" max="521" width="19.109375" bestFit="1" customWidth="1"/>
    <col min="522" max="522" width="15.5546875" bestFit="1" customWidth="1"/>
    <col min="523" max="523" width="16.5546875" bestFit="1" customWidth="1"/>
    <col min="524" max="524" width="22.88671875" bestFit="1" customWidth="1"/>
    <col min="525" max="525" width="9.5546875" bestFit="1" customWidth="1"/>
    <col min="526" max="526" width="7.33203125" bestFit="1" customWidth="1"/>
    <col min="527" max="527" width="6.6640625" bestFit="1" customWidth="1"/>
    <col min="528" max="528" width="32" bestFit="1" customWidth="1"/>
    <col min="529" max="529" width="21.88671875" bestFit="1" customWidth="1"/>
    <col min="530" max="530" width="22.6640625" bestFit="1" customWidth="1"/>
    <col min="531" max="531" width="19.109375" bestFit="1" customWidth="1"/>
    <col min="532" max="532" width="15.5546875" bestFit="1" customWidth="1"/>
    <col min="533" max="533" width="16.5546875" bestFit="1" customWidth="1"/>
    <col min="534" max="534" width="10" bestFit="1" customWidth="1"/>
    <col min="535" max="535" width="9.5546875" bestFit="1" customWidth="1"/>
    <col min="536" max="536" width="14.6640625" bestFit="1" customWidth="1"/>
    <col min="537" max="537" width="7.5546875" bestFit="1" customWidth="1"/>
    <col min="538" max="538" width="16" bestFit="1" customWidth="1"/>
    <col min="539" max="539" width="10" bestFit="1" customWidth="1"/>
    <col min="540" max="540" width="9.5546875" bestFit="1" customWidth="1"/>
    <col min="541" max="541" width="7.109375" bestFit="1" customWidth="1"/>
    <col min="542" max="542" width="31.6640625" bestFit="1" customWidth="1"/>
    <col min="543" max="546" width="9.5546875" bestFit="1" customWidth="1"/>
    <col min="547" max="547" width="36.6640625" bestFit="1" customWidth="1"/>
    <col min="548" max="548" width="19.109375" bestFit="1" customWidth="1"/>
    <col min="549" max="549" width="15.5546875" bestFit="1" customWidth="1"/>
    <col min="550" max="550" width="16.5546875" bestFit="1" customWidth="1"/>
    <col min="551" max="551" width="28.109375" bestFit="1" customWidth="1"/>
    <col min="552" max="552" width="9.5546875" bestFit="1" customWidth="1"/>
    <col min="553" max="553" width="7.109375" bestFit="1" customWidth="1"/>
    <col min="554" max="554" width="7.44140625" bestFit="1" customWidth="1"/>
    <col min="555" max="555" width="31.6640625" bestFit="1" customWidth="1"/>
    <col min="556" max="557" width="9.5546875" bestFit="1" customWidth="1"/>
    <col min="558" max="558" width="36.6640625" bestFit="1" customWidth="1"/>
    <col min="559" max="559" width="19.109375" bestFit="1" customWidth="1"/>
    <col min="560" max="560" width="15.5546875" bestFit="1" customWidth="1"/>
    <col min="561" max="561" width="16.5546875" bestFit="1" customWidth="1"/>
    <col min="562" max="562" width="28.109375" bestFit="1" customWidth="1"/>
    <col min="563" max="563" width="9.5546875" bestFit="1" customWidth="1"/>
    <col min="564" max="564" width="7.33203125" bestFit="1" customWidth="1"/>
    <col min="565" max="565" width="7.5546875" bestFit="1" customWidth="1"/>
    <col min="566" max="566" width="34.44140625" bestFit="1" customWidth="1"/>
    <col min="567" max="567" width="9.5546875" bestFit="1" customWidth="1"/>
    <col min="568" max="568" width="33.44140625" bestFit="1" customWidth="1"/>
    <col min="569" max="569" width="19.109375" bestFit="1" customWidth="1"/>
    <col min="570" max="570" width="15.5546875" bestFit="1" customWidth="1"/>
    <col min="571" max="571" width="16.5546875" bestFit="1" customWidth="1"/>
    <col min="572" max="572" width="28.6640625" bestFit="1" customWidth="1"/>
    <col min="573" max="573" width="34.5546875" bestFit="1" customWidth="1"/>
    <col min="574" max="574" width="7.33203125" bestFit="1" customWidth="1"/>
    <col min="575" max="575" width="6.6640625" bestFit="1" customWidth="1"/>
    <col min="576" max="576" width="32" bestFit="1" customWidth="1"/>
    <col min="577" max="577" width="21.88671875" bestFit="1" customWidth="1"/>
    <col min="578" max="578" width="9.5546875" bestFit="1" customWidth="1"/>
    <col min="579" max="579" width="33.44140625" bestFit="1" customWidth="1"/>
    <col min="580" max="580" width="19.109375" bestFit="1" customWidth="1"/>
    <col min="581" max="581" width="15.5546875" bestFit="1" customWidth="1"/>
    <col min="582" max="582" width="16.5546875" bestFit="1" customWidth="1"/>
    <col min="583" max="583" width="33.44140625" bestFit="1" customWidth="1"/>
    <col min="584" max="584" width="9.5546875" bestFit="1" customWidth="1"/>
    <col min="585" max="586" width="7.109375" bestFit="1" customWidth="1"/>
    <col min="587" max="587" width="31.6640625" bestFit="1" customWidth="1"/>
    <col min="588" max="588" width="9.5546875" bestFit="1" customWidth="1"/>
    <col min="589" max="589" width="36.6640625" bestFit="1" customWidth="1"/>
    <col min="590" max="590" width="19.109375" bestFit="1" customWidth="1"/>
    <col min="591" max="591" width="15.5546875" bestFit="1" customWidth="1"/>
    <col min="592" max="592" width="16.5546875" bestFit="1" customWidth="1"/>
    <col min="593" max="593" width="28.109375" bestFit="1" customWidth="1"/>
    <col min="594" max="594" width="9.5546875" bestFit="1" customWidth="1"/>
    <col min="595" max="596" width="7.109375" bestFit="1" customWidth="1"/>
    <col min="597" max="597" width="31.6640625" bestFit="1" customWidth="1"/>
    <col min="598" max="598" width="9.5546875" bestFit="1" customWidth="1"/>
    <col min="599" max="599" width="36.6640625" bestFit="1" customWidth="1"/>
    <col min="600" max="600" width="19.109375" bestFit="1" customWidth="1"/>
    <col min="601" max="601" width="15.5546875" bestFit="1" customWidth="1"/>
    <col min="602" max="602" width="16.5546875" bestFit="1" customWidth="1"/>
    <col min="603" max="603" width="28.109375" bestFit="1" customWidth="1"/>
    <col min="604" max="604" width="9.5546875" bestFit="1" customWidth="1"/>
    <col min="605" max="605" width="31.6640625" bestFit="1" customWidth="1"/>
    <col min="606" max="606" width="9.5546875" bestFit="1" customWidth="1"/>
    <col min="607" max="607" width="7.109375" bestFit="1" customWidth="1"/>
    <col min="608" max="608" width="6.6640625" bestFit="1" customWidth="1"/>
    <col min="609" max="609" width="34.44140625" bestFit="1" customWidth="1"/>
    <col min="610" max="610" width="9.5546875" bestFit="1" customWidth="1"/>
    <col min="611" max="611" width="36.6640625" bestFit="1" customWidth="1"/>
    <col min="612" max="612" width="19.109375" bestFit="1" customWidth="1"/>
    <col min="613" max="613" width="15.5546875" bestFit="1" customWidth="1"/>
    <col min="614" max="614" width="16.5546875" bestFit="1" customWidth="1"/>
    <col min="615" max="615" width="10" bestFit="1" customWidth="1"/>
    <col min="616" max="616" width="9.5546875" bestFit="1" customWidth="1"/>
    <col min="617" max="617" width="7.33203125" bestFit="1" customWidth="1"/>
    <col min="618" max="618" width="7" bestFit="1" customWidth="1"/>
    <col min="619" max="619" width="34.44140625" bestFit="1" customWidth="1"/>
    <col min="620" max="620" width="34.5546875" bestFit="1" customWidth="1"/>
    <col min="621" max="621" width="9.5546875" bestFit="1" customWidth="1"/>
    <col min="622" max="622" width="27.44140625" bestFit="1" customWidth="1"/>
    <col min="623" max="623" width="19.109375" bestFit="1" customWidth="1"/>
    <col min="624" max="624" width="15.5546875" bestFit="1" customWidth="1"/>
    <col min="625" max="625" width="16.5546875" bestFit="1" customWidth="1"/>
    <col min="626" max="626" width="22.88671875" bestFit="1" customWidth="1"/>
    <col min="627" max="627" width="9.5546875" bestFit="1" customWidth="1"/>
    <col min="628" max="628" width="32.44140625" bestFit="1" customWidth="1"/>
    <col min="629" max="629" width="34.5546875" bestFit="1" customWidth="1"/>
    <col min="630" max="630" width="7" bestFit="1" customWidth="1"/>
    <col min="631" max="631" width="6.5546875" bestFit="1" customWidth="1"/>
    <col min="632" max="632" width="21.6640625" bestFit="1" customWidth="1"/>
    <col min="633" max="633" width="9.33203125" bestFit="1" customWidth="1"/>
    <col min="634" max="634" width="35.6640625" bestFit="1" customWidth="1"/>
    <col min="635" max="635" width="18.6640625" bestFit="1" customWidth="1"/>
    <col min="636" max="636" width="15.33203125" bestFit="1" customWidth="1"/>
    <col min="637" max="637" width="16.33203125" bestFit="1" customWidth="1"/>
    <col min="638" max="638" width="9.6640625" bestFit="1" customWidth="1"/>
    <col min="639" max="639" width="9.33203125" bestFit="1" customWidth="1"/>
    <col min="640" max="640" width="14.5546875" bestFit="1" customWidth="1"/>
    <col min="641" max="641" width="7.109375" bestFit="1" customWidth="1"/>
    <col min="642" max="642" width="15.5546875" bestFit="1" customWidth="1"/>
    <col min="643" max="643" width="9.6640625" bestFit="1" customWidth="1"/>
    <col min="644" max="644" width="9.33203125" bestFit="1" customWidth="1"/>
    <col min="645" max="645" width="6.6640625" bestFit="1" customWidth="1"/>
    <col min="646" max="646" width="21.6640625" bestFit="1" customWidth="1"/>
    <col min="647" max="648" width="9.33203125" bestFit="1" customWidth="1"/>
    <col min="649" max="649" width="37.109375" bestFit="1" customWidth="1"/>
    <col min="650" max="650" width="18.6640625" bestFit="1" customWidth="1"/>
    <col min="651" max="651" width="15.33203125" bestFit="1" customWidth="1"/>
    <col min="652" max="652" width="16.33203125" bestFit="1" customWidth="1"/>
    <col min="653" max="653" width="21.6640625" bestFit="1" customWidth="1"/>
    <col min="654" max="654" width="9.33203125" bestFit="1" customWidth="1"/>
    <col min="655" max="655" width="9.6640625" bestFit="1" customWidth="1"/>
    <col min="656" max="656" width="9.33203125" bestFit="1" customWidth="1"/>
    <col min="657" max="657" width="6.5546875" bestFit="1" customWidth="1"/>
    <col min="658" max="658" width="29.88671875" bestFit="1" customWidth="1"/>
    <col min="659" max="659" width="9.33203125" bestFit="1" customWidth="1"/>
    <col min="660" max="660" width="35.33203125" bestFit="1" customWidth="1"/>
    <col min="661" max="661" width="18.5546875" bestFit="1" customWidth="1"/>
    <col min="662" max="662" width="14.88671875" bestFit="1" customWidth="1"/>
    <col min="663" max="663" width="16" bestFit="1" customWidth="1"/>
    <col min="664" max="664" width="9.6640625" bestFit="1" customWidth="1"/>
    <col min="665" max="665" width="9.33203125" bestFit="1" customWidth="1"/>
    <col min="666" max="666" width="7" bestFit="1" customWidth="1"/>
    <col min="667" max="667" width="6.5546875" bestFit="1" customWidth="1"/>
    <col min="668" max="668" width="21.6640625" bestFit="1" customWidth="1"/>
    <col min="669" max="669" width="9.33203125" bestFit="1" customWidth="1"/>
    <col min="670" max="670" width="10.44140625" bestFit="1" customWidth="1"/>
    <col min="671" max="671" width="6.33203125" bestFit="1" customWidth="1"/>
    <col min="672" max="672" width="80.88671875" bestFit="1" customWidth="1"/>
    <col min="673" max="673" width="7.109375" bestFit="1" customWidth="1"/>
    <col min="674" max="674" width="15.5546875" bestFit="1" customWidth="1"/>
    <col min="675" max="675" width="30.44140625" bestFit="1" customWidth="1"/>
    <col min="676" max="676" width="20.6640625" bestFit="1" customWidth="1"/>
    <col min="677" max="677" width="7" bestFit="1" customWidth="1"/>
    <col min="678" max="678" width="6.5546875" bestFit="1" customWidth="1"/>
    <col min="679" max="679" width="29.33203125" bestFit="1" customWidth="1"/>
    <col min="680" max="680" width="9.33203125" bestFit="1" customWidth="1"/>
    <col min="681" max="681" width="35.33203125" bestFit="1" customWidth="1"/>
    <col min="682" max="682" width="18.5546875" bestFit="1" customWidth="1"/>
    <col min="683" max="683" width="14.88671875" bestFit="1" customWidth="1"/>
    <col min="684" max="684" width="16" bestFit="1" customWidth="1"/>
    <col min="685" max="685" width="25.88671875" bestFit="1" customWidth="1"/>
    <col min="686" max="686" width="9.33203125" bestFit="1" customWidth="1"/>
    <col min="687" max="687" width="7" bestFit="1" customWidth="1"/>
    <col min="688" max="688" width="6.5546875" bestFit="1" customWidth="1"/>
    <col min="689" max="689" width="29.88671875" bestFit="1" customWidth="1"/>
    <col min="690" max="690" width="9.33203125" bestFit="1" customWidth="1"/>
    <col min="691" max="691" width="35.6640625" bestFit="1" customWidth="1"/>
    <col min="692" max="692" width="18.6640625" bestFit="1" customWidth="1"/>
    <col min="693" max="693" width="15.33203125" bestFit="1" customWidth="1"/>
    <col min="694" max="694" width="16.33203125" bestFit="1" customWidth="1"/>
    <col min="695" max="695" width="26.44140625" bestFit="1" customWidth="1"/>
    <col min="696" max="696" width="9.33203125" bestFit="1" customWidth="1"/>
    <col min="697" max="697" width="9.6640625" bestFit="1" customWidth="1"/>
    <col min="698" max="698" width="9.33203125" bestFit="1" customWidth="1"/>
    <col min="699" max="699" width="6.5546875" bestFit="1" customWidth="1"/>
    <col min="700" max="700" width="26.44140625" bestFit="1" customWidth="1"/>
    <col min="701" max="702" width="9.33203125" bestFit="1" customWidth="1"/>
    <col min="703" max="703" width="7" bestFit="1" customWidth="1"/>
    <col min="704" max="704" width="6.5546875" bestFit="1" customWidth="1"/>
    <col min="705" max="705" width="21.6640625" bestFit="1" customWidth="1"/>
    <col min="706" max="706" width="9.33203125" bestFit="1" customWidth="1"/>
    <col min="707" max="707" width="26.5546875" bestFit="1" customWidth="1"/>
    <col min="708" max="708" width="18.6640625" bestFit="1" customWidth="1"/>
    <col min="709" max="709" width="15.33203125" bestFit="1" customWidth="1"/>
    <col min="710" max="710" width="16.33203125" bestFit="1" customWidth="1"/>
    <col min="711" max="711" width="21.6640625" bestFit="1" customWidth="1"/>
    <col min="712" max="712" width="9.33203125" bestFit="1" customWidth="1"/>
    <col min="713" max="713" width="7" bestFit="1" customWidth="1"/>
    <col min="714" max="714" width="6.5546875" bestFit="1" customWidth="1"/>
    <col min="715" max="715" width="21.6640625" bestFit="1" customWidth="1"/>
    <col min="716" max="716" width="9.33203125" bestFit="1" customWidth="1"/>
    <col min="717" max="717" width="26.5546875" bestFit="1" customWidth="1"/>
    <col min="718" max="718" width="18.6640625" bestFit="1" customWidth="1"/>
    <col min="719" max="719" width="15.33203125" bestFit="1" customWidth="1"/>
    <col min="720" max="720" width="16.33203125" bestFit="1" customWidth="1"/>
    <col min="721" max="721" width="21.6640625" bestFit="1" customWidth="1"/>
    <col min="722" max="722" width="9.33203125" bestFit="1" customWidth="1"/>
    <col min="723" max="723" width="14.5546875" bestFit="1" customWidth="1"/>
    <col min="724" max="724" width="7.109375" bestFit="1" customWidth="1"/>
    <col min="725" max="725" width="15.5546875" bestFit="1" customWidth="1"/>
    <col min="726" max="726" width="30.44140625" bestFit="1" customWidth="1"/>
    <col min="727" max="727" width="20.6640625" bestFit="1" customWidth="1"/>
    <col min="728" max="728" width="6.5546875" bestFit="1" customWidth="1"/>
    <col min="729" max="729" width="30.44140625" bestFit="1" customWidth="1"/>
    <col min="730" max="731" width="9.33203125" bestFit="1" customWidth="1"/>
    <col min="732" max="732" width="35.6640625" bestFit="1" customWidth="1"/>
    <col min="733" max="733" width="18.6640625" bestFit="1" customWidth="1"/>
    <col min="734" max="734" width="15.33203125" bestFit="1" customWidth="1"/>
    <col min="735" max="735" width="16.33203125" bestFit="1" customWidth="1"/>
    <col min="736" max="736" width="9.6640625" bestFit="1" customWidth="1"/>
    <col min="737" max="737" width="9.33203125" bestFit="1" customWidth="1"/>
    <col min="738" max="738" width="7" bestFit="1" customWidth="1"/>
    <col min="739" max="739" width="6.5546875" bestFit="1" customWidth="1"/>
    <col min="740" max="740" width="30.44140625" bestFit="1" customWidth="1"/>
    <col min="741" max="741" width="9.33203125" bestFit="1" customWidth="1"/>
    <col min="742" max="742" width="35.6640625" bestFit="1" customWidth="1"/>
    <col min="743" max="743" width="18.6640625" bestFit="1" customWidth="1"/>
    <col min="744" max="744" width="15.33203125" bestFit="1" customWidth="1"/>
    <col min="745" max="745" width="16.33203125" bestFit="1" customWidth="1"/>
    <col min="746" max="746" width="30.109375" bestFit="1" customWidth="1"/>
    <col min="747" max="747" width="9.33203125" bestFit="1" customWidth="1"/>
    <col min="748" max="748" width="9.6640625" bestFit="1" customWidth="1"/>
    <col min="749" max="749" width="9.33203125" bestFit="1" customWidth="1"/>
    <col min="750" max="750" width="6.6640625" bestFit="1" customWidth="1"/>
    <col min="751" max="751" width="26.44140625" bestFit="1" customWidth="1"/>
    <col min="752" max="753" width="9.33203125" bestFit="1" customWidth="1"/>
    <col min="754" max="754" width="9.6640625" bestFit="1" customWidth="1"/>
    <col min="755" max="755" width="9.33203125" bestFit="1" customWidth="1"/>
    <col min="756" max="756" width="35.44140625" bestFit="1" customWidth="1"/>
    <col min="757" max="757" width="18.6640625" bestFit="1" customWidth="1"/>
    <col min="758" max="758" width="15.33203125" bestFit="1" customWidth="1"/>
    <col min="759" max="759" width="16.33203125" bestFit="1" customWidth="1"/>
    <col min="760" max="760" width="32.109375" bestFit="1" customWidth="1"/>
    <col min="761" max="761" width="9.33203125" bestFit="1" customWidth="1"/>
    <col min="762" max="762" width="6.88671875" bestFit="1" customWidth="1"/>
    <col min="763" max="763" width="7.109375" bestFit="1" customWidth="1"/>
    <col min="764" max="764" width="9.6640625" bestFit="1" customWidth="1"/>
    <col min="765" max="765" width="9.33203125" bestFit="1" customWidth="1"/>
    <col min="766" max="766" width="35.44140625" bestFit="1" customWidth="1"/>
    <col min="767" max="767" width="18.6640625" bestFit="1" customWidth="1"/>
    <col min="768" max="768" width="15.33203125" bestFit="1" customWidth="1"/>
    <col min="769" max="769" width="16.33203125" bestFit="1" customWidth="1"/>
    <col min="770" max="770" width="32.109375" bestFit="1" customWidth="1"/>
    <col min="771" max="771" width="9.33203125" bestFit="1" customWidth="1"/>
    <col min="772" max="772" width="6.88671875" bestFit="1" customWidth="1"/>
    <col min="773" max="773" width="6.5546875" bestFit="1" customWidth="1"/>
    <col min="774" max="774" width="9.6640625" bestFit="1" customWidth="1"/>
    <col min="775" max="776" width="9.33203125" bestFit="1" customWidth="1"/>
    <col min="777" max="777" width="30.44140625" bestFit="1" customWidth="1"/>
    <col min="778" max="778" width="18.6640625" bestFit="1" customWidth="1"/>
    <col min="779" max="779" width="15.33203125" bestFit="1" customWidth="1"/>
    <col min="780" max="780" width="16.33203125" bestFit="1" customWidth="1"/>
    <col min="781" max="781" width="9.6640625" bestFit="1" customWidth="1"/>
    <col min="782" max="782" width="9.33203125" bestFit="1" customWidth="1"/>
    <col min="783" max="783" width="7" bestFit="1" customWidth="1"/>
    <col min="784" max="784" width="6.5546875" bestFit="1" customWidth="1"/>
    <col min="785" max="785" width="30.44140625" bestFit="1" customWidth="1"/>
    <col min="786" max="786" width="20.6640625" bestFit="1" customWidth="1"/>
    <col min="787" max="787" width="36.88671875" bestFit="1" customWidth="1"/>
    <col min="788" max="788" width="19.109375" bestFit="1" customWidth="1"/>
    <col min="789" max="789" width="15.5546875" bestFit="1" customWidth="1"/>
    <col min="790" max="790" width="16.5546875" bestFit="1" customWidth="1"/>
    <col min="791" max="791" width="10" bestFit="1" customWidth="1"/>
    <col min="792" max="792" width="9.5546875" bestFit="1" customWidth="1"/>
    <col min="793" max="793" width="7.33203125" bestFit="1" customWidth="1"/>
    <col min="794" max="794" width="6.6640625" bestFit="1" customWidth="1"/>
    <col min="795" max="795" width="35.6640625" bestFit="1" customWidth="1"/>
    <col min="796" max="796" width="9.5546875" bestFit="1" customWidth="1"/>
    <col min="797" max="797" width="25.88671875" bestFit="1" customWidth="1"/>
    <col min="798" max="798" width="19.109375" bestFit="1" customWidth="1"/>
    <col min="799" max="799" width="15.5546875" bestFit="1" customWidth="1"/>
    <col min="800" max="800" width="16.5546875" bestFit="1" customWidth="1"/>
    <col min="801" max="801" width="23.5546875" bestFit="1" customWidth="1"/>
    <col min="802" max="802" width="9.5546875" bestFit="1" customWidth="1"/>
    <col min="803" max="803" width="7.33203125" bestFit="1" customWidth="1"/>
    <col min="804" max="804" width="7.109375" bestFit="1" customWidth="1"/>
    <col min="805" max="805" width="32.44140625" bestFit="1" customWidth="1"/>
    <col min="806" max="806" width="9.5546875" bestFit="1" customWidth="1"/>
    <col min="807" max="807" width="29.88671875" bestFit="1" customWidth="1"/>
    <col min="808" max="808" width="19.109375" bestFit="1" customWidth="1"/>
    <col min="809" max="809" width="15.5546875" bestFit="1" customWidth="1"/>
    <col min="810" max="810" width="16.5546875" bestFit="1" customWidth="1"/>
    <col min="811" max="811" width="32.44140625" bestFit="1" customWidth="1"/>
    <col min="812" max="812" width="9.5546875" bestFit="1" customWidth="1"/>
    <col min="813" max="813" width="10" bestFit="1" customWidth="1"/>
    <col min="814" max="814" width="9.5546875" bestFit="1" customWidth="1"/>
    <col min="815" max="815" width="6.44140625" bestFit="1" customWidth="1"/>
    <col min="816" max="816" width="81.109375" bestFit="1" customWidth="1"/>
    <col min="817" max="817" width="7.5546875" bestFit="1" customWidth="1"/>
    <col min="818" max="818" width="16" bestFit="1" customWidth="1"/>
    <col min="819" max="819" width="31.6640625" bestFit="1" customWidth="1"/>
    <col min="820" max="820" width="21.88671875" bestFit="1" customWidth="1"/>
    <col min="821" max="821" width="7.5546875" bestFit="1" customWidth="1"/>
    <col min="822" max="822" width="34.44140625" bestFit="1" customWidth="1"/>
    <col min="823" max="823" width="34.5546875" bestFit="1" customWidth="1"/>
    <col min="824" max="824" width="9.5546875" bestFit="1" customWidth="1"/>
    <col min="825" max="826" width="7.109375" bestFit="1" customWidth="1"/>
    <col min="827" max="827" width="10" bestFit="1" customWidth="1"/>
    <col min="828" max="829" width="9.5546875" bestFit="1" customWidth="1"/>
    <col min="830" max="830" width="19.6640625" bestFit="1" customWidth="1"/>
    <col min="831" max="831" width="19.109375" bestFit="1" customWidth="1"/>
    <col min="832" max="832" width="15.5546875" bestFit="1" customWidth="1"/>
    <col min="833" max="833" width="16.5546875" bestFit="1" customWidth="1"/>
    <col min="834" max="834" width="33.44140625" bestFit="1" customWidth="1"/>
    <col min="835" max="835" width="9.5546875" bestFit="1" customWidth="1"/>
    <col min="836" max="836" width="7.109375" bestFit="1" customWidth="1"/>
    <col min="837" max="837" width="6.6640625" bestFit="1" customWidth="1"/>
    <col min="838" max="838" width="33.44140625" bestFit="1" customWidth="1"/>
    <col min="839" max="839" width="9.5546875" bestFit="1" customWidth="1"/>
    <col min="840" max="840" width="6.44140625" bestFit="1" customWidth="1"/>
    <col min="841" max="841" width="81.109375" bestFit="1" customWidth="1"/>
    <col min="842" max="842" width="7.5546875" bestFit="1" customWidth="1"/>
    <col min="843" max="843" width="16" bestFit="1" customWidth="1"/>
    <col min="844" max="844" width="31.6640625" bestFit="1" customWidth="1"/>
    <col min="845" max="845" width="21.88671875" bestFit="1" customWidth="1"/>
    <col min="846" max="847" width="7.109375" bestFit="1" customWidth="1"/>
    <col min="848" max="848" width="10" bestFit="1" customWidth="1"/>
    <col min="849" max="849" width="9.5546875" bestFit="1" customWidth="1"/>
    <col min="850" max="850" width="34.5546875" bestFit="1" customWidth="1"/>
    <col min="851" max="851" width="16" bestFit="1" customWidth="1"/>
    <col min="852" max="852" width="11.44140625" bestFit="1" customWidth="1"/>
    <col min="853" max="853" width="20" bestFit="1" customWidth="1"/>
    <col min="854" max="854" width="23.5546875" bestFit="1" customWidth="1"/>
    <col min="855" max="855" width="9.5546875" bestFit="1" customWidth="1"/>
    <col min="856" max="856" width="6.6640625" bestFit="1" customWidth="1"/>
    <col min="857" max="857" width="35.6640625" bestFit="1" customWidth="1"/>
    <col min="858" max="858" width="9.5546875" bestFit="1" customWidth="1"/>
    <col min="859" max="859" width="35.33203125" bestFit="1" customWidth="1"/>
    <col min="860" max="860" width="19.109375" bestFit="1" customWidth="1"/>
    <col min="861" max="861" width="15.5546875" bestFit="1" customWidth="1"/>
    <col min="862" max="862" width="16.5546875" bestFit="1" customWidth="1"/>
    <col min="863" max="863" width="28.6640625" bestFit="1" customWidth="1"/>
    <col min="864" max="864" width="9.5546875" bestFit="1" customWidth="1"/>
    <col min="865" max="865" width="7.33203125" bestFit="1" customWidth="1"/>
    <col min="866" max="866" width="6.6640625" bestFit="1" customWidth="1"/>
    <col min="867" max="867" width="32" bestFit="1" customWidth="1"/>
    <col min="868" max="868" width="21.88671875" bestFit="1" customWidth="1"/>
    <col min="869" max="869" width="36.88671875" bestFit="1" customWidth="1"/>
    <col min="870" max="870" width="19.109375" bestFit="1" customWidth="1"/>
    <col min="871" max="871" width="15.5546875" bestFit="1" customWidth="1"/>
    <col min="872" max="872" width="16.5546875" bestFit="1" customWidth="1"/>
    <col min="873" max="873" width="32" bestFit="1" customWidth="1"/>
    <col min="874" max="874" width="9.5546875" bestFit="1" customWidth="1"/>
    <col min="875" max="875" width="14.6640625" bestFit="1" customWidth="1"/>
    <col min="876" max="876" width="7.5546875" bestFit="1" customWidth="1"/>
    <col min="877" max="877" width="16" bestFit="1" customWidth="1"/>
    <col min="878" max="878" width="31.6640625" bestFit="1" customWidth="1"/>
    <col min="879" max="879" width="21.88671875" bestFit="1" customWidth="1"/>
    <col min="880" max="881" width="7.109375" bestFit="1" customWidth="1"/>
    <col min="882" max="882" width="10" bestFit="1" customWidth="1"/>
    <col min="883" max="885" width="9.5546875" bestFit="1" customWidth="1"/>
    <col min="886" max="886" width="19.6640625" bestFit="1" customWidth="1"/>
    <col min="887" max="887" width="19.109375" bestFit="1" customWidth="1"/>
    <col min="888" max="888" width="15.5546875" bestFit="1" customWidth="1"/>
    <col min="889" max="889" width="16.5546875" bestFit="1" customWidth="1"/>
    <col min="890" max="890" width="33.44140625" bestFit="1" customWidth="1"/>
    <col min="891" max="891" width="9.5546875" bestFit="1" customWidth="1"/>
    <col min="892" max="892" width="10" bestFit="1" customWidth="1"/>
    <col min="893" max="893" width="9.5546875" bestFit="1" customWidth="1"/>
    <col min="894" max="894" width="6.6640625" bestFit="1" customWidth="1"/>
    <col min="895" max="895" width="10" customWidth="1"/>
    <col min="896" max="897" width="9.5546875" bestFit="1" customWidth="1"/>
    <col min="898" max="898" width="7.33203125" bestFit="1" customWidth="1"/>
    <col min="899" max="899" width="6.6640625" bestFit="1" customWidth="1"/>
    <col min="900" max="900" width="35.6640625" bestFit="1" customWidth="1"/>
    <col min="901" max="901" width="34.5546875" bestFit="1" customWidth="1"/>
    <col min="902" max="902" width="25.88671875" bestFit="1" customWidth="1"/>
    <col min="903" max="903" width="19.109375" bestFit="1" customWidth="1"/>
    <col min="904" max="904" width="15.5546875" bestFit="1" customWidth="1"/>
    <col min="905" max="905" width="16.5546875" bestFit="1" customWidth="1"/>
    <col min="906" max="906" width="35.6640625" bestFit="1" customWidth="1"/>
    <col min="907" max="907" width="9.5546875" bestFit="1" customWidth="1"/>
    <col min="908" max="908" width="7.33203125" bestFit="1" customWidth="1"/>
    <col min="909" max="909" width="6.6640625" bestFit="1" customWidth="1"/>
    <col min="910" max="910" width="33.88671875" bestFit="1" customWidth="1"/>
    <col min="911" max="911" width="21.88671875" bestFit="1" customWidth="1"/>
    <col min="912" max="912" width="36.88671875" bestFit="1" customWidth="1"/>
    <col min="913" max="913" width="19.109375" bestFit="1" customWidth="1"/>
    <col min="914" max="914" width="15.5546875" bestFit="1" customWidth="1"/>
    <col min="915" max="915" width="16.5546875" bestFit="1" customWidth="1"/>
    <col min="916" max="916" width="10" bestFit="1" customWidth="1"/>
    <col min="917" max="917" width="9.5546875" bestFit="1" customWidth="1"/>
    <col min="918" max="918" width="7.109375" bestFit="1" customWidth="1"/>
    <col min="919" max="919" width="7.44140625" bestFit="1" customWidth="1"/>
    <col min="920" max="920" width="33.88671875" bestFit="1" customWidth="1"/>
    <col min="921" max="921" width="9.5546875" bestFit="1" customWidth="1"/>
    <col min="922" max="922" width="21.88671875" bestFit="1" customWidth="1"/>
    <col min="923" max="923" width="9.5546875" bestFit="1" customWidth="1"/>
    <col min="924" max="924" width="36.6640625" bestFit="1" customWidth="1"/>
    <col min="925" max="925" width="19.109375" bestFit="1" customWidth="1"/>
    <col min="926" max="926" width="15.5546875" bestFit="1" customWidth="1"/>
    <col min="927" max="927" width="16.5546875" bestFit="1" customWidth="1"/>
    <col min="928" max="928" width="33.44140625" bestFit="1" customWidth="1"/>
    <col min="929" max="929" width="9.5546875" bestFit="1" customWidth="1"/>
    <col min="930" max="930" width="7.33203125" bestFit="1" customWidth="1"/>
    <col min="931" max="931" width="6.6640625" bestFit="1" customWidth="1"/>
    <col min="932" max="932" width="35.6640625" bestFit="1" customWidth="1"/>
    <col min="933" max="933" width="34.5546875" bestFit="1" customWidth="1"/>
    <col min="934" max="934" width="25.88671875" bestFit="1" customWidth="1"/>
    <col min="935" max="935" width="19.109375" bestFit="1" customWidth="1"/>
    <col min="936" max="936" width="15.5546875" bestFit="1" customWidth="1"/>
    <col min="937" max="937" width="16.5546875" bestFit="1" customWidth="1"/>
    <col min="938" max="938" width="35.6640625" bestFit="1" customWidth="1"/>
    <col min="939" max="939" width="9.5546875" bestFit="1" customWidth="1"/>
    <col min="940" max="941" width="7.33203125" bestFit="1" customWidth="1"/>
    <col min="942" max="942" width="35.6640625" bestFit="1" customWidth="1"/>
    <col min="943" max="943" width="9.5546875" bestFit="1" customWidth="1"/>
    <col min="944" max="944" width="34.5546875" bestFit="1" customWidth="1"/>
    <col min="945" max="945" width="12.6640625" customWidth="1"/>
    <col min="946" max="946" width="19.109375" bestFit="1" customWidth="1"/>
    <col min="947" max="947" width="15.5546875" bestFit="1" customWidth="1"/>
    <col min="948" max="948" width="16.5546875" bestFit="1" customWidth="1"/>
    <col min="949" max="949" width="10" bestFit="1" customWidth="1"/>
    <col min="950" max="950" width="9.5546875" bestFit="1" customWidth="1"/>
    <col min="951" max="951" width="10" bestFit="1" customWidth="1"/>
    <col min="952" max="952" width="9.5546875" bestFit="1" customWidth="1"/>
    <col min="953" max="953" width="6.44140625" bestFit="1" customWidth="1"/>
    <col min="954" max="954" width="30.44140625" bestFit="1" customWidth="1"/>
    <col min="955" max="955" width="7.5546875" bestFit="1" customWidth="1"/>
    <col min="956" max="956" width="16" bestFit="1" customWidth="1"/>
    <col min="957" max="957" width="18.88671875" bestFit="1" customWidth="1"/>
    <col min="958" max="958" width="9.5546875" bestFit="1" customWidth="1"/>
    <col min="959" max="959" width="34.5546875" bestFit="1" customWidth="1"/>
    <col min="960" max="960" width="38.44140625" bestFit="1" customWidth="1"/>
    <col min="961" max="961" width="19.109375" bestFit="1" customWidth="1"/>
    <col min="962" max="962" width="15.5546875" bestFit="1" customWidth="1"/>
    <col min="963" max="963" width="16.5546875" bestFit="1" customWidth="1"/>
    <col min="964" max="964" width="28.6640625" bestFit="1" customWidth="1"/>
    <col min="965" max="965" width="34.5546875" bestFit="1" customWidth="1"/>
    <col min="966" max="966" width="7.109375" bestFit="1" customWidth="1"/>
    <col min="967" max="967" width="7.5546875" bestFit="1" customWidth="1"/>
    <col min="968" max="968" width="22.88671875" bestFit="1" customWidth="1"/>
    <col min="969" max="970" width="9.5546875" bestFit="1" customWidth="1"/>
    <col min="971" max="971" width="10.6640625" bestFit="1" customWidth="1"/>
    <col min="972" max="972" width="6.44140625" bestFit="1" customWidth="1"/>
    <col min="973" max="973" width="30.44140625" bestFit="1" customWidth="1"/>
    <col min="974" max="974" width="7.5546875" bestFit="1" customWidth="1"/>
    <col min="975" max="975" width="16" bestFit="1" customWidth="1"/>
    <col min="976" max="976" width="18.88671875" bestFit="1" customWidth="1"/>
    <col min="977" max="977" width="9.5546875" bestFit="1" customWidth="1"/>
    <col min="978" max="978" width="7.5546875" bestFit="1" customWidth="1"/>
    <col min="979" max="979" width="29.6640625" bestFit="1" customWidth="1"/>
    <col min="980" max="980" width="34.5546875" bestFit="1" customWidth="1"/>
    <col min="981" max="981" width="9.5546875" bestFit="1" customWidth="1"/>
    <col min="982" max="982" width="10.6640625" bestFit="1" customWidth="1"/>
    <col min="983" max="983" width="6.44140625" bestFit="1" customWidth="1"/>
    <col min="984" max="984" width="30.44140625" bestFit="1" customWidth="1"/>
    <col min="985" max="985" width="7.5546875" bestFit="1" customWidth="1"/>
    <col min="986" max="986" width="16" bestFit="1" customWidth="1"/>
    <col min="987" max="987" width="18.88671875" bestFit="1" customWidth="1"/>
    <col min="988" max="988" width="9.5546875" bestFit="1" customWidth="1"/>
    <col min="989" max="989" width="15.5546875" bestFit="1" customWidth="1"/>
    <col min="990" max="990" width="16.5546875" bestFit="1" customWidth="1"/>
    <col min="991" max="991" width="33.44140625" bestFit="1" customWidth="1"/>
    <col min="992" max="992" width="9.5546875" bestFit="1" customWidth="1"/>
    <col min="993" max="993" width="7.33203125" bestFit="1" customWidth="1"/>
    <col min="994" max="994" width="7.44140625" bestFit="1" customWidth="1"/>
    <col min="995" max="995" width="33.44140625" bestFit="1" customWidth="1"/>
    <col min="996" max="996" width="9.5546875" bestFit="1" customWidth="1"/>
    <col min="997" max="997" width="20.44140625" bestFit="1" customWidth="1"/>
    <col min="998" max="998" width="19.109375" bestFit="1" customWidth="1"/>
    <col min="999" max="999" width="15.5546875" bestFit="1" customWidth="1"/>
    <col min="1000" max="1000" width="16.5546875" bestFit="1" customWidth="1"/>
    <col min="1001" max="1001" width="34.44140625" bestFit="1" customWidth="1"/>
    <col min="1002" max="1002" width="9.5546875" bestFit="1" customWidth="1"/>
    <col min="1003" max="1003" width="7.109375" bestFit="1" customWidth="1"/>
    <col min="1004" max="1004" width="7.5546875" bestFit="1" customWidth="1"/>
    <col min="1005" max="1005" width="25.6640625" bestFit="1" customWidth="1"/>
    <col min="1006" max="1006" width="26.109375" bestFit="1" customWidth="1"/>
    <col min="1007" max="1007" width="9.5546875" bestFit="1" customWidth="1"/>
    <col min="1008" max="1008" width="6.44140625" bestFit="1" customWidth="1"/>
    <col min="1009" max="1009" width="14.6640625" bestFit="1" customWidth="1"/>
    <col min="1010" max="1010" width="7.5546875" bestFit="1" customWidth="1"/>
    <col min="1011" max="1011" width="16" bestFit="1" customWidth="1"/>
    <col min="1012" max="1012" width="10" bestFit="1" customWidth="1"/>
    <col min="1013" max="1013" width="9.5546875" bestFit="1" customWidth="1"/>
    <col min="1014" max="1014" width="7.5546875" bestFit="1" customWidth="1"/>
    <col min="1015" max="1015" width="25.6640625" bestFit="1" customWidth="1"/>
    <col min="1016" max="1016" width="26.109375" bestFit="1" customWidth="1"/>
    <col min="1017" max="1017" width="9.5546875" bestFit="1" customWidth="1"/>
    <col min="1018" max="1018" width="38.44140625" bestFit="1" customWidth="1"/>
    <col min="1019" max="1019" width="19.109375" bestFit="1" customWidth="1"/>
    <col min="1020" max="1020" width="15.5546875" bestFit="1" customWidth="1"/>
    <col min="1021" max="1021" width="16.5546875" bestFit="1" customWidth="1"/>
    <col min="1022" max="1022" width="34.44140625" bestFit="1" customWidth="1"/>
    <col min="1023" max="1023" width="34.5546875" bestFit="1" customWidth="1"/>
    <col min="1024" max="1024" width="7.109375" bestFit="1" customWidth="1"/>
    <col min="1025" max="1025" width="6.6640625" bestFit="1" customWidth="1"/>
    <col min="1026" max="1026" width="35.6640625" bestFit="1" customWidth="1"/>
    <col min="1027" max="1029" width="9.5546875" bestFit="1" customWidth="1"/>
    <col min="1030" max="1030" width="20.109375" bestFit="1" customWidth="1"/>
    <col min="1031" max="1031" width="19.109375" bestFit="1" customWidth="1"/>
    <col min="1032" max="1032" width="15.5546875" bestFit="1" customWidth="1"/>
    <col min="1033" max="1033" width="17.44140625" bestFit="1" customWidth="1"/>
    <col min="1034" max="1034" width="20.44140625" bestFit="1" customWidth="1"/>
    <col min="1035" max="1035" width="9.5546875" bestFit="1" customWidth="1"/>
    <col min="1036" max="1036" width="7.109375" bestFit="1" customWidth="1"/>
    <col min="1037" max="1037" width="7.44140625" bestFit="1" customWidth="1"/>
    <col min="1038" max="1038" width="29.6640625" bestFit="1" customWidth="1"/>
    <col min="1039" max="1040" width="9.5546875" bestFit="1" customWidth="1"/>
    <col min="1041" max="1041" width="7.109375" bestFit="1" customWidth="1"/>
    <col min="1042" max="1042" width="6.6640625" bestFit="1" customWidth="1"/>
    <col min="1043" max="1043" width="35.6640625" bestFit="1" customWidth="1"/>
    <col min="1044" max="1044" width="9.5546875" bestFit="1" customWidth="1"/>
    <col min="1045" max="1045" width="36.6640625" bestFit="1" customWidth="1"/>
    <col min="1046" max="1046" width="19.109375" bestFit="1" customWidth="1"/>
    <col min="1047" max="1047" width="15.5546875" bestFit="1" customWidth="1"/>
    <col min="1048" max="1048" width="17.44140625" bestFit="1" customWidth="1"/>
    <col min="1049" max="1049" width="29.6640625" bestFit="1" customWidth="1"/>
    <col min="1050" max="1050" width="9.5546875" bestFit="1" customWidth="1"/>
    <col min="1051" max="1051" width="7.5546875" bestFit="1" customWidth="1"/>
    <col min="1052" max="1052" width="7.88671875" bestFit="1" customWidth="1"/>
    <col min="1053" max="1053" width="34.44140625" bestFit="1" customWidth="1"/>
    <col min="1054" max="1054" width="34.5546875" bestFit="1" customWidth="1"/>
    <col min="1055" max="1055" width="9.5546875" bestFit="1" customWidth="1"/>
    <col min="1056" max="1056" width="10" bestFit="1" customWidth="1"/>
    <col min="1057" max="1057" width="9.5546875" bestFit="1" customWidth="1"/>
    <col min="1058" max="1058" width="7" bestFit="1" customWidth="1"/>
    <col min="1059" max="1059" width="10" bestFit="1" customWidth="1"/>
    <col min="1060" max="1061" width="9.5546875" bestFit="1" customWidth="1"/>
    <col min="1062" max="1062" width="30.6640625" bestFit="1" customWidth="1"/>
    <col min="1063" max="1063" width="19.109375" bestFit="1" customWidth="1"/>
    <col min="1064" max="1064" width="15.5546875" bestFit="1" customWidth="1"/>
    <col min="1065" max="1065" width="16.5546875" bestFit="1" customWidth="1"/>
    <col min="1066" max="1066" width="18.5546875" bestFit="1" customWidth="1"/>
    <col min="1067" max="1067" width="9.5546875" bestFit="1" customWidth="1"/>
    <col min="1068" max="1069" width="7.5546875" bestFit="1" customWidth="1"/>
    <col min="1070" max="1070" width="34.44140625" bestFit="1" customWidth="1"/>
    <col min="1071" max="1071" width="34.5546875" bestFit="1" customWidth="1"/>
    <col min="1072" max="1072" width="9.5546875" bestFit="1" customWidth="1"/>
    <col min="1073" max="1073" width="34.5546875" bestFit="1" customWidth="1"/>
    <col min="1074" max="1074" width="19.109375" bestFit="1" customWidth="1"/>
    <col min="1075" max="1075" width="15.5546875" bestFit="1" customWidth="1"/>
    <col min="1076" max="1076" width="16.5546875" bestFit="1" customWidth="1"/>
    <col min="1077" max="1077" width="22.88671875" bestFit="1" customWidth="1"/>
    <col min="1078" max="1078" width="9.5546875" bestFit="1" customWidth="1"/>
    <col min="1079" max="1079" width="7.109375" bestFit="1" customWidth="1"/>
    <col min="1080" max="1080" width="7.5546875" bestFit="1" customWidth="1"/>
    <col min="1081" max="1081" width="22.88671875" bestFit="1" customWidth="1"/>
    <col min="1082" max="1082" width="9.5546875" bestFit="1" customWidth="1"/>
    <col min="1083" max="1083" width="37.33203125" bestFit="1" customWidth="1"/>
    <col min="1084" max="1084" width="19.109375" bestFit="1" customWidth="1"/>
    <col min="1085" max="1085" width="15.5546875" bestFit="1" customWidth="1"/>
    <col min="1086" max="1086" width="16.5546875" bestFit="1" customWidth="1"/>
    <col min="1087" max="1087" width="50.88671875" bestFit="1" customWidth="1"/>
    <col min="1088" max="1088" width="34.5546875" bestFit="1" customWidth="1"/>
    <col min="1089" max="1089" width="7.33203125" bestFit="1" customWidth="1"/>
    <col min="1090" max="1090" width="6.6640625" bestFit="1" customWidth="1"/>
    <col min="1091" max="1091" width="10" bestFit="1" customWidth="1"/>
    <col min="1092" max="1092" width="9.5546875" bestFit="1" customWidth="1"/>
    <col min="1093" max="1093" width="37.33203125" bestFit="1" customWidth="1"/>
    <col min="1094" max="1094" width="19.109375" bestFit="1" customWidth="1"/>
    <col min="1095" max="1095" width="15.5546875" bestFit="1" customWidth="1"/>
    <col min="1096" max="1096" width="16.5546875" bestFit="1" customWidth="1"/>
    <col min="1097" max="1097" width="22.88671875" bestFit="1" customWidth="1"/>
    <col min="1098" max="1098" width="9.5546875" bestFit="1" customWidth="1"/>
    <col min="1099" max="1099" width="7.33203125" bestFit="1" customWidth="1"/>
    <col min="1100" max="1100" width="6.6640625" bestFit="1" customWidth="1"/>
    <col min="1101" max="1101" width="28.6640625" bestFit="1" customWidth="1"/>
    <col min="1102" max="1102" width="34.5546875" bestFit="1" customWidth="1"/>
    <col min="1103" max="1103" width="9.5546875" bestFit="1" customWidth="1"/>
    <col min="1104" max="1104" width="37.33203125" bestFit="1" customWidth="1"/>
    <col min="1105" max="1105" width="19.109375" bestFit="1" customWidth="1"/>
    <col min="1106" max="1106" width="15.5546875" bestFit="1" customWidth="1"/>
    <col min="1107" max="1107" width="16.5546875" bestFit="1" customWidth="1"/>
    <col min="1108" max="1108" width="22.88671875" bestFit="1" customWidth="1"/>
    <col min="1109" max="1109" width="9.5546875" bestFit="1" customWidth="1"/>
    <col min="1110" max="1110" width="7.33203125" bestFit="1" customWidth="1"/>
    <col min="1111" max="1111" width="7.44140625" bestFit="1" customWidth="1"/>
    <col min="1112" max="1112" width="33.44140625" bestFit="1" customWidth="1"/>
    <col min="1113" max="1113" width="34.5546875" bestFit="1" customWidth="1"/>
    <col min="1114" max="1114" width="29.88671875" bestFit="1" customWidth="1"/>
    <col min="1115" max="1115" width="19.109375" bestFit="1" customWidth="1"/>
    <col min="1116" max="1116" width="15.5546875" bestFit="1" customWidth="1"/>
    <col min="1117" max="1117" width="16.5546875" bestFit="1" customWidth="1"/>
    <col min="1118" max="1118" width="29.6640625" bestFit="1" customWidth="1"/>
    <col min="1119" max="1119" width="9.5546875" bestFit="1" customWidth="1"/>
    <col min="1120" max="1120" width="7.109375" bestFit="1" customWidth="1"/>
    <col min="1121" max="1121" width="7.88671875" bestFit="1" customWidth="1"/>
    <col min="1122" max="1122" width="29.6640625" bestFit="1" customWidth="1"/>
    <col min="1123" max="1125" width="9.5546875" bestFit="1" customWidth="1"/>
    <col min="1126" max="1126" width="18.109375" bestFit="1" customWidth="1"/>
    <col min="1127" max="1127" width="19.109375" bestFit="1" customWidth="1"/>
    <col min="1128" max="1128" width="15.5546875" bestFit="1" customWidth="1"/>
    <col min="1129" max="1129" width="17.44140625" bestFit="1" customWidth="1"/>
    <col min="1130" max="1130" width="10" bestFit="1" customWidth="1"/>
    <col min="1131" max="1131" width="9.5546875" bestFit="1" customWidth="1"/>
    <col min="1132" max="1132" width="7.109375" bestFit="1" customWidth="1"/>
    <col min="1133" max="1133" width="7.44140625" bestFit="1" customWidth="1"/>
    <col min="1134" max="1134" width="35.6640625" bestFit="1" customWidth="1"/>
    <col min="1135" max="1135" width="9.5546875" bestFit="1" customWidth="1"/>
    <col min="1136" max="1136" width="28.109375" bestFit="1" customWidth="1"/>
    <col min="1137" max="1137" width="19.109375" bestFit="1" customWidth="1"/>
    <col min="1138" max="1138" width="15.5546875" bestFit="1" customWidth="1"/>
    <col min="1139" max="1139" width="17.44140625" bestFit="1" customWidth="1"/>
    <col min="1140" max="1140" width="29.6640625" bestFit="1" customWidth="1"/>
    <col min="1141" max="1141" width="34.5546875" bestFit="1" customWidth="1"/>
    <col min="1142" max="1143" width="7.5546875" bestFit="1" customWidth="1"/>
    <col min="1144" max="1144" width="34.44140625" bestFit="1" customWidth="1"/>
    <col min="1145" max="1145" width="9.5546875" bestFit="1" customWidth="1"/>
    <col min="1146" max="1146" width="35.33203125" bestFit="1" customWidth="1"/>
    <col min="1147" max="1147" width="19.109375" bestFit="1" customWidth="1"/>
    <col min="1148" max="1148" width="15.5546875" bestFit="1" customWidth="1"/>
    <col min="1149" max="1149" width="16.5546875" bestFit="1" customWidth="1"/>
    <col min="1150" max="1150" width="33.44140625" bestFit="1" customWidth="1"/>
    <col min="1151" max="1151" width="9.5546875" bestFit="1" customWidth="1"/>
    <col min="1152" max="1152" width="7.109375" bestFit="1" customWidth="1"/>
    <col min="1153" max="1153" width="6.6640625" bestFit="1" customWidth="1"/>
    <col min="1154" max="1154" width="22.88671875" bestFit="1" customWidth="1"/>
    <col min="1155" max="1157" width="9.5546875" bestFit="1" customWidth="1"/>
    <col min="1158" max="1158" width="7.109375" bestFit="1" customWidth="1"/>
    <col min="1159" max="1159" width="6.6640625" bestFit="1" customWidth="1"/>
    <col min="1160" max="1160" width="22.88671875" bestFit="1" customWidth="1"/>
    <col min="1161" max="1161" width="9.5546875" bestFit="1" customWidth="1"/>
    <col min="1162" max="1162" width="34.5546875" bestFit="1" customWidth="1"/>
    <col min="1163" max="1163" width="19.109375" bestFit="1" customWidth="1"/>
    <col min="1164" max="1164" width="15.5546875" bestFit="1" customWidth="1"/>
    <col min="1165" max="1165" width="16.5546875" bestFit="1" customWidth="1"/>
    <col min="1166" max="1166" width="22.88671875" bestFit="1" customWidth="1"/>
    <col min="1167" max="1167" width="9.5546875" bestFit="1" customWidth="1"/>
    <col min="1168" max="1168" width="7.33203125" bestFit="1" customWidth="1"/>
    <col min="1169" max="1169" width="6.6640625" bestFit="1" customWidth="1"/>
    <col min="1170" max="1170" width="29.6640625" bestFit="1" customWidth="1"/>
    <col min="1171" max="1171" width="9.5546875" bestFit="1" customWidth="1"/>
    <col min="1172" max="1172" width="34.5546875" bestFit="1" customWidth="1"/>
    <col min="1173" max="1173" width="9.5546875" bestFit="1" customWidth="1"/>
    <col min="1174" max="1174" width="10.6640625" bestFit="1" customWidth="1"/>
    <col min="1175" max="1175" width="6.44140625" bestFit="1" customWidth="1"/>
    <col min="1176" max="1176" width="14.6640625" bestFit="1" customWidth="1"/>
    <col min="1177" max="1177" width="7.5546875" bestFit="1" customWidth="1"/>
    <col min="1178" max="1178" width="16" bestFit="1" customWidth="1"/>
    <col min="1179" max="1179" width="10" bestFit="1" customWidth="1"/>
    <col min="1180" max="1180" width="9.5546875" bestFit="1" customWidth="1"/>
    <col min="1181" max="1181" width="7.5546875" bestFit="1" customWidth="1"/>
    <col min="1182" max="1182" width="16" bestFit="1" customWidth="1"/>
    <col min="1183" max="1183" width="11.44140625" bestFit="1" customWidth="1"/>
    <col min="1184" max="1184" width="20" bestFit="1" customWidth="1"/>
    <col min="1185" max="1185" width="28.109375" bestFit="1" customWidth="1"/>
    <col min="1186" max="1186" width="9.5546875" bestFit="1" customWidth="1"/>
    <col min="1187" max="1187" width="36.6640625" bestFit="1" customWidth="1"/>
    <col min="1188" max="1188" width="29.6640625" bestFit="1" customWidth="1"/>
    <col min="1189" max="1189" width="9.5546875" bestFit="1" customWidth="1"/>
    <col min="1190" max="1190" width="15.5546875" bestFit="1" customWidth="1"/>
    <col min="1191" max="1191" width="17.44140625" bestFit="1" customWidth="1"/>
    <col min="1192" max="1192" width="33.44140625" bestFit="1" customWidth="1"/>
    <col min="1193" max="1193" width="34.5546875" bestFit="1" customWidth="1"/>
    <col min="1194" max="1194" width="7.109375" bestFit="1" customWidth="1"/>
    <col min="1195" max="1195" width="6.6640625" bestFit="1" customWidth="1"/>
    <col min="1196" max="1196" width="10" bestFit="1" customWidth="1"/>
    <col min="1197" max="1197" width="9.5546875" bestFit="1" customWidth="1"/>
    <col min="1198" max="1198" width="34.5546875" bestFit="1" customWidth="1"/>
    <col min="1199" max="1199" width="38.44140625" customWidth="1"/>
    <col min="1200" max="1200" width="19.109375" bestFit="1" customWidth="1"/>
    <col min="1201" max="1201" width="15.5546875" bestFit="1" customWidth="1"/>
    <col min="1202" max="1202" width="16.5546875" bestFit="1" customWidth="1"/>
    <col min="1203" max="1203" width="28.6640625" bestFit="1" customWidth="1"/>
    <col min="1204" max="1204" width="34.5546875" bestFit="1" customWidth="1"/>
    <col min="1205" max="1205" width="22.88671875" bestFit="1" customWidth="1"/>
    <col min="1206" max="1206" width="9.5546875" bestFit="1" customWidth="1"/>
    <col min="1207" max="1207" width="38.44140625" bestFit="1" customWidth="1"/>
    <col min="1208" max="1208" width="19.109375" bestFit="1" customWidth="1"/>
    <col min="1209" max="1209" width="15.5546875" bestFit="1" customWidth="1"/>
    <col min="1210" max="1210" width="16.5546875" bestFit="1" customWidth="1"/>
    <col min="1211" max="1211" width="28.6640625" bestFit="1" customWidth="1"/>
    <col min="1212" max="1212" width="34.5546875" bestFit="1" customWidth="1"/>
    <col min="1213" max="1214" width="7.109375" bestFit="1" customWidth="1"/>
    <col min="1215" max="1215" width="33.44140625" bestFit="1" customWidth="1"/>
    <col min="1216" max="1216" width="9.5546875" bestFit="1" customWidth="1"/>
    <col min="1217" max="1217" width="34.5546875" customWidth="1"/>
    <col min="1218" max="1218" width="19.109375" bestFit="1" customWidth="1"/>
    <col min="1219" max="1219" width="15.5546875" bestFit="1" customWidth="1"/>
    <col min="1220" max="1220" width="16.5546875" bestFit="1" customWidth="1"/>
    <col min="1221" max="1221" width="22.88671875" bestFit="1" customWidth="1"/>
    <col min="1222" max="1222" width="9.5546875" bestFit="1" customWidth="1"/>
    <col min="1223" max="1223" width="33.44140625" bestFit="1" customWidth="1"/>
    <col min="1224" max="1224" width="9.5546875" bestFit="1" customWidth="1"/>
    <col min="1225" max="1225" width="7.33203125" bestFit="1" customWidth="1"/>
    <col min="1226" max="1226" width="6.6640625" bestFit="1" customWidth="1"/>
    <col min="1227" max="1227" width="29.6640625" bestFit="1" customWidth="1"/>
    <col min="1228" max="1228" width="9.5546875" bestFit="1" customWidth="1"/>
    <col min="1229" max="1229" width="27.44140625" bestFit="1" customWidth="1"/>
    <col min="1230" max="1230" width="19.109375" bestFit="1" customWidth="1"/>
    <col min="1231" max="1231" width="15.5546875" bestFit="1" customWidth="1"/>
    <col min="1232" max="1232" width="16.5546875" bestFit="1" customWidth="1"/>
    <col min="1233" max="1233" width="22.88671875" bestFit="1" customWidth="1"/>
    <col min="1234" max="1234" width="9.5546875" bestFit="1" customWidth="1"/>
    <col min="1235" max="1235" width="7.33203125" bestFit="1" customWidth="1"/>
    <col min="1236" max="1236" width="6.6640625" bestFit="1" customWidth="1"/>
    <col min="1237" max="1237" width="29.6640625" bestFit="1" customWidth="1"/>
    <col min="1238" max="1238" width="9.5546875" bestFit="1" customWidth="1"/>
    <col min="1239" max="1239" width="35.88671875" bestFit="1" customWidth="1"/>
    <col min="1240" max="1240" width="19.109375" bestFit="1" customWidth="1"/>
    <col min="1241" max="1241" width="15.5546875" bestFit="1" customWidth="1"/>
    <col min="1242" max="1242" width="16.5546875" bestFit="1" customWidth="1"/>
    <col min="1243" max="1243" width="28.6640625" bestFit="1" customWidth="1"/>
    <col min="1244" max="1244" width="9.5546875" bestFit="1" customWidth="1"/>
    <col min="1245" max="1245" width="7.109375" bestFit="1" customWidth="1"/>
    <col min="1246" max="1246" width="7.88671875" bestFit="1" customWidth="1"/>
    <col min="1247" max="1247" width="29.6640625" bestFit="1" customWidth="1"/>
    <col min="1248" max="1248" width="9.5546875" bestFit="1" customWidth="1"/>
    <col min="1249" max="1249" width="27.5546875" bestFit="1" customWidth="1"/>
    <col min="1250" max="1250" width="19.109375" bestFit="1" customWidth="1"/>
    <col min="1251" max="1251" width="15.5546875" bestFit="1" customWidth="1"/>
    <col min="1252" max="1252" width="17.44140625" bestFit="1" customWidth="1"/>
    <col min="1253" max="1253" width="29.6640625" bestFit="1" customWidth="1"/>
    <col min="1254" max="1254" width="9.5546875" bestFit="1" customWidth="1"/>
    <col min="1255" max="1255" width="10" bestFit="1" customWidth="1"/>
    <col min="1256" max="1256" width="9.5546875" bestFit="1" customWidth="1"/>
    <col min="1257" max="1257" width="38.44140625" bestFit="1" customWidth="1"/>
    <col min="1258" max="1258" width="19.109375" bestFit="1" customWidth="1"/>
    <col min="1259" max="1259" width="15.5546875" bestFit="1" customWidth="1"/>
    <col min="1260" max="1260" width="16.5546875" bestFit="1" customWidth="1"/>
    <col min="1261" max="1261" width="28.6640625" bestFit="1" customWidth="1"/>
    <col min="1262" max="1262" width="34.5546875" bestFit="1" customWidth="1"/>
    <col min="1263" max="1263" width="7.109375" bestFit="1" customWidth="1"/>
    <col min="1264" max="1264" width="6.6640625" bestFit="1" customWidth="1"/>
    <col min="1265" max="1265" width="10" bestFit="1" customWidth="1"/>
    <col min="1266" max="1266" width="9.5546875" bestFit="1" customWidth="1"/>
    <col min="1267" max="1267" width="7.5546875" bestFit="1" customWidth="1"/>
    <col min="1268" max="1268" width="16" bestFit="1" customWidth="1"/>
    <col min="1269" max="1269" width="11.44140625" bestFit="1" customWidth="1"/>
    <col min="1270" max="1270" width="20" bestFit="1" customWidth="1"/>
    <col min="1271" max="1271" width="10" bestFit="1" customWidth="1"/>
    <col min="1272" max="1272" width="9.5546875" bestFit="1" customWidth="1"/>
    <col min="1273" max="1273" width="38.44140625" bestFit="1" customWidth="1"/>
    <col min="1274" max="1274" width="19.109375" bestFit="1" customWidth="1"/>
    <col min="1275" max="1275" width="15.5546875" bestFit="1" customWidth="1"/>
    <col min="1276" max="1276" width="16.5546875" bestFit="1" customWidth="1"/>
    <col min="1277" max="1277" width="28.6640625" bestFit="1" customWidth="1"/>
    <col min="1278" max="1278" width="34.5546875" bestFit="1" customWidth="1"/>
    <col min="1279" max="1279" width="7.109375" bestFit="1" customWidth="1"/>
    <col min="1280" max="1280" width="6.6640625" bestFit="1" customWidth="1"/>
    <col min="1281" max="1281" width="10" bestFit="1" customWidth="1"/>
    <col min="1282" max="1282" width="9.5546875" bestFit="1" customWidth="1"/>
    <col min="1283" max="1283" width="9.33203125" bestFit="1" customWidth="1"/>
    <col min="1284" max="1284" width="36.6640625" bestFit="1" customWidth="1"/>
    <col min="1285" max="1285" width="18.5546875" bestFit="1" customWidth="1"/>
    <col min="1286" max="1286" width="14.88671875" bestFit="1" customWidth="1"/>
    <col min="1287" max="1287" width="16" bestFit="1" customWidth="1"/>
    <col min="1288" max="1288" width="27.109375" bestFit="1" customWidth="1"/>
    <col min="1289" max="1289" width="32.6640625" bestFit="1" customWidth="1"/>
    <col min="1290" max="1290" width="9.6640625" bestFit="1" customWidth="1"/>
    <col min="1291" max="1291" width="9.33203125" bestFit="1" customWidth="1"/>
    <col min="1292" max="1292" width="19.5546875" bestFit="1" customWidth="1"/>
    <col min="1293" max="1293" width="18.5546875" bestFit="1" customWidth="1"/>
    <col min="1294" max="1294" width="14.88671875" bestFit="1" customWidth="1"/>
    <col min="1295" max="1295" width="16" bestFit="1" customWidth="1"/>
    <col min="1296" max="1296" width="32.44140625" bestFit="1" customWidth="1"/>
    <col min="1297" max="1297" width="9.33203125" bestFit="1" customWidth="1"/>
    <col min="1298" max="1298" width="6.88671875" bestFit="1" customWidth="1"/>
    <col min="1299" max="1299" width="6.5546875" bestFit="1" customWidth="1"/>
    <col min="1300" max="1300" width="21.33203125" bestFit="1" customWidth="1"/>
    <col min="1301" max="1301" width="9.33203125" bestFit="1" customWidth="1"/>
    <col min="1302" max="1302" width="9.6640625" bestFit="1" customWidth="1"/>
    <col min="1303" max="1303" width="9.33203125" bestFit="1" customWidth="1"/>
    <col min="1304" max="1304" width="28.33203125" bestFit="1" customWidth="1"/>
    <col min="1305" max="1305" width="18.5546875" bestFit="1" customWidth="1"/>
    <col min="1306" max="1306" width="14.88671875" bestFit="1" customWidth="1"/>
    <col min="1307" max="1307" width="16" bestFit="1" customWidth="1"/>
    <col min="1308" max="1308" width="27.109375" bestFit="1" customWidth="1"/>
    <col min="1309" max="1309" width="32.6640625" bestFit="1" customWidth="1"/>
    <col min="1310" max="1310" width="7" bestFit="1" customWidth="1"/>
    <col min="1311" max="1311" width="7.109375" bestFit="1" customWidth="1"/>
    <col min="1312" max="1312" width="32.44140625" bestFit="1" customWidth="1"/>
    <col min="1313" max="1314" width="32.6640625" bestFit="1" customWidth="1"/>
    <col min="1315" max="1315" width="29.109375" bestFit="1" customWidth="1"/>
    <col min="1316" max="1316" width="18.5546875" bestFit="1" customWidth="1"/>
    <col min="1317" max="1317" width="14.88671875" bestFit="1" customWidth="1"/>
    <col min="1318" max="1318" width="16" bestFit="1" customWidth="1"/>
    <col min="1319" max="1319" width="31.33203125" bestFit="1" customWidth="1"/>
    <col min="1320" max="1320" width="32.6640625" bestFit="1" customWidth="1"/>
    <col min="1321" max="1321" width="7" bestFit="1" customWidth="1"/>
    <col min="1322" max="1322" width="6.5546875" bestFit="1" customWidth="1"/>
    <col min="1323" max="1323" width="31.33203125" bestFit="1" customWidth="1"/>
    <col min="1324" max="1325" width="32.6640625" bestFit="1" customWidth="1"/>
    <col min="1326" max="1326" width="9.33203125" bestFit="1" customWidth="1"/>
    <col min="1327" max="1327" width="32.6640625" bestFit="1" customWidth="1"/>
    <col min="1328" max="1328" width="9.33203125" bestFit="1" customWidth="1"/>
    <col min="1329" max="1329" width="32.6640625" bestFit="1" customWidth="1"/>
    <col min="1330" max="1330" width="9.33203125" bestFit="1" customWidth="1"/>
    <col min="1331" max="1331" width="32.5546875" bestFit="1" customWidth="1"/>
    <col min="1332" max="1332" width="18.5546875" bestFit="1" customWidth="1"/>
    <col min="1333" max="1333" width="14.88671875" bestFit="1" customWidth="1"/>
    <col min="1334" max="1334" width="16" bestFit="1" customWidth="1"/>
    <col min="1335" max="1335" width="31.5546875" bestFit="1" customWidth="1"/>
    <col min="1336" max="1336" width="9.33203125" bestFit="1" customWidth="1"/>
    <col min="1337" max="1337" width="7.33203125" bestFit="1" customWidth="1"/>
    <col min="1338" max="1338" width="7" bestFit="1" customWidth="1"/>
    <col min="1339" max="1339" width="32.44140625" bestFit="1" customWidth="1"/>
    <col min="1340" max="1340" width="32.6640625" bestFit="1" customWidth="1"/>
    <col min="1341" max="1341" width="9.33203125" bestFit="1" customWidth="1"/>
    <col min="1342" max="1342" width="32.5546875" customWidth="1"/>
    <col min="1343" max="1343" width="18.5546875" bestFit="1" customWidth="1"/>
    <col min="1344" max="1344" width="14.88671875" bestFit="1" customWidth="1"/>
    <col min="1345" max="1345" width="16" bestFit="1" customWidth="1"/>
    <col min="1346" max="1346" width="31.5546875" bestFit="1" customWidth="1"/>
    <col min="1347" max="1347" width="9.33203125" bestFit="1" customWidth="1"/>
    <col min="1348" max="1348" width="31.5546875" bestFit="1" customWidth="1"/>
    <col min="1349" max="1349" width="9.33203125" bestFit="1" customWidth="1"/>
    <col min="1350" max="1350" width="6.5546875" bestFit="1" customWidth="1"/>
    <col min="1351" max="1351" width="32.44140625" bestFit="1" customWidth="1"/>
    <col min="1352" max="1353" width="9.33203125" bestFit="1" customWidth="1"/>
    <col min="1354" max="1354" width="12.33203125" bestFit="1" customWidth="1"/>
    <col min="1355" max="1355" width="18.5546875" bestFit="1" customWidth="1"/>
    <col min="1356" max="1356" width="14.88671875" bestFit="1" customWidth="1"/>
    <col min="1357" max="1357" width="16" bestFit="1" customWidth="1"/>
    <col min="1358" max="1358" width="9.6640625" bestFit="1" customWidth="1"/>
    <col min="1359" max="1359" width="9.33203125" bestFit="1" customWidth="1"/>
    <col min="1360" max="1360" width="6.88671875" bestFit="1" customWidth="1"/>
    <col min="1361" max="1361" width="6.5546875" bestFit="1" customWidth="1"/>
    <col min="1362" max="1362" width="32.44140625" bestFit="1" customWidth="1"/>
    <col min="1363" max="1363" width="9.33203125" bestFit="1" customWidth="1"/>
    <col min="1364" max="1364" width="9.6640625" bestFit="1" customWidth="1"/>
    <col min="1365" max="1365" width="9.33203125" bestFit="1" customWidth="1"/>
    <col min="1366" max="1366" width="6.88671875" bestFit="1" customWidth="1"/>
    <col min="1367" max="1367" width="6.5546875" bestFit="1" customWidth="1"/>
    <col min="1368" max="1368" width="29.88671875" bestFit="1" customWidth="1"/>
    <col min="1369" max="1369" width="9.33203125" bestFit="1" customWidth="1"/>
    <col min="1370" max="1370" width="33.33203125" bestFit="1" customWidth="1"/>
    <col min="1371" max="1371" width="18.6640625" bestFit="1" customWidth="1"/>
    <col min="1372" max="1372" width="15.33203125" bestFit="1" customWidth="1"/>
    <col min="1373" max="1373" width="16.33203125" bestFit="1" customWidth="1"/>
    <col min="1374" max="1374" width="30.33203125" bestFit="1" customWidth="1"/>
    <col min="1375" max="1375" width="9.33203125" bestFit="1" customWidth="1"/>
    <col min="1376" max="1376" width="6.88671875" bestFit="1" customWidth="1"/>
    <col min="1377" max="1377" width="6.5546875" bestFit="1" customWidth="1"/>
    <col min="1378" max="1378" width="30.44140625" bestFit="1" customWidth="1"/>
    <col min="1379" max="1379" width="9.33203125" bestFit="1" customWidth="1"/>
    <col min="1380" max="1380" width="10.44140625" bestFit="1" customWidth="1"/>
    <col min="1381" max="1381" width="6.33203125" bestFit="1" customWidth="1"/>
    <col min="1382" max="1382" width="80.88671875" bestFit="1" customWidth="1"/>
    <col min="1383" max="1383" width="7.109375" bestFit="1" customWidth="1"/>
    <col min="1384" max="1384" width="15.5546875" bestFit="1" customWidth="1"/>
    <col min="1385" max="1385" width="30.44140625" bestFit="1" customWidth="1"/>
    <col min="1386" max="1386" width="20.6640625" bestFit="1" customWidth="1"/>
    <col min="1387" max="1387" width="14.88671875" bestFit="1" customWidth="1"/>
    <col min="1388" max="1388" width="16" bestFit="1" customWidth="1"/>
    <col min="1389" max="1389" width="29.109375" bestFit="1" customWidth="1"/>
    <col min="1390" max="1390" width="9.33203125" bestFit="1" customWidth="1"/>
    <col min="1391" max="1391" width="7" bestFit="1" customWidth="1"/>
    <col min="1392" max="1392" width="6.5546875" bestFit="1" customWidth="1"/>
    <col min="1393" max="1393" width="29.88671875" bestFit="1" customWidth="1"/>
    <col min="1394" max="1394" width="9.33203125" bestFit="1" customWidth="1"/>
    <col min="1395" max="1395" width="20" bestFit="1" customWidth="1"/>
    <col min="1396" max="1396" width="9.33203125" bestFit="1" customWidth="1"/>
    <col min="1397" max="1397" width="28.33203125" bestFit="1" customWidth="1"/>
    <col min="1398" max="1398" width="18.5546875" bestFit="1" customWidth="1"/>
    <col min="1399" max="1399" width="14.88671875" bestFit="1" customWidth="1"/>
    <col min="1400" max="1400" width="16" bestFit="1" customWidth="1"/>
    <col min="1401" max="1401" width="21.33203125" bestFit="1" customWidth="1"/>
    <col min="1402" max="1402" width="9.33203125" bestFit="1" customWidth="1"/>
    <col min="1403" max="1403" width="7" bestFit="1" customWidth="1"/>
    <col min="1404" max="1404" width="6.5546875" bestFit="1" customWidth="1"/>
    <col min="1405" max="1405" width="32.6640625" bestFit="1" customWidth="1"/>
    <col min="1406" max="1406" width="9.33203125" bestFit="1" customWidth="1"/>
    <col min="1407" max="1407" width="35.33203125" bestFit="1" customWidth="1"/>
    <col min="1408" max="1408" width="18.6640625" bestFit="1" customWidth="1"/>
    <col min="1409" max="1409" width="15.33203125" bestFit="1" customWidth="1"/>
    <col min="1410" max="1410" width="16.33203125" bestFit="1" customWidth="1"/>
    <col min="1411" max="1411" width="9.6640625" bestFit="1" customWidth="1"/>
    <col min="1412" max="1412" width="9.33203125" bestFit="1" customWidth="1"/>
    <col min="1413" max="1413" width="7" bestFit="1" customWidth="1"/>
    <col min="1414" max="1414" width="6.5546875" bestFit="1" customWidth="1"/>
    <col min="1415" max="1415" width="30.44140625" bestFit="1" customWidth="1"/>
    <col min="1416" max="1416" width="9.33203125" bestFit="1" customWidth="1"/>
    <col min="1417" max="1417" width="33.33203125" bestFit="1" customWidth="1"/>
    <col min="1418" max="1418" width="18.6640625" bestFit="1" customWidth="1"/>
    <col min="1419" max="1419" width="15.33203125" bestFit="1" customWidth="1"/>
    <col min="1420" max="1420" width="16.33203125" bestFit="1" customWidth="1"/>
    <col min="1421" max="1421" width="30.33203125" bestFit="1" customWidth="1"/>
    <col min="1422" max="1422" width="20.6640625" bestFit="1" customWidth="1"/>
    <col min="1423" max="1423" width="31.5546875" customWidth="1"/>
    <col min="1424" max="1425" width="33.5546875" bestFit="1" customWidth="1"/>
    <col min="1426" max="1426" width="7" bestFit="1" customWidth="1"/>
    <col min="1427" max="1427" width="7.33203125" bestFit="1" customWidth="1"/>
    <col min="1428" max="1428" width="32.44140625" bestFit="1" customWidth="1"/>
    <col min="1429" max="1429" width="33.5546875" bestFit="1" customWidth="1"/>
    <col min="1430" max="1430" width="29" bestFit="1" customWidth="1"/>
    <col min="1431" max="1431" width="18.5546875" bestFit="1" customWidth="1"/>
    <col min="1432" max="1432" width="15.109375" bestFit="1" customWidth="1"/>
    <col min="1433" max="1433" width="16.109375" bestFit="1" customWidth="1"/>
    <col min="1434" max="1434" width="31.5546875" bestFit="1" customWidth="1"/>
    <col min="1435" max="1435" width="9.33203125" bestFit="1" customWidth="1"/>
    <col min="1436" max="1437" width="6.88671875" bestFit="1" customWidth="1"/>
    <col min="1438" max="1438" width="26.6640625" bestFit="1" customWidth="1"/>
    <col min="1439" max="1439" width="9.33203125" bestFit="1" customWidth="1"/>
    <col min="1440" max="1440" width="33.5546875" bestFit="1" customWidth="1"/>
    <col min="1441" max="1441" width="18.5546875" bestFit="1" customWidth="1"/>
    <col min="1442" max="1442" width="15.109375" bestFit="1" customWidth="1"/>
    <col min="1443" max="1443" width="16.109375" bestFit="1" customWidth="1"/>
    <col min="1444" max="1444" width="32.44140625" bestFit="1" customWidth="1"/>
    <col min="1445" max="1445" width="9.33203125" bestFit="1" customWidth="1"/>
    <col min="1446" max="1447" width="7.33203125" bestFit="1" customWidth="1"/>
    <col min="1448" max="1448" width="33.44140625" bestFit="1" customWidth="1"/>
    <col min="1449" max="1449" width="33.5546875" bestFit="1" customWidth="1"/>
    <col min="1450" max="1450" width="22.33203125" bestFit="1" customWidth="1"/>
    <col min="1451" max="1451" width="9.33203125" bestFit="1" customWidth="1"/>
    <col min="1452" max="1452" width="15.109375" bestFit="1" customWidth="1"/>
    <col min="1453" max="1453" width="16.109375" bestFit="1" customWidth="1"/>
    <col min="1454" max="1454" width="33.44140625" bestFit="1" customWidth="1"/>
    <col min="1455" max="1455" width="33.5546875" bestFit="1" customWidth="1"/>
    <col min="1456" max="1456" width="7.109375" bestFit="1" customWidth="1"/>
    <col min="1457" max="1457" width="6.5546875" bestFit="1" customWidth="1"/>
    <col min="1458" max="1458" width="33.44140625" bestFit="1" customWidth="1"/>
    <col min="1459" max="1459" width="9.33203125" bestFit="1" customWidth="1"/>
    <col min="1460" max="1460" width="30.88671875" bestFit="1" customWidth="1"/>
    <col min="1461" max="1461" width="18.5546875" bestFit="1" customWidth="1"/>
    <col min="1462" max="1462" width="14.88671875" bestFit="1" customWidth="1"/>
    <col min="1463" max="1463" width="16" bestFit="1" customWidth="1"/>
    <col min="1464" max="1464" width="29.33203125" bestFit="1" customWidth="1"/>
    <col min="1465" max="1465" width="9.33203125" bestFit="1" customWidth="1"/>
    <col min="1466" max="1466" width="6.88671875" bestFit="1" customWidth="1"/>
    <col min="1467" max="1467" width="6.5546875" bestFit="1" customWidth="1"/>
    <col min="1468" max="1468" width="32.44140625" bestFit="1" customWidth="1"/>
    <col min="1469" max="1469" width="9.33203125" bestFit="1" customWidth="1"/>
    <col min="1470" max="1470" width="31.88671875" bestFit="1" customWidth="1"/>
    <col min="1471" max="1471" width="18.5546875" bestFit="1" customWidth="1"/>
    <col min="1472" max="1472" width="14.88671875" bestFit="1" customWidth="1"/>
    <col min="1473" max="1473" width="16" bestFit="1" customWidth="1"/>
    <col min="1474" max="1474" width="29.109375" bestFit="1" customWidth="1"/>
    <col min="1475" max="1475" width="9.33203125" bestFit="1" customWidth="1"/>
    <col min="1476" max="1476" width="29.88671875" bestFit="1" customWidth="1"/>
    <col min="1477" max="1477" width="9.33203125" bestFit="1" customWidth="1"/>
    <col min="1478" max="1478" width="26.33203125" bestFit="1" customWidth="1"/>
    <col min="1479" max="1479" width="18.5546875" bestFit="1" customWidth="1"/>
    <col min="1480" max="1480" width="14.88671875" bestFit="1" customWidth="1"/>
    <col min="1481" max="1481" width="16" bestFit="1" customWidth="1"/>
    <col min="1482" max="1482" width="27.109375" bestFit="1" customWidth="1"/>
    <col min="1483" max="1483" width="32.6640625" bestFit="1" customWidth="1"/>
    <col min="1484" max="1484" width="7" bestFit="1" customWidth="1"/>
    <col min="1485" max="1485" width="7.109375" bestFit="1" customWidth="1"/>
    <col min="1486" max="1486" width="32.44140625" bestFit="1" customWidth="1"/>
    <col min="1487" max="1487" width="32.6640625" bestFit="1" customWidth="1"/>
    <col min="1488" max="1488" width="26.33203125" bestFit="1" customWidth="1"/>
    <col min="1489" max="1489" width="18.5546875" bestFit="1" customWidth="1"/>
    <col min="1490" max="1490" width="14.88671875" bestFit="1" customWidth="1"/>
    <col min="1491" max="1491" width="16" bestFit="1" customWidth="1"/>
    <col min="1492" max="1492" width="27.109375" bestFit="1" customWidth="1"/>
    <col min="1493" max="1493" width="32.6640625" bestFit="1" customWidth="1"/>
    <col min="1494" max="1494" width="7.33203125" bestFit="1" customWidth="1"/>
    <col min="1495" max="1495" width="6.6640625" bestFit="1" customWidth="1"/>
    <col min="1496" max="1496" width="31.5546875" bestFit="1" customWidth="1"/>
    <col min="1497" max="1497" width="9.33203125" bestFit="1" customWidth="1"/>
    <col min="1498" max="1498" width="29.109375" bestFit="1" customWidth="1"/>
    <col min="1499" max="1499" width="18.5546875" bestFit="1" customWidth="1"/>
    <col min="1500" max="1500" width="14.88671875" bestFit="1" customWidth="1"/>
    <col min="1501" max="1501" width="16" bestFit="1" customWidth="1"/>
    <col min="1502" max="1502" width="31.5546875" bestFit="1" customWidth="1"/>
    <col min="1503" max="1503" width="9.33203125" bestFit="1" customWidth="1"/>
    <col min="1504" max="1504" width="6.88671875" bestFit="1" customWidth="1"/>
    <col min="1505" max="1505" width="6.5546875" bestFit="1" customWidth="1"/>
    <col min="1506" max="1506" width="21.33203125" bestFit="1" customWidth="1"/>
    <col min="1507" max="1508" width="9.33203125" bestFit="1" customWidth="1"/>
    <col min="1509" max="1509" width="31.88671875" bestFit="1" customWidth="1"/>
    <col min="1510" max="1510" width="18.5546875" bestFit="1" customWidth="1"/>
    <col min="1511" max="1511" width="14.88671875" bestFit="1" customWidth="1"/>
    <col min="1512" max="1512" width="16" bestFit="1" customWidth="1"/>
    <col min="1513" max="1513" width="9.6640625" bestFit="1" customWidth="1"/>
    <col min="1514" max="1514" width="9.33203125" bestFit="1" customWidth="1"/>
    <col min="1515" max="1515" width="7" bestFit="1" customWidth="1"/>
    <col min="1516" max="1516" width="6.5546875" bestFit="1" customWidth="1"/>
    <col min="1517" max="1517" width="21.33203125" bestFit="1" customWidth="1"/>
    <col min="1518" max="1518" width="9.33203125" bestFit="1" customWidth="1"/>
    <col min="1519" max="1519" width="31.88671875" bestFit="1" customWidth="1"/>
    <col min="1520" max="1520" width="18.5546875" bestFit="1" customWidth="1"/>
    <col min="1521" max="1521" width="14.88671875" bestFit="1" customWidth="1"/>
    <col min="1522" max="1522" width="16" bestFit="1" customWidth="1"/>
    <col min="1523" max="1523" width="9.6640625" bestFit="1" customWidth="1"/>
    <col min="1524" max="1524" width="9.33203125" bestFit="1" customWidth="1"/>
    <col min="1525" max="1525" width="7" bestFit="1" customWidth="1"/>
    <col min="1526" max="1526" width="6.5546875" bestFit="1" customWidth="1"/>
    <col min="1527" max="1527" width="21.33203125" bestFit="1" customWidth="1"/>
    <col min="1528" max="1528" width="9.33203125" bestFit="1" customWidth="1"/>
    <col min="1529" max="1529" width="31.88671875" bestFit="1" customWidth="1"/>
    <col min="1530" max="1530" width="18.5546875" bestFit="1" customWidth="1"/>
    <col min="1531" max="1531" width="14.88671875" bestFit="1" customWidth="1"/>
    <col min="1532" max="1532" width="16" bestFit="1" customWidth="1"/>
    <col min="1533" max="1533" width="9.6640625" bestFit="1" customWidth="1"/>
    <col min="1534" max="1534" width="9.33203125" bestFit="1" customWidth="1"/>
    <col min="1535" max="1535" width="7" bestFit="1" customWidth="1"/>
    <col min="1536" max="1536" width="6.5546875" bestFit="1" customWidth="1"/>
    <col min="1537" max="1537" width="21.33203125" bestFit="1" customWidth="1"/>
    <col min="1538" max="1538" width="9.33203125" bestFit="1" customWidth="1"/>
    <col min="1539" max="1539" width="28.33203125" bestFit="1" customWidth="1"/>
    <col min="1540" max="1540" width="18.5546875" bestFit="1" customWidth="1"/>
    <col min="1541" max="1541" width="14.88671875" bestFit="1" customWidth="1"/>
    <col min="1542" max="1542" width="16" bestFit="1" customWidth="1"/>
    <col min="1543" max="1543" width="9.6640625" bestFit="1" customWidth="1"/>
    <col min="1544" max="1544" width="9.33203125" bestFit="1" customWidth="1"/>
    <col min="1545" max="1545" width="7" bestFit="1" customWidth="1"/>
    <col min="1546" max="1546" width="6.5546875" bestFit="1" customWidth="1"/>
    <col min="1547" max="1547" width="21.33203125" bestFit="1" customWidth="1"/>
    <col min="1548" max="1548" width="9.33203125" bestFit="1" customWidth="1"/>
    <col min="1549" max="1549" width="30.109375" bestFit="1" customWidth="1"/>
    <col min="1550" max="1550" width="18.5546875" bestFit="1" customWidth="1"/>
    <col min="1551" max="1551" width="14.88671875" bestFit="1" customWidth="1"/>
    <col min="1552" max="1552" width="16" bestFit="1" customWidth="1"/>
    <col min="1553" max="1553" width="9.6640625" bestFit="1" customWidth="1"/>
    <col min="1554" max="1554" width="9.33203125" bestFit="1" customWidth="1"/>
    <col min="1555" max="1555" width="7" bestFit="1" customWidth="1"/>
    <col min="1556" max="1556" width="6.5546875" bestFit="1" customWidth="1"/>
    <col min="1557" max="1557" width="21.33203125" bestFit="1" customWidth="1"/>
    <col min="1558" max="1558" width="9.33203125" bestFit="1" customWidth="1"/>
    <col min="1559" max="1559" width="28.33203125" bestFit="1" customWidth="1"/>
    <col min="1560" max="1560" width="18.5546875" bestFit="1" customWidth="1"/>
    <col min="1561" max="1561" width="14.88671875" bestFit="1" customWidth="1"/>
    <col min="1562" max="1562" width="16" bestFit="1" customWidth="1"/>
    <col min="1563" max="1563" width="9.6640625" bestFit="1" customWidth="1"/>
    <col min="1564" max="1564" width="9.33203125" bestFit="1" customWidth="1"/>
    <col min="1565" max="1565" width="7" bestFit="1" customWidth="1"/>
    <col min="1566" max="1566" width="7.109375" bestFit="1" customWidth="1"/>
    <col min="1567" max="1567" width="32.44140625" bestFit="1" customWidth="1"/>
    <col min="1568" max="1568" width="9.33203125" bestFit="1" customWidth="1"/>
    <col min="1569" max="1569" width="6.33203125" bestFit="1" customWidth="1"/>
    <col min="1570" max="1570" width="25.6640625" bestFit="1" customWidth="1"/>
    <col min="1571" max="1571" width="7.109375" bestFit="1" customWidth="1"/>
    <col min="1572" max="1572" width="15.109375" bestFit="1" customWidth="1"/>
    <col min="1573" max="1573" width="9.6640625" bestFit="1" customWidth="1"/>
    <col min="1574" max="1574" width="9.33203125" bestFit="1" customWidth="1"/>
    <col min="1575" max="1575" width="7" bestFit="1" customWidth="1"/>
    <col min="1576" max="1576" width="6.5546875" bestFit="1" customWidth="1"/>
    <col min="1577" max="1577" width="21.33203125" bestFit="1" customWidth="1"/>
    <col min="1578" max="1578" width="9.33203125" bestFit="1" customWidth="1"/>
    <col min="1579" max="1579" width="28.33203125" bestFit="1" customWidth="1"/>
    <col min="1580" max="1580" width="18.5546875" bestFit="1" customWidth="1"/>
    <col min="1581" max="1581" width="14.88671875" bestFit="1" customWidth="1"/>
    <col min="1582" max="1582" width="16" bestFit="1" customWidth="1"/>
    <col min="1583" max="1583" width="30" bestFit="1" customWidth="1"/>
    <col min="1584" max="1584" width="9.33203125" bestFit="1" customWidth="1"/>
    <col min="1585" max="1585" width="7" bestFit="1" customWidth="1"/>
    <col min="1586" max="1586" width="6.6640625" bestFit="1" customWidth="1"/>
    <col min="1587" max="1587" width="30" bestFit="1" customWidth="1"/>
    <col min="1588" max="1594" width="9.33203125" bestFit="1" customWidth="1"/>
    <col min="1595" max="1595" width="28.33203125" bestFit="1" customWidth="1"/>
    <col min="1596" max="1596" width="18.5546875" bestFit="1" customWidth="1"/>
    <col min="1597" max="1597" width="14.88671875" bestFit="1" customWidth="1"/>
    <col min="1598" max="1598" width="16" bestFit="1" customWidth="1"/>
    <col min="1599" max="1599" width="30" bestFit="1" customWidth="1"/>
    <col min="1600" max="1600" width="9.33203125" bestFit="1" customWidth="1"/>
    <col min="1601" max="1601" width="7" bestFit="1" customWidth="1"/>
    <col min="1602" max="1602" width="6.6640625" bestFit="1" customWidth="1"/>
    <col min="1603" max="1603" width="30" bestFit="1" customWidth="1"/>
    <col min="1604" max="1605" width="9.33203125" bestFit="1" customWidth="1"/>
    <col min="1606" max="1606" width="28.33203125" bestFit="1" customWidth="1"/>
    <col min="1607" max="1607" width="18.5546875" bestFit="1" customWidth="1"/>
    <col min="1608" max="1608" width="14.88671875" bestFit="1" customWidth="1"/>
    <col min="1609" max="1609" width="16" bestFit="1" customWidth="1"/>
    <col min="1610" max="1610" width="30" bestFit="1" customWidth="1"/>
    <col min="1611" max="1611" width="9.33203125" bestFit="1" customWidth="1"/>
    <col min="1612" max="1612" width="9.6640625" bestFit="1" customWidth="1"/>
    <col min="1613" max="1613" width="9.33203125" bestFit="1" customWidth="1"/>
    <col min="1614" max="1614" width="6.33203125" bestFit="1" customWidth="1"/>
    <col min="1615" max="1615" width="39" bestFit="1" customWidth="1"/>
    <col min="1616" max="1616" width="7.109375" bestFit="1" customWidth="1"/>
    <col min="1617" max="1617" width="15.109375" bestFit="1" customWidth="1"/>
    <col min="1618" max="1618" width="29.88671875" bestFit="1" customWidth="1"/>
    <col min="1619" max="1619" width="20" bestFit="1" customWidth="1"/>
    <col min="1620" max="1620" width="6.88671875" bestFit="1" customWidth="1"/>
    <col min="1621" max="1621" width="6.5546875" bestFit="1" customWidth="1"/>
    <col min="1622" max="1622" width="9.6640625" bestFit="1" customWidth="1"/>
    <col min="1623" max="1623" width="9.33203125" bestFit="1" customWidth="1"/>
    <col min="1624" max="1624" width="25.5546875" bestFit="1" customWidth="1"/>
    <col min="1625" max="1625" width="18.5546875" bestFit="1" customWidth="1"/>
    <col min="1626" max="1626" width="14.88671875" bestFit="1" customWidth="1"/>
    <col min="1627" max="1627" width="16" bestFit="1" customWidth="1"/>
    <col min="1628" max="1628" width="9.6640625" bestFit="1" customWidth="1"/>
    <col min="1629" max="1629" width="9.33203125" bestFit="1" customWidth="1"/>
    <col min="1630" max="1630" width="9.6640625" bestFit="1" customWidth="1"/>
    <col min="1631" max="1631" width="9.33203125" bestFit="1" customWidth="1"/>
    <col min="1632" max="1632" width="6.88671875" bestFit="1" customWidth="1"/>
    <col min="1633" max="1633" width="6.5546875" bestFit="1" customWidth="1"/>
    <col min="1634" max="1634" width="9.6640625" bestFit="1" customWidth="1"/>
    <col min="1635" max="1635" width="9.33203125" bestFit="1" customWidth="1"/>
    <col min="1636" max="1636" width="32.5546875" bestFit="1" customWidth="1"/>
    <col min="1637" max="1637" width="18.5546875" bestFit="1" customWidth="1"/>
    <col min="1638" max="1638" width="14.88671875" bestFit="1" customWidth="1"/>
    <col min="1639" max="1639" width="16" bestFit="1" customWidth="1"/>
    <col min="1640" max="1640" width="32.44140625" bestFit="1" customWidth="1"/>
    <col min="1641" max="1641" width="32.6640625" bestFit="1" customWidth="1"/>
    <col min="1642" max="1642" width="7" bestFit="1" customWidth="1"/>
    <col min="1643" max="1643" width="6.6640625" bestFit="1" customWidth="1"/>
    <col min="1644" max="1644" width="32.44140625" bestFit="1" customWidth="1"/>
    <col min="1645" max="1645" width="9.33203125" bestFit="1" customWidth="1"/>
    <col min="1646" max="1646" width="28.33203125" bestFit="1" customWidth="1"/>
    <col min="1647" max="1647" width="18.5546875" bestFit="1" customWidth="1"/>
    <col min="1648" max="1648" width="14.88671875" bestFit="1" customWidth="1"/>
    <col min="1649" max="1649" width="16" bestFit="1" customWidth="1"/>
    <col min="1650" max="1650" width="30" bestFit="1" customWidth="1"/>
    <col min="1651" max="1651" width="9.33203125" bestFit="1" customWidth="1"/>
    <col min="1652" max="1652" width="7" bestFit="1" customWidth="1"/>
    <col min="1653" max="1653" width="6.5546875" bestFit="1" customWidth="1"/>
    <col min="1654" max="1654" width="30.33203125" bestFit="1" customWidth="1"/>
    <col min="1655" max="1655" width="20" bestFit="1" customWidth="1"/>
    <col min="1656" max="1656" width="6.33203125" bestFit="1" customWidth="1"/>
    <col min="1657" max="1657" width="39" bestFit="1" customWidth="1"/>
    <col min="1658" max="1658" width="7.109375" bestFit="1" customWidth="1"/>
    <col min="1659" max="1659" width="15.109375" bestFit="1" customWidth="1"/>
    <col min="1660" max="1660" width="29.88671875" bestFit="1" customWidth="1"/>
    <col min="1661" max="1661" width="20" bestFit="1" customWidth="1"/>
    <col min="1662" max="1662" width="14.88671875" bestFit="1" customWidth="1"/>
    <col min="1663" max="1663" width="16" bestFit="1" customWidth="1"/>
    <col min="1664" max="1664" width="9.6640625" bestFit="1" customWidth="1"/>
    <col min="1665" max="1665" width="9.33203125" bestFit="1" customWidth="1"/>
    <col min="1666" max="1666" width="6.88671875" bestFit="1" customWidth="1"/>
    <col min="1667" max="1667" width="6.5546875" bestFit="1" customWidth="1"/>
    <col min="1668" max="1668" width="9.6640625" bestFit="1" customWidth="1"/>
    <col min="1669" max="1669" width="9.33203125" bestFit="1" customWidth="1"/>
    <col min="1670" max="1670" width="10.44140625" bestFit="1" customWidth="1"/>
    <col min="1671" max="1671" width="6.33203125" bestFit="1" customWidth="1"/>
    <col min="1672" max="1672" width="39" bestFit="1" customWidth="1"/>
    <col min="1673" max="1673" width="7.109375" bestFit="1" customWidth="1"/>
    <col min="1674" max="1674" width="15.109375" bestFit="1" customWidth="1"/>
    <col min="1675" max="1675" width="29.88671875" bestFit="1" customWidth="1"/>
    <col min="1676" max="1677" width="20" bestFit="1" customWidth="1"/>
    <col min="1678" max="1678" width="6.5546875" bestFit="1" customWidth="1"/>
    <col min="1679" max="1679" width="29.88671875" bestFit="1" customWidth="1"/>
    <col min="1680" max="1680" width="20" bestFit="1" customWidth="1"/>
    <col min="1681" max="1681" width="9.33203125" bestFit="1" customWidth="1"/>
    <col min="1682" max="1682" width="29.109375" bestFit="1" customWidth="1"/>
    <col min="1683" max="1683" width="20" bestFit="1" customWidth="1"/>
    <col min="1684" max="1684" width="25.5546875" bestFit="1" customWidth="1"/>
    <col min="1685" max="1685" width="18.5546875" bestFit="1" customWidth="1"/>
    <col min="1686" max="1686" width="14.88671875" bestFit="1" customWidth="1"/>
    <col min="1687" max="1687" width="16" bestFit="1" customWidth="1"/>
    <col min="1688" max="1688" width="9.6640625" bestFit="1" customWidth="1"/>
    <col min="1689" max="1689" width="9.33203125" bestFit="1" customWidth="1"/>
    <col min="1690" max="1690" width="7" bestFit="1" customWidth="1"/>
    <col min="1691" max="1691" width="6.5546875" bestFit="1" customWidth="1"/>
    <col min="1692" max="1692" width="29.88671875" bestFit="1" customWidth="1"/>
    <col min="1693" max="1693" width="20" bestFit="1" customWidth="1"/>
    <col min="1694" max="1694" width="9.33203125" bestFit="1" customWidth="1"/>
    <col min="1695" max="1695" width="32.33203125" bestFit="1" customWidth="1"/>
    <col min="1696" max="1696" width="18.5546875" bestFit="1" customWidth="1"/>
    <col min="1697" max="1697" width="14.88671875" bestFit="1" customWidth="1"/>
    <col min="1698" max="1698" width="16" bestFit="1" customWidth="1"/>
    <col min="1699" max="1699" width="9.6640625" bestFit="1" customWidth="1"/>
    <col min="1700" max="1700" width="9.33203125" bestFit="1" customWidth="1"/>
    <col min="1701" max="1701" width="7" bestFit="1" customWidth="1"/>
    <col min="1702" max="1702" width="6.5546875" bestFit="1" customWidth="1"/>
    <col min="1703" max="1703" width="9.6640625" bestFit="1" customWidth="1"/>
    <col min="1704" max="1704" width="9.33203125" bestFit="1" customWidth="1"/>
    <col min="1705" max="1705" width="9.6640625" bestFit="1" customWidth="1"/>
    <col min="1706" max="1706" width="9.33203125" bestFit="1" customWidth="1"/>
    <col min="1707" max="1707" width="14.5546875" bestFit="1" customWidth="1"/>
    <col min="1708" max="1708" width="18.5546875" bestFit="1" customWidth="1"/>
    <col min="1709" max="1709" width="14.88671875" bestFit="1" customWidth="1"/>
    <col min="1710" max="1710" width="16" bestFit="1" customWidth="1"/>
    <col min="1711" max="1711" width="9.6640625" bestFit="1" customWidth="1"/>
    <col min="1712" max="1712" width="9.33203125" bestFit="1" customWidth="1"/>
    <col min="1713" max="1713" width="6.88671875" bestFit="1" customWidth="1"/>
    <col min="1714" max="1714" width="6.5546875" bestFit="1" customWidth="1"/>
    <col min="1715" max="1715" width="9.6640625" bestFit="1" customWidth="1"/>
    <col min="1716" max="1717" width="9.33203125" bestFit="1" customWidth="1"/>
    <col min="1718" max="1718" width="6.33203125" bestFit="1" customWidth="1"/>
    <col min="1719" max="1719" width="61.33203125" bestFit="1" customWidth="1"/>
    <col min="1720" max="1720" width="7.109375" bestFit="1" customWidth="1"/>
    <col min="1721" max="1721" width="15.109375" bestFit="1" customWidth="1"/>
    <col min="1722" max="1722" width="9.6640625" bestFit="1" customWidth="1"/>
    <col min="1723" max="1723" width="9.33203125" bestFit="1" customWidth="1"/>
    <col min="1724" max="1724" width="14.88671875" bestFit="1" customWidth="1"/>
    <col min="1725" max="1725" width="16" bestFit="1" customWidth="1"/>
    <col min="1726" max="1726" width="9.6640625" bestFit="1" customWidth="1"/>
    <col min="1727" max="1727" width="9.33203125" bestFit="1" customWidth="1"/>
    <col min="1728" max="1728" width="6.88671875" bestFit="1" customWidth="1"/>
    <col min="1729" max="1729" width="6.5546875" bestFit="1" customWidth="1"/>
    <col min="1730" max="1730" width="9.6640625" bestFit="1" customWidth="1"/>
    <col min="1731" max="1731" width="9.33203125" bestFit="1" customWidth="1"/>
    <col min="1732" max="1732" width="10.44140625" bestFit="1" customWidth="1"/>
    <col min="1733" max="1733" width="6.33203125" bestFit="1" customWidth="1"/>
    <col min="1734" max="1734" width="61.33203125" bestFit="1" customWidth="1"/>
    <col min="1735" max="1735" width="7.109375" bestFit="1" customWidth="1"/>
    <col min="1736" max="1736" width="15.109375" bestFit="1" customWidth="1"/>
    <col min="1737" max="1737" width="9.6640625" bestFit="1" customWidth="1"/>
    <col min="1738" max="1738" width="9.33203125" bestFit="1" customWidth="1"/>
    <col min="1739" max="1739" width="6.5546875" bestFit="1" customWidth="1"/>
    <col min="1740" max="1740" width="9.6640625" bestFit="1" customWidth="1"/>
    <col min="1741" max="1741" width="9.33203125" bestFit="1" customWidth="1"/>
    <col min="1742" max="1742" width="14.5546875" bestFit="1" customWidth="1"/>
    <col min="1743" max="1743" width="18.5546875" bestFit="1" customWidth="1"/>
    <col min="1744" max="1744" width="14.88671875" bestFit="1" customWidth="1"/>
    <col min="1745" max="1745" width="16" bestFit="1" customWidth="1"/>
    <col min="1746" max="1746" width="9.6640625" bestFit="1" customWidth="1"/>
    <col min="1747" max="1747" width="9.33203125" bestFit="1" customWidth="1"/>
    <col min="1748" max="1748" width="7" bestFit="1" customWidth="1"/>
    <col min="1749" max="1749" width="6.5546875" bestFit="1" customWidth="1"/>
    <col min="1750" max="1750" width="19.6640625" bestFit="1" customWidth="1"/>
    <col min="1751" max="1751" width="20" bestFit="1" customWidth="1"/>
    <col min="1752" max="1752" width="32.33203125" bestFit="1" customWidth="1"/>
    <col min="1753" max="1753" width="18.5546875" bestFit="1" customWidth="1"/>
    <col min="1754" max="1754" width="14.88671875" bestFit="1" customWidth="1"/>
    <col min="1755" max="1755" width="16" bestFit="1" customWidth="1"/>
    <col min="1756" max="1756" width="9.6640625" bestFit="1" customWidth="1"/>
    <col min="1757" max="1757" width="9.33203125" bestFit="1" customWidth="1"/>
    <col min="1758" max="1758" width="6.88671875" bestFit="1" customWidth="1"/>
    <col min="1759" max="1759" width="7.109375" bestFit="1" customWidth="1"/>
    <col min="1760" max="1760" width="32.44140625" bestFit="1" customWidth="1"/>
    <col min="1761" max="1761" width="23.88671875" bestFit="1" customWidth="1"/>
    <col min="1762" max="1762" width="9.33203125" bestFit="1" customWidth="1"/>
    <col min="1763" max="1763" width="31.88671875" bestFit="1" customWidth="1"/>
    <col min="1764" max="1764" width="18.5546875" bestFit="1" customWidth="1"/>
    <col min="1765" max="1765" width="14.88671875" bestFit="1" customWidth="1"/>
    <col min="1766" max="1766" width="16" bestFit="1" customWidth="1"/>
    <col min="1767" max="1767" width="31.5546875" bestFit="1" customWidth="1"/>
    <col min="1768" max="1768" width="9.33203125" bestFit="1" customWidth="1"/>
    <col min="1769" max="1769" width="6.88671875" bestFit="1" customWidth="1"/>
    <col min="1770" max="1770" width="6.5546875" bestFit="1" customWidth="1"/>
    <col min="1771" max="1771" width="9.6640625" bestFit="1" customWidth="1"/>
    <col min="1772" max="1772" width="9.33203125" bestFit="1" customWidth="1"/>
    <col min="1773" max="1773" width="10.44140625" bestFit="1" customWidth="1"/>
    <col min="1774" max="1774" width="6.33203125" bestFit="1" customWidth="1"/>
    <col min="1775" max="1775" width="33.33203125" bestFit="1" customWidth="1"/>
    <col min="1776" max="1776" width="7.109375" bestFit="1" customWidth="1"/>
    <col min="1777" max="1777" width="15.109375" bestFit="1" customWidth="1"/>
    <col min="1778" max="1778" width="29.88671875" bestFit="1" customWidth="1"/>
    <col min="1779" max="1779" width="20" bestFit="1" customWidth="1"/>
    <col min="1780" max="1780" width="7" bestFit="1" customWidth="1"/>
    <col min="1781" max="1781" width="6.5546875" bestFit="1" customWidth="1"/>
    <col min="1782" max="1782" width="29.88671875" bestFit="1" customWidth="1"/>
    <col min="1783" max="1783" width="20" bestFit="1" customWidth="1"/>
    <col min="1784" max="1784" width="32.5546875" bestFit="1" customWidth="1"/>
    <col min="1785" max="1785" width="18.5546875" bestFit="1" customWidth="1"/>
    <col min="1786" max="1786" width="14.88671875" bestFit="1" customWidth="1"/>
    <col min="1787" max="1787" width="16" bestFit="1" customWidth="1"/>
    <col min="1788" max="1788" width="25.88671875" bestFit="1" customWidth="1"/>
    <col min="1789" max="1789" width="9.33203125" bestFit="1" customWidth="1"/>
    <col min="1790" max="1790" width="9.6640625" bestFit="1" customWidth="1"/>
    <col min="1791" max="1791" width="9.33203125" bestFit="1" customWidth="1"/>
    <col min="1792" max="1792" width="6.33203125" bestFit="1" customWidth="1"/>
    <col min="1793" max="1793" width="61.33203125" bestFit="1" customWidth="1"/>
    <col min="1794" max="1794" width="7.109375" bestFit="1" customWidth="1"/>
    <col min="1795" max="1795" width="15.109375" bestFit="1" customWidth="1"/>
    <col min="1796" max="1796" width="9.6640625" bestFit="1" customWidth="1"/>
    <col min="1797" max="1797" width="9.33203125" bestFit="1" customWidth="1"/>
    <col min="1798" max="1798" width="6.88671875" bestFit="1" customWidth="1"/>
    <col min="1799" max="1799" width="6.5546875" bestFit="1" customWidth="1"/>
    <col min="1800" max="1800" width="9.6640625" bestFit="1" customWidth="1"/>
    <col min="1801" max="1801" width="9.33203125" bestFit="1" customWidth="1"/>
    <col min="1802" max="1802" width="18.88671875" bestFit="1" customWidth="1"/>
    <col min="1803" max="1803" width="18.5546875" bestFit="1" customWidth="1"/>
    <col min="1804" max="1804" width="14.88671875" bestFit="1" customWidth="1"/>
    <col min="1805" max="1805" width="16" bestFit="1" customWidth="1"/>
    <col min="1806" max="1806" width="31.5546875" bestFit="1" customWidth="1"/>
    <col min="1807" max="1807" width="9.33203125" bestFit="1" customWidth="1"/>
    <col min="1808" max="1808" width="9.6640625" bestFit="1" customWidth="1"/>
    <col min="1809" max="1809" width="9.33203125" bestFit="1" customWidth="1"/>
    <col min="1810" max="1810" width="7.109375" bestFit="1" customWidth="1"/>
    <col min="1811" max="1811" width="27.6640625" bestFit="1" customWidth="1"/>
    <col min="1812" max="1812" width="9.33203125" bestFit="1" customWidth="1"/>
    <col min="1813" max="1813" width="25.6640625" bestFit="1" customWidth="1"/>
    <col min="1814" max="1814" width="18.5546875" bestFit="1" customWidth="1"/>
    <col min="1815" max="1815" width="14.88671875" bestFit="1" customWidth="1"/>
    <col min="1816" max="1816" width="16.44140625" bestFit="1" customWidth="1"/>
    <col min="1817" max="1817" width="27.6640625" bestFit="1" customWidth="1"/>
    <col min="1818" max="1818" width="9.33203125" bestFit="1" customWidth="1"/>
    <col min="1819" max="1819" width="9.6640625" bestFit="1" customWidth="1"/>
    <col min="1820" max="1820" width="9.33203125" bestFit="1" customWidth="1"/>
    <col min="1821" max="1821" width="6.33203125" bestFit="1" customWidth="1"/>
    <col min="1822" max="1822" width="14.33203125" bestFit="1" customWidth="1"/>
    <col min="1823" max="1823" width="7.109375" bestFit="1" customWidth="1"/>
    <col min="1824" max="1824" width="15.109375" bestFit="1" customWidth="1"/>
    <col min="1825" max="1825" width="9.6640625" bestFit="1" customWidth="1"/>
    <col min="1826" max="1826" width="9.33203125" bestFit="1" customWidth="1"/>
    <col min="1827" max="1827" width="14.88671875" bestFit="1" customWidth="1"/>
    <col min="1828" max="1828" width="16.44140625" bestFit="1" customWidth="1"/>
    <col min="1829" max="1829" width="27.6640625" bestFit="1" customWidth="1"/>
    <col min="1830" max="1830" width="9.33203125" bestFit="1" customWidth="1"/>
    <col min="1831" max="1831" width="6.88671875" bestFit="1" customWidth="1"/>
    <col min="1832" max="1832" width="7.109375" bestFit="1" customWidth="1"/>
    <col min="1833" max="1833" width="27.6640625" bestFit="1" customWidth="1"/>
    <col min="1834" max="1835" width="9.33203125" bestFit="1" customWidth="1"/>
    <col min="1836" max="1836" width="26.6640625" bestFit="1" customWidth="1"/>
    <col min="1837" max="1837" width="18.5546875" bestFit="1" customWidth="1"/>
    <col min="1838" max="1838" width="14.88671875" bestFit="1" customWidth="1"/>
    <col min="1839" max="1839" width="16.44140625" bestFit="1" customWidth="1"/>
    <col min="1840" max="1840" width="19.109375" bestFit="1" customWidth="1"/>
    <col min="1841" max="1841" width="9.33203125" bestFit="1" customWidth="1"/>
    <col min="1842" max="1842" width="7" bestFit="1" customWidth="1"/>
    <col min="1843" max="1843" width="7.109375" bestFit="1" customWidth="1"/>
    <col min="1844" max="1844" width="32.44140625" bestFit="1" customWidth="1"/>
    <col min="1845" max="1845" width="9.33203125" bestFit="1" customWidth="1"/>
    <col min="1846" max="1846" width="28.33203125" bestFit="1" customWidth="1"/>
    <col min="1847" max="1847" width="18.5546875" bestFit="1" customWidth="1"/>
    <col min="1848" max="1848" width="14.88671875" bestFit="1" customWidth="1"/>
    <col min="1849" max="1849" width="16" bestFit="1" customWidth="1"/>
    <col min="1850" max="1850" width="27.6640625" bestFit="1" customWidth="1"/>
    <col min="1851" max="1851" width="9.33203125" bestFit="1" customWidth="1"/>
    <col min="1852" max="1852" width="6.88671875" bestFit="1" customWidth="1"/>
    <col min="1853" max="1853" width="7.109375" bestFit="1" customWidth="1"/>
    <col min="1854" max="1854" width="9.6640625" bestFit="1" customWidth="1"/>
    <col min="1855" max="1858" width="9.33203125" bestFit="1" customWidth="1"/>
    <col min="1859" max="1859" width="27.6640625" bestFit="1" customWidth="1"/>
    <col min="1860" max="1860" width="9.33203125" bestFit="1" customWidth="1"/>
    <col min="1861" max="1861" width="7.109375" bestFit="1" customWidth="1"/>
    <col min="1862" max="1862" width="9.6640625" bestFit="1" customWidth="1"/>
    <col min="1863" max="1863" width="9.33203125" bestFit="1" customWidth="1"/>
    <col min="1864" max="1864" width="26.6640625" bestFit="1" customWidth="1"/>
    <col min="1865" max="1865" width="18.5546875" bestFit="1" customWidth="1"/>
    <col min="1866" max="1866" width="14.88671875" bestFit="1" customWidth="1"/>
    <col min="1867" max="1867" width="16.44140625" bestFit="1" customWidth="1"/>
    <col min="1868" max="1868" width="9.6640625" bestFit="1" customWidth="1"/>
    <col min="1869" max="1869" width="9.33203125" bestFit="1" customWidth="1"/>
    <col min="1870" max="1870" width="6.88671875" bestFit="1" customWidth="1"/>
    <col min="1871" max="1871" width="7.109375" bestFit="1" customWidth="1"/>
    <col min="1872" max="1872" width="9.6640625" bestFit="1" customWidth="1"/>
    <col min="1873" max="1873" width="9.33203125" bestFit="1" customWidth="1"/>
    <col min="1874" max="1874" width="26.6640625" bestFit="1" customWidth="1"/>
    <col min="1875" max="1875" width="18.5546875" bestFit="1" customWidth="1"/>
    <col min="1876" max="1876" width="14.88671875" bestFit="1" customWidth="1"/>
    <col min="1877" max="1877" width="16.44140625" bestFit="1" customWidth="1"/>
    <col min="1878" max="1878" width="9.6640625" bestFit="1" customWidth="1"/>
    <col min="1879" max="1879" width="9.33203125" bestFit="1" customWidth="1"/>
    <col min="1880" max="1880" width="7" bestFit="1" customWidth="1"/>
    <col min="1881" max="1881" width="7.109375" bestFit="1" customWidth="1"/>
    <col min="1882" max="1882" width="32.44140625" bestFit="1" customWidth="1"/>
    <col min="1883" max="1883" width="9.33203125" bestFit="1" customWidth="1"/>
    <col min="1884" max="1884" width="31.88671875" bestFit="1" customWidth="1"/>
    <col min="1885" max="1885" width="18.5546875" bestFit="1" customWidth="1"/>
    <col min="1886" max="1886" width="14.88671875" bestFit="1" customWidth="1"/>
    <col min="1887" max="1887" width="16" bestFit="1" customWidth="1"/>
    <col min="1888" max="1888" width="25.88671875" bestFit="1" customWidth="1"/>
    <col min="1889" max="1889" width="9.33203125" bestFit="1" customWidth="1"/>
    <col min="1890" max="1890" width="7" bestFit="1" customWidth="1"/>
    <col min="1891" max="1891" width="6.5546875" bestFit="1" customWidth="1"/>
    <col min="1892" max="1892" width="30.88671875" bestFit="1" customWidth="1"/>
    <col min="1893" max="1893" width="20" bestFit="1" customWidth="1"/>
    <col min="1894" max="1894" width="31.88671875" bestFit="1" customWidth="1"/>
    <col min="1895" max="1895" width="18.5546875" bestFit="1" customWidth="1"/>
    <col min="1896" max="1896" width="14.88671875" bestFit="1" customWidth="1"/>
    <col min="1897" max="1897" width="16" bestFit="1" customWidth="1"/>
    <col min="1898" max="1898" width="25.88671875" bestFit="1" customWidth="1"/>
    <col min="1899" max="1899" width="9.33203125" bestFit="1" customWidth="1"/>
    <col min="1900" max="1900" width="6.88671875" bestFit="1" customWidth="1"/>
    <col min="1901" max="1901" width="6.5546875" bestFit="1" customWidth="1"/>
    <col min="1902" max="1902" width="32.44140625" bestFit="1" customWidth="1"/>
    <col min="1903" max="1903" width="9.33203125" bestFit="1" customWidth="1"/>
    <col min="1904" max="1904" width="31.88671875" bestFit="1" customWidth="1"/>
    <col min="1905" max="1905" width="18.5546875" bestFit="1" customWidth="1"/>
    <col min="1906" max="1906" width="14.88671875" bestFit="1" customWidth="1"/>
    <col min="1907" max="1907" width="16" bestFit="1" customWidth="1"/>
    <col min="1908" max="1908" width="31.5546875" bestFit="1" customWidth="1"/>
    <col min="1909" max="1909" width="9.33203125" bestFit="1" customWidth="1"/>
    <col min="1910" max="1910" width="6.88671875" bestFit="1" customWidth="1"/>
    <col min="1911" max="1911" width="7.109375" bestFit="1" customWidth="1"/>
    <col min="1912" max="1912" width="33" bestFit="1" customWidth="1"/>
    <col min="1913" max="1913" width="9.33203125" bestFit="1" customWidth="1"/>
    <col min="1914" max="1914" width="25.6640625" bestFit="1" customWidth="1"/>
    <col min="1915" max="1915" width="18.5546875" bestFit="1" customWidth="1"/>
    <col min="1916" max="1916" width="14.88671875" bestFit="1" customWidth="1"/>
    <col min="1917" max="1917" width="16" bestFit="1" customWidth="1"/>
    <col min="1918" max="1918" width="27.6640625" bestFit="1" customWidth="1"/>
    <col min="1919" max="1919" width="9.33203125" bestFit="1" customWidth="1"/>
    <col min="1920" max="1920" width="6.88671875" bestFit="1" customWidth="1"/>
    <col min="1921" max="1921" width="7.109375" bestFit="1" customWidth="1"/>
    <col min="1922" max="1922" width="33" bestFit="1" customWidth="1"/>
    <col min="1923" max="1924" width="9.33203125" bestFit="1" customWidth="1"/>
    <col min="1925" max="1925" width="25.6640625" bestFit="1" customWidth="1"/>
    <col min="1926" max="1926" width="18.5546875" bestFit="1" customWidth="1"/>
    <col min="1927" max="1927" width="14.88671875" bestFit="1" customWidth="1"/>
    <col min="1928" max="1928" width="16" bestFit="1" customWidth="1"/>
    <col min="1929" max="1929" width="27.6640625" bestFit="1" customWidth="1"/>
    <col min="1930" max="1930" width="9.33203125" bestFit="1" customWidth="1"/>
    <col min="1931" max="1931" width="7" bestFit="1" customWidth="1"/>
    <col min="1932" max="1932" width="6.5546875" bestFit="1" customWidth="1"/>
    <col min="1933" max="1933" width="30.88671875" bestFit="1" customWidth="1"/>
    <col min="1934" max="1934" width="9.33203125" bestFit="1" customWidth="1"/>
    <col min="1935" max="1935" width="30.88671875" bestFit="1" customWidth="1"/>
    <col min="1936" max="1936" width="18.5546875" bestFit="1" customWidth="1"/>
    <col min="1937" max="1937" width="14.88671875" bestFit="1" customWidth="1"/>
    <col min="1938" max="1938" width="16" bestFit="1" customWidth="1"/>
    <col min="1939" max="1939" width="29.33203125" bestFit="1" customWidth="1"/>
    <col min="1940" max="1940" width="9.33203125" bestFit="1" customWidth="1"/>
    <col min="1941" max="1941" width="6.88671875" bestFit="1" customWidth="1"/>
    <col min="1942" max="1942" width="6.6640625" bestFit="1" customWidth="1"/>
    <col min="1943" max="1943" width="32.44140625" bestFit="1" customWidth="1"/>
    <col min="1944" max="1944" width="9.33203125" bestFit="1" customWidth="1"/>
    <col min="1945" max="1945" width="27.33203125" bestFit="1" customWidth="1"/>
    <col min="1946" max="1946" width="18.5546875" bestFit="1" customWidth="1"/>
    <col min="1947" max="1947" width="16.5546875" bestFit="1" customWidth="1"/>
    <col min="1948" max="1948" width="16.88671875" bestFit="1" customWidth="1"/>
    <col min="1949" max="1949" width="28.88671875" bestFit="1" customWidth="1"/>
    <col min="1950" max="1950" width="9.33203125" bestFit="1" customWidth="1"/>
    <col min="1951" max="1951" width="14.33203125" bestFit="1" customWidth="1"/>
    <col min="1952" max="1952" width="7.33203125" bestFit="1" customWidth="1"/>
    <col min="1953" max="1953" width="15.5546875" bestFit="1" customWidth="1"/>
    <col min="1954" max="1954" width="9.6640625" bestFit="1" customWidth="1"/>
    <col min="1955" max="1955" width="9.33203125" bestFit="1" customWidth="1"/>
    <col min="1956" max="1956" width="27.33203125" bestFit="1" customWidth="1"/>
    <col min="1957" max="1957" width="28.88671875" bestFit="1" customWidth="1"/>
    <col min="1958" max="1958" width="9.33203125" bestFit="1" customWidth="1"/>
    <col min="1959" max="1959" width="7.33203125" bestFit="1" customWidth="1"/>
    <col min="1960" max="1960" width="34.6640625" bestFit="1" customWidth="1"/>
    <col min="1961" max="1961" width="9.33203125" bestFit="1" customWidth="1"/>
    <col min="1962" max="1962" width="27.33203125" bestFit="1" customWidth="1"/>
    <col min="1963" max="1963" width="18.5546875" bestFit="1" customWidth="1"/>
    <col min="1964" max="1964" width="16.5546875" bestFit="1" customWidth="1"/>
    <col min="1965" max="1965" width="16.88671875" bestFit="1" customWidth="1"/>
    <col min="1966" max="1966" width="28.88671875" bestFit="1" customWidth="1"/>
    <col min="1967" max="1967" width="9.33203125" bestFit="1" customWidth="1"/>
    <col min="1968" max="1968" width="6.88671875" bestFit="1" customWidth="1"/>
    <col min="1969" max="1969" width="7.33203125" bestFit="1" customWidth="1"/>
    <col min="1970" max="1970" width="34.6640625" bestFit="1" customWidth="1"/>
    <col min="1971" max="1971" width="9.33203125" bestFit="1" customWidth="1"/>
    <col min="1972" max="1972" width="9.6640625" bestFit="1" customWidth="1"/>
    <col min="1973" max="1973" width="9.33203125" bestFit="1" customWidth="1"/>
    <col min="1974" max="1974" width="6.88671875" bestFit="1" customWidth="1"/>
    <col min="1975" max="1975" width="6.5546875" bestFit="1" customWidth="1"/>
    <col min="1976" max="1976" width="9.6640625" bestFit="1" customWidth="1"/>
    <col min="1977" max="1977" width="9.33203125" bestFit="1" customWidth="1"/>
    <col min="1978" max="1978" width="9.6640625" bestFit="1" customWidth="1"/>
    <col min="1979" max="1979" width="9.33203125" bestFit="1" customWidth="1"/>
    <col min="1980" max="1980" width="6.5546875" bestFit="1" customWidth="1"/>
    <col min="1981" max="1981" width="27.6640625" bestFit="1" customWidth="1"/>
    <col min="1982" max="1982" width="9.33203125" bestFit="1" customWidth="1"/>
    <col min="1983" max="1983" width="15.33203125" bestFit="1" customWidth="1"/>
    <col min="1984" max="1984" width="10.88671875" bestFit="1" customWidth="1"/>
    <col min="1985" max="1985" width="19" bestFit="1" customWidth="1"/>
    <col min="1986" max="1986" width="9.6640625" bestFit="1" customWidth="1"/>
    <col min="1987" max="1987" width="9.33203125" bestFit="1" customWidth="1"/>
    <col min="1988" max="1988" width="28.33203125" bestFit="1" customWidth="1"/>
    <col min="1989" max="1989" width="18.5546875" bestFit="1" customWidth="1"/>
    <col min="1990" max="1990" width="14.88671875" bestFit="1" customWidth="1"/>
    <col min="1991" max="1991" width="16" bestFit="1" customWidth="1"/>
    <col min="1992" max="1992" width="9.6640625" bestFit="1" customWidth="1"/>
    <col min="1993" max="1993" width="9.33203125" bestFit="1" customWidth="1"/>
    <col min="1994" max="1994" width="6.88671875" bestFit="1" customWidth="1"/>
    <col min="1995" max="1995" width="6.5546875" bestFit="1" customWidth="1"/>
    <col min="1996" max="1996" width="9.6640625" bestFit="1" customWidth="1"/>
    <col min="1997" max="1997" width="9.33203125" bestFit="1" customWidth="1"/>
    <col min="1998" max="1998" width="29.88671875" bestFit="1" customWidth="1"/>
    <col min="1999" max="1999" width="19.109375" bestFit="1" customWidth="1"/>
    <col min="2000" max="2000" width="15.5546875" bestFit="1" customWidth="1"/>
    <col min="2001" max="2001" width="16.5546875" bestFit="1" customWidth="1"/>
    <col min="2002" max="2002" width="22.88671875" bestFit="1" customWidth="1"/>
    <col min="2003" max="2003" width="9.5546875" bestFit="1" customWidth="1"/>
    <col min="2004" max="2004" width="7.109375" bestFit="1" customWidth="1"/>
    <col min="2005" max="2005" width="6.6640625" bestFit="1" customWidth="1"/>
    <col min="2006" max="2006" width="22.88671875" bestFit="1" customWidth="1"/>
    <col min="2007" max="2007" width="9.5546875" bestFit="1" customWidth="1"/>
    <col min="2008" max="2008" width="29.88671875" bestFit="1" customWidth="1"/>
    <col min="2009" max="2009" width="19.109375" bestFit="1" customWidth="1"/>
    <col min="2010" max="2010" width="15.5546875" bestFit="1" customWidth="1"/>
    <col min="2011" max="2011" width="16.5546875" bestFit="1" customWidth="1"/>
    <col min="2012" max="2012" width="32" bestFit="1" customWidth="1"/>
    <col min="2013" max="2013" width="9.5546875" bestFit="1" customWidth="1"/>
    <col min="2014" max="2015" width="7.109375" bestFit="1" customWidth="1"/>
    <col min="2016" max="2016" width="34.44140625" bestFit="1" customWidth="1"/>
    <col min="2017" max="2017" width="9.5546875" bestFit="1" customWidth="1"/>
    <col min="2018" max="2018" width="29.88671875" bestFit="1" customWidth="1"/>
    <col min="2019" max="2019" width="19.109375" bestFit="1" customWidth="1"/>
    <col min="2020" max="2020" width="15.5546875" bestFit="1" customWidth="1"/>
    <col min="2021" max="2021" width="16.5546875" bestFit="1" customWidth="1"/>
    <col min="2022" max="2022" width="22.88671875" bestFit="1" customWidth="1"/>
    <col min="2023" max="2023" width="9.5546875" bestFit="1" customWidth="1"/>
    <col min="2024" max="2024" width="7.33203125" bestFit="1" customWidth="1"/>
    <col min="2025" max="2025" width="6.6640625" bestFit="1" customWidth="1"/>
    <col min="2026" max="2026" width="32.88671875" bestFit="1" customWidth="1"/>
    <col min="2027" max="2028" width="21.88671875" bestFit="1" customWidth="1"/>
    <col min="2029" max="2029" width="19.109375" bestFit="1" customWidth="1"/>
    <col min="2030" max="2030" width="15.5546875" bestFit="1" customWidth="1"/>
    <col min="2031" max="2031" width="16.5546875" bestFit="1" customWidth="1"/>
    <col min="2032" max="2032" width="32" bestFit="1" customWidth="1"/>
    <col min="2033" max="2033" width="9.5546875" bestFit="1" customWidth="1"/>
    <col min="2034" max="2035" width="7.109375" bestFit="1" customWidth="1"/>
    <col min="2036" max="2036" width="32" bestFit="1" customWidth="1"/>
    <col min="2037" max="2037" width="9.5546875" bestFit="1" customWidth="1"/>
    <col min="2038" max="2038" width="33.44140625" bestFit="1" customWidth="1"/>
    <col min="2039" max="2039" width="19.109375" bestFit="1" customWidth="1"/>
    <col min="2040" max="2040" width="15.5546875" bestFit="1" customWidth="1"/>
    <col min="2041" max="2041" width="16.5546875" bestFit="1" customWidth="1"/>
    <col min="2042" max="2042" width="33.44140625" bestFit="1" customWidth="1"/>
    <col min="2043" max="2043" width="26.109375" bestFit="1" customWidth="1"/>
    <col min="2044" max="2045" width="7.109375" bestFit="1" customWidth="1"/>
    <col min="2046" max="2046" width="33.44140625" bestFit="1" customWidth="1"/>
    <col min="2047" max="2047" width="9.5546875" bestFit="1" customWidth="1"/>
    <col min="2048" max="2048" width="7.5546875" bestFit="1" customWidth="1"/>
    <col min="2049" max="2049" width="16" bestFit="1" customWidth="1"/>
    <col min="2050" max="2050" width="11.44140625" bestFit="1" customWidth="1"/>
    <col min="2051" max="2051" width="20" bestFit="1" customWidth="1"/>
    <col min="2052" max="2052" width="10" bestFit="1" customWidth="1"/>
    <col min="2053" max="2053" width="9.5546875" bestFit="1" customWidth="1"/>
    <col min="2054" max="2054" width="36.6640625" bestFit="1" customWidth="1"/>
    <col min="2055" max="2055" width="19.109375" bestFit="1" customWidth="1"/>
    <col min="2056" max="2056" width="15.5546875" bestFit="1" customWidth="1"/>
    <col min="2057" max="2057" width="16.5546875" bestFit="1" customWidth="1"/>
    <col min="2058" max="2058" width="35.6640625" bestFit="1" customWidth="1"/>
    <col min="2059" max="2059" width="34.5546875" bestFit="1" customWidth="1"/>
    <col min="2060" max="2060" width="7.33203125" bestFit="1" customWidth="1"/>
    <col min="2061" max="2061" width="6.6640625" bestFit="1" customWidth="1"/>
    <col min="2062" max="2062" width="34.44140625" bestFit="1" customWidth="1"/>
    <col min="2063" max="2063" width="9.5546875" bestFit="1" customWidth="1"/>
    <col min="2064" max="2064" width="27.44140625" bestFit="1" customWidth="1"/>
    <col min="2065" max="2065" width="19.109375" bestFit="1" customWidth="1"/>
    <col min="2066" max="2066" width="15.5546875" bestFit="1" customWidth="1"/>
    <col min="2067" max="2067" width="16.5546875" bestFit="1" customWidth="1"/>
    <col min="2068" max="2068" width="28.6640625" bestFit="1" customWidth="1"/>
    <col min="2069" max="2069" width="34.5546875" bestFit="1" customWidth="1"/>
    <col min="2070" max="2070" width="7.33203125" bestFit="1" customWidth="1"/>
    <col min="2071" max="2071" width="7.109375" bestFit="1" customWidth="1"/>
    <col min="2072" max="2072" width="34.44140625" bestFit="1" customWidth="1"/>
    <col min="2073" max="2073" width="9.5546875" bestFit="1" customWidth="1"/>
    <col min="2074" max="2074" width="29.88671875" bestFit="1" customWidth="1"/>
    <col min="2075" max="2075" width="19.109375" bestFit="1" customWidth="1"/>
    <col min="2076" max="2076" width="15.5546875" bestFit="1" customWidth="1"/>
    <col min="2077" max="2077" width="16.5546875" bestFit="1" customWidth="1"/>
    <col min="2078" max="2078" width="34.44140625" bestFit="1" customWidth="1"/>
    <col min="2079" max="2079" width="9.5546875" bestFit="1" customWidth="1"/>
    <col min="2080" max="2080" width="7.33203125" bestFit="1" customWidth="1"/>
    <col min="2081" max="2081" width="6.6640625" bestFit="1" customWidth="1"/>
    <col min="2082" max="2082" width="32.88671875" bestFit="1" customWidth="1"/>
    <col min="2083" max="2083" width="21.88671875" bestFit="1" customWidth="1"/>
    <col min="2084" max="2084" width="36.6640625" bestFit="1" customWidth="1"/>
    <col min="2085" max="2085" width="19.109375" bestFit="1" customWidth="1"/>
    <col min="2086" max="2086" width="15.5546875" bestFit="1" customWidth="1"/>
    <col min="2087" max="2087" width="16.5546875" bestFit="1" customWidth="1"/>
    <col min="2088" max="2088" width="33.44140625" bestFit="1" customWidth="1"/>
    <col min="2089" max="2089" width="9.5546875" bestFit="1" customWidth="1"/>
    <col min="2090" max="2090" width="7.33203125" bestFit="1" customWidth="1"/>
    <col min="2091" max="2091" width="6.6640625" bestFit="1" customWidth="1"/>
    <col min="2092" max="2092" width="34.44140625" bestFit="1" customWidth="1"/>
    <col min="2093" max="2093" width="9.5546875" bestFit="1" customWidth="1"/>
    <col min="2094" max="2094" width="20.44140625" bestFit="1" customWidth="1"/>
    <col min="2095" max="2095" width="19.109375" bestFit="1" customWidth="1"/>
    <col min="2096" max="2096" width="15.5546875" bestFit="1" customWidth="1"/>
    <col min="2097" max="2097" width="16.5546875" bestFit="1" customWidth="1"/>
    <col min="2098" max="2098" width="34.44140625" bestFit="1" customWidth="1"/>
    <col min="2099" max="2099" width="9.5546875" bestFit="1" customWidth="1"/>
    <col min="2100" max="2100" width="7.33203125" bestFit="1" customWidth="1"/>
    <col min="2101" max="2101" width="6.6640625" bestFit="1" customWidth="1"/>
    <col min="2102" max="2102" width="32" bestFit="1" customWidth="1"/>
    <col min="2103" max="2104" width="21.88671875" bestFit="1" customWidth="1"/>
    <col min="2105" max="2105" width="19.109375" bestFit="1" customWidth="1"/>
    <col min="2106" max="2106" width="15.5546875" bestFit="1" customWidth="1"/>
    <col min="2107" max="2107" width="16.5546875" bestFit="1" customWidth="1"/>
    <col min="2108" max="2108" width="32" bestFit="1" customWidth="1"/>
    <col min="2109" max="2109" width="9.5546875" bestFit="1" customWidth="1"/>
    <col min="2110" max="2110" width="7.33203125" bestFit="1" customWidth="1"/>
    <col min="2111" max="2111" width="7.109375" bestFit="1" customWidth="1"/>
    <col min="2112" max="2112" width="32" bestFit="1" customWidth="1"/>
    <col min="2113" max="2113" width="21.88671875" bestFit="1" customWidth="1"/>
    <col min="2114" max="2114" width="33.44140625" bestFit="1" customWidth="1"/>
    <col min="2115" max="2115" width="19.109375" bestFit="1" customWidth="1"/>
    <col min="2116" max="2116" width="15.5546875" bestFit="1" customWidth="1"/>
    <col min="2117" max="2117" width="16.5546875" bestFit="1" customWidth="1"/>
    <col min="2118" max="2118" width="31.6640625" bestFit="1" customWidth="1"/>
    <col min="2119" max="2119" width="26.109375" bestFit="1" customWidth="1"/>
    <col min="2120" max="2120" width="7.33203125" bestFit="1" customWidth="1"/>
    <col min="2121" max="2121" width="6.6640625" bestFit="1" customWidth="1"/>
    <col min="2122" max="2122" width="34.44140625" bestFit="1" customWidth="1"/>
    <col min="2123" max="2123" width="9.5546875" bestFit="1" customWidth="1"/>
    <col min="2124" max="2124" width="24" bestFit="1" customWidth="1"/>
    <col min="2125" max="2125" width="19.109375" bestFit="1" customWidth="1"/>
    <col min="2126" max="2126" width="15.5546875" bestFit="1" customWidth="1"/>
    <col min="2127" max="2127" width="16.5546875" bestFit="1" customWidth="1"/>
    <col min="2128" max="2128" width="28.6640625" bestFit="1" customWidth="1"/>
    <col min="2129" max="2129" width="34.5546875" bestFit="1" customWidth="1"/>
    <col min="2130" max="2130" width="7.33203125" bestFit="1" customWidth="1"/>
    <col min="2131" max="2131" width="7.44140625" bestFit="1" customWidth="1"/>
    <col min="2132" max="2132" width="32.44140625" bestFit="1" customWidth="1"/>
    <col min="2133" max="2133" width="34.5546875" bestFit="1" customWidth="1"/>
    <col min="2134" max="2134" width="9.5546875" bestFit="1" customWidth="1"/>
    <col min="2135" max="2135" width="22.88671875" bestFit="1" customWidth="1"/>
    <col min="2136" max="2136" width="9.5546875" bestFit="1" customWidth="1"/>
    <col min="2137" max="2137" width="6.6640625" bestFit="1" customWidth="1"/>
    <col min="2138" max="2138" width="22.88671875" bestFit="1" customWidth="1"/>
    <col min="2139" max="2140" width="9.5546875" bestFit="1" customWidth="1"/>
    <col min="2141" max="2141" width="29.88671875" bestFit="1" customWidth="1"/>
    <col min="2142" max="2142" width="19.109375" bestFit="1" customWidth="1"/>
    <col min="2143" max="2143" width="15.5546875" bestFit="1" customWidth="1"/>
    <col min="2144" max="2144" width="16.5546875" bestFit="1" customWidth="1"/>
    <col min="2145" max="2145" width="29.6640625" bestFit="1" customWidth="1"/>
    <col min="2146" max="2146" width="9.5546875" bestFit="1" customWidth="1"/>
    <col min="2147" max="2147" width="7.109375" bestFit="1" customWidth="1"/>
    <col min="2148" max="2148" width="6.6640625" bestFit="1" customWidth="1"/>
    <col min="2149" max="2149" width="22.88671875" bestFit="1" customWidth="1"/>
    <col min="2150" max="2150" width="9.5546875" bestFit="1" customWidth="1"/>
    <col min="2151" max="2151" width="29.88671875" bestFit="1" customWidth="1"/>
    <col min="2152" max="2152" width="19.109375" bestFit="1" customWidth="1"/>
    <col min="2153" max="2153" width="15.5546875" bestFit="1" customWidth="1"/>
    <col min="2154" max="2154" width="16.5546875" bestFit="1" customWidth="1"/>
    <col min="2155" max="2155" width="29.6640625" bestFit="1" customWidth="1"/>
    <col min="2156" max="2156" width="9.5546875" bestFit="1" customWidth="1"/>
    <col min="2157" max="2157" width="7.109375" bestFit="1" customWidth="1"/>
    <col min="2158" max="2158" width="6.6640625" bestFit="1" customWidth="1"/>
    <col min="2159" max="2159" width="22.88671875" bestFit="1" customWidth="1"/>
    <col min="2160" max="2160" width="9.5546875" bestFit="1" customWidth="1"/>
    <col min="2161" max="2161" width="21.88671875" bestFit="1" customWidth="1"/>
    <col min="2162" max="2162" width="28.6640625" bestFit="1" customWidth="1"/>
    <col min="2163" max="2163" width="19.109375" bestFit="1" customWidth="1"/>
    <col min="2164" max="2164" width="15.5546875" bestFit="1" customWidth="1"/>
    <col min="2165" max="2165" width="16.5546875" bestFit="1" customWidth="1"/>
    <col min="2166" max="2166" width="32" bestFit="1" customWidth="1"/>
    <col min="2167" max="2167" width="9.5546875" bestFit="1" customWidth="1"/>
    <col min="2168" max="2169" width="7.109375" bestFit="1" customWidth="1"/>
    <col min="2170" max="2170" width="33.44140625" bestFit="1" customWidth="1"/>
    <col min="2171" max="2171" width="21.88671875" bestFit="1" customWidth="1"/>
    <col min="2172" max="2172" width="33.44140625" bestFit="1" customWidth="1"/>
    <col min="2173" max="2173" width="19.109375" bestFit="1" customWidth="1"/>
    <col min="2174" max="2174" width="15.5546875" bestFit="1" customWidth="1"/>
    <col min="2175" max="2175" width="16.5546875" bestFit="1" customWidth="1"/>
    <col min="2176" max="2176" width="25.6640625" bestFit="1" customWidth="1"/>
    <col min="2177" max="2177" width="26.109375" bestFit="1" customWidth="1"/>
    <col min="2178" max="2178" width="12.5546875" bestFit="1" customWidth="1"/>
    <col min="2179" max="2179" width="7.5546875" bestFit="1" customWidth="1"/>
    <col min="2180" max="2180" width="16" bestFit="1" customWidth="1"/>
    <col min="2181" max="2181" width="11.44140625" bestFit="1" customWidth="1"/>
    <col min="2182" max="2182" width="20" bestFit="1" customWidth="1"/>
    <col min="2183" max="2183" width="10" bestFit="1" customWidth="1"/>
    <col min="2184" max="2184" width="9.5546875" bestFit="1" customWidth="1"/>
    <col min="2185" max="2185" width="29.88671875" bestFit="1" customWidth="1"/>
    <col min="2186" max="2186" width="19.109375" bestFit="1" customWidth="1"/>
    <col min="2187" max="2187" width="15.5546875" bestFit="1" customWidth="1"/>
    <col min="2188" max="2188" width="16.5546875" bestFit="1" customWidth="1"/>
    <col min="2189" max="2189" width="29.6640625" bestFit="1" customWidth="1"/>
    <col min="2190" max="2191" width="9.5546875" bestFit="1" customWidth="1"/>
    <col min="2192" max="2192" width="29.6640625" bestFit="1" customWidth="1"/>
    <col min="2193" max="2193" width="9.5546875" bestFit="1" customWidth="1"/>
    <col min="2194" max="2194" width="6.44140625" bestFit="1" customWidth="1"/>
    <col min="2195" max="2195" width="14.6640625" bestFit="1" customWidth="1"/>
    <col min="2196" max="2196" width="7.5546875" bestFit="1" customWidth="1"/>
    <col min="2197" max="2197" width="16" bestFit="1" customWidth="1"/>
    <col min="2198" max="2198" width="10" bestFit="1" customWidth="1"/>
    <col min="2199" max="2199" width="9.5546875" bestFit="1" customWidth="1"/>
    <col min="2200" max="2201" width="7.109375" bestFit="1" customWidth="1"/>
    <col min="2202" max="2202" width="32" bestFit="1" customWidth="1"/>
    <col min="2203" max="2203" width="21.88671875" bestFit="1" customWidth="1"/>
    <col min="2204" max="2204" width="33.44140625" bestFit="1" customWidth="1"/>
    <col min="2205" max="2205" width="19.109375" bestFit="1" customWidth="1"/>
    <col min="2206" max="2206" width="15.5546875" bestFit="1" customWidth="1"/>
    <col min="2207" max="2207" width="16.5546875" bestFit="1" customWidth="1"/>
    <col min="2208" max="2208" width="33.44140625" bestFit="1" customWidth="1"/>
    <col min="2209" max="2209" width="26.109375" bestFit="1" customWidth="1"/>
    <col min="2210" max="2210" width="7.33203125" bestFit="1" customWidth="1"/>
    <col min="2211" max="2211" width="7" bestFit="1" customWidth="1"/>
    <col min="2212" max="2212" width="34.44140625" bestFit="1" customWidth="1"/>
    <col min="2213" max="2213" width="34.5546875" bestFit="1" customWidth="1"/>
    <col min="2214" max="2214" width="27.44140625" bestFit="1" customWidth="1"/>
    <col min="2215" max="2215" width="19.109375" bestFit="1" customWidth="1"/>
    <col min="2216" max="2216" width="15.5546875" bestFit="1" customWidth="1"/>
    <col min="2217" max="2217" width="16.5546875" bestFit="1" customWidth="1"/>
    <col min="2218" max="2218" width="22.88671875" bestFit="1" customWidth="1"/>
    <col min="2219" max="2219" width="9.5546875" bestFit="1" customWidth="1"/>
    <col min="2220" max="2220" width="7.33203125" bestFit="1" customWidth="1"/>
    <col min="2221" max="2221" width="7" bestFit="1" customWidth="1"/>
    <col min="2222" max="2222" width="33.44140625" bestFit="1" customWidth="1"/>
    <col min="2223" max="2224" width="34.5546875" bestFit="1" customWidth="1"/>
    <col min="2225" max="2225" width="27.44140625" bestFit="1" customWidth="1"/>
    <col min="2226" max="2226" width="19.109375" bestFit="1" customWidth="1"/>
    <col min="2227" max="2227" width="15.5546875" bestFit="1" customWidth="1"/>
    <col min="2228" max="2228" width="16.5546875" bestFit="1" customWidth="1"/>
    <col min="2229" max="2229" width="22.88671875" bestFit="1" customWidth="1"/>
    <col min="2230" max="2230" width="9.5546875" bestFit="1" customWidth="1"/>
    <col min="2231" max="2231" width="7.33203125" bestFit="1" customWidth="1"/>
    <col min="2232" max="2232" width="7" bestFit="1" customWidth="1"/>
    <col min="2233" max="2233" width="33.44140625" bestFit="1" customWidth="1"/>
    <col min="2234" max="2234" width="34.5546875" bestFit="1" customWidth="1"/>
    <col min="2235" max="2235" width="16" bestFit="1" customWidth="1"/>
    <col min="2236" max="2236" width="11.44140625" bestFit="1" customWidth="1"/>
    <col min="2237" max="2237" width="20" bestFit="1" customWidth="1"/>
    <col min="2238" max="2238" width="10" bestFit="1" customWidth="1"/>
    <col min="2239" max="2240" width="9.5546875" bestFit="1" customWidth="1"/>
    <col min="2241" max="2241" width="7" bestFit="1" customWidth="1"/>
    <col min="2242" max="2242" width="22.88671875" bestFit="1" customWidth="1"/>
    <col min="2243" max="2243" width="9.5546875" bestFit="1" customWidth="1"/>
    <col min="2244" max="2244" width="29.88671875" bestFit="1" customWidth="1"/>
    <col min="2245" max="2245" width="19.109375" bestFit="1" customWidth="1"/>
    <col min="2246" max="2246" width="15.5546875" bestFit="1" customWidth="1"/>
    <col min="2247" max="2247" width="16.5546875" bestFit="1" customWidth="1"/>
    <col min="2248" max="2248" width="22.88671875" bestFit="1" customWidth="1"/>
    <col min="2249" max="2249" width="9.5546875" bestFit="1" customWidth="1"/>
    <col min="2250" max="2250" width="7.109375" bestFit="1" customWidth="1"/>
    <col min="2251" max="2251" width="6.6640625" bestFit="1" customWidth="1"/>
    <col min="2252" max="2252" width="10" bestFit="1" customWidth="1"/>
    <col min="2253" max="2253" width="9.5546875" bestFit="1" customWidth="1"/>
    <col min="2254" max="2254" width="34.5546875" bestFit="1" customWidth="1"/>
    <col min="2255" max="2255" width="29.88671875" bestFit="1" customWidth="1"/>
    <col min="2256" max="2256" width="19.109375" bestFit="1" customWidth="1"/>
    <col min="2257" max="2257" width="15.5546875" bestFit="1" customWidth="1"/>
    <col min="2258" max="2258" width="16.5546875" bestFit="1" customWidth="1"/>
    <col min="2259" max="2259" width="10" bestFit="1" customWidth="1"/>
    <col min="2260" max="2260" width="9.5546875" bestFit="1" customWidth="1"/>
    <col min="2261" max="2261" width="12.5546875" bestFit="1" customWidth="1"/>
    <col min="2262" max="2262" width="7.5546875" bestFit="1" customWidth="1"/>
    <col min="2263" max="2263" width="16" bestFit="1" customWidth="1"/>
    <col min="2264" max="2264" width="11.44140625" bestFit="1" customWidth="1"/>
    <col min="2265" max="2265" width="20" bestFit="1" customWidth="1"/>
    <col min="2266" max="2266" width="10" bestFit="1" customWidth="1"/>
    <col min="2267" max="2267" width="9.5546875" bestFit="1" customWidth="1"/>
    <col min="2268" max="2268" width="6.6640625" bestFit="1" customWidth="1"/>
    <col min="2269" max="2269" width="10" bestFit="1" customWidth="1"/>
    <col min="2270" max="2270" width="9.5546875" bestFit="1" customWidth="1"/>
    <col min="2271" max="2271" width="7.5546875" bestFit="1" customWidth="1"/>
    <col min="2272" max="2272" width="16" bestFit="1" customWidth="1"/>
    <col min="2273" max="2273" width="11.44140625" bestFit="1" customWidth="1"/>
    <col min="2274" max="2274" width="20" bestFit="1" customWidth="1"/>
    <col min="2275" max="2275" width="10" bestFit="1" customWidth="1"/>
    <col min="2276" max="2276" width="9.5546875" bestFit="1" customWidth="1"/>
    <col min="2277" max="2277" width="6.6640625" bestFit="1" customWidth="1"/>
    <col min="2278" max="2278" width="10" bestFit="1" customWidth="1"/>
    <col min="2279" max="2279" width="9.5546875" bestFit="1" customWidth="1"/>
    <col min="2280" max="2280" width="29.88671875" bestFit="1" customWidth="1"/>
    <col min="2281" max="2281" width="19.109375" bestFit="1" customWidth="1"/>
    <col min="2282" max="2282" width="15.5546875" bestFit="1" customWidth="1"/>
    <col min="2283" max="2283" width="16.5546875" bestFit="1" customWidth="1"/>
    <col min="2284" max="2284" width="10" bestFit="1" customWidth="1"/>
    <col min="2285" max="2285" width="9.5546875" bestFit="1" customWidth="1"/>
    <col min="2286" max="2286" width="7.109375" bestFit="1" customWidth="1"/>
    <col min="2287" max="2287" width="6.6640625" bestFit="1" customWidth="1"/>
    <col min="2288" max="2288" width="10" bestFit="1" customWidth="1"/>
    <col min="2289" max="2289" width="9.5546875" bestFit="1" customWidth="1"/>
    <col min="2290" max="2290" width="29.88671875" bestFit="1" customWidth="1"/>
    <col min="2291" max="2291" width="19.109375" bestFit="1" customWidth="1"/>
    <col min="2292" max="2292" width="15.5546875" bestFit="1" customWidth="1"/>
    <col min="2293" max="2293" width="16.5546875" bestFit="1" customWidth="1"/>
    <col min="2294" max="2294" width="10" bestFit="1" customWidth="1"/>
    <col min="2295" max="2295" width="9.5546875" bestFit="1" customWidth="1"/>
    <col min="2296" max="2296" width="7.33203125" bestFit="1" customWidth="1"/>
    <col min="2297" max="2297" width="6.6640625" bestFit="1" customWidth="1"/>
    <col min="2298" max="2298" width="32.44140625" bestFit="1" customWidth="1"/>
    <col min="2299" max="2299" width="9.5546875" bestFit="1" customWidth="1"/>
    <col min="2300" max="2300" width="34.5546875" bestFit="1" customWidth="1"/>
    <col min="2301" max="2301" width="9.5546875" bestFit="1" customWidth="1"/>
    <col min="2302" max="2302" width="29.88671875" bestFit="1" customWidth="1"/>
    <col min="2303" max="2303" width="19.109375" bestFit="1" customWidth="1"/>
    <col min="2304" max="2304" width="15.5546875" bestFit="1" customWidth="1"/>
    <col min="2305" max="2305" width="16.5546875" bestFit="1" customWidth="1"/>
    <col min="2306" max="2306" width="10" bestFit="1" customWidth="1"/>
    <col min="2307" max="2307" width="9.5546875" bestFit="1" customWidth="1"/>
    <col min="2308" max="2308" width="7.33203125" bestFit="1" customWidth="1"/>
    <col min="2309" max="2309" width="7.44140625" bestFit="1" customWidth="1"/>
    <col min="2310" max="2310" width="33.44140625" bestFit="1" customWidth="1"/>
    <col min="2311" max="2311" width="34.5546875" bestFit="1" customWidth="1"/>
    <col min="2312" max="2312" width="9.5546875" bestFit="1" customWidth="1"/>
    <col min="2313" max="2313" width="29.88671875" bestFit="1" customWidth="1"/>
    <col min="2314" max="2314" width="19.109375" bestFit="1" customWidth="1"/>
    <col min="2315" max="2315" width="15.5546875" bestFit="1" customWidth="1"/>
    <col min="2316" max="2316" width="16.5546875" bestFit="1" customWidth="1"/>
    <col min="2317" max="2317" width="10" bestFit="1" customWidth="1"/>
    <col min="2318" max="2318" width="9.5546875" bestFit="1" customWidth="1"/>
    <col min="2319" max="2319" width="10" bestFit="1" customWidth="1"/>
    <col min="2320" max="2320" width="9.5546875" bestFit="1" customWidth="1"/>
    <col min="2321" max="2321" width="6.6640625" bestFit="1" customWidth="1"/>
    <col min="2322" max="2322" width="33.88671875" bestFit="1" customWidth="1"/>
    <col min="2323" max="2323" width="9.5546875" bestFit="1" customWidth="1"/>
    <col min="2324" max="2324" width="12.6640625" bestFit="1" customWidth="1"/>
    <col min="2325" max="2325" width="19.109375" bestFit="1" customWidth="1"/>
    <col min="2326" max="2326" width="15.5546875" bestFit="1" customWidth="1"/>
    <col min="2327" max="2327" width="16.5546875" bestFit="1" customWidth="1"/>
    <col min="2328" max="2328" width="10" bestFit="1" customWidth="1"/>
    <col min="2329" max="2329" width="9.5546875" bestFit="1" customWidth="1"/>
    <col min="2330" max="2330" width="7.109375" bestFit="1" customWidth="1"/>
    <col min="2331" max="2331" width="6.6640625" bestFit="1" customWidth="1"/>
    <col min="2332" max="2332" width="10" bestFit="1" customWidth="1"/>
    <col min="2333" max="2333" width="9.5546875" bestFit="1" customWidth="1"/>
    <col min="2334" max="2334" width="10.6640625" bestFit="1" customWidth="1"/>
    <col min="2335" max="2335" width="6.44140625" bestFit="1" customWidth="1"/>
    <col min="2336" max="2336" width="81.109375" bestFit="1" customWidth="1"/>
    <col min="2337" max="2337" width="7.5546875" bestFit="1" customWidth="1"/>
    <col min="2338" max="2338" width="16" bestFit="1" customWidth="1"/>
    <col min="2339" max="2339" width="33.88671875" bestFit="1" customWidth="1"/>
    <col min="2340" max="2340" width="21.88671875" bestFit="1" customWidth="1"/>
    <col min="2341" max="2341" width="7.109375" bestFit="1" customWidth="1"/>
    <col min="2342" max="2342" width="6.6640625" bestFit="1" customWidth="1"/>
    <col min="2343" max="2343" width="32" bestFit="1" customWidth="1"/>
    <col min="2344" max="2344" width="21.88671875" bestFit="1" customWidth="1"/>
    <col min="2345" max="2345" width="27.44140625" bestFit="1" customWidth="1"/>
    <col min="2346" max="2346" width="19.109375" bestFit="1" customWidth="1"/>
    <col min="2347" max="2347" width="15.5546875" bestFit="1" customWidth="1"/>
    <col min="2348" max="2348" width="16.5546875" bestFit="1" customWidth="1"/>
    <col min="2349" max="2349" width="22.88671875" bestFit="1" customWidth="1"/>
    <col min="2350" max="2350" width="9.5546875" bestFit="1" customWidth="1"/>
    <col min="2351" max="2351" width="7.33203125" bestFit="1" customWidth="1"/>
    <col min="2352" max="2352" width="6.6640625" bestFit="1" customWidth="1"/>
    <col min="2353" max="2353" width="32" bestFit="1" customWidth="1"/>
    <col min="2354" max="2354" width="21.88671875" bestFit="1" customWidth="1"/>
    <col min="2355" max="2355" width="33.44140625" bestFit="1" customWidth="1"/>
    <col min="2356" max="2356" width="19.109375" bestFit="1" customWidth="1"/>
    <col min="2357" max="2357" width="15.5546875" bestFit="1" customWidth="1"/>
    <col min="2358" max="2358" width="16.5546875" bestFit="1" customWidth="1"/>
    <col min="2359" max="2359" width="10" bestFit="1" customWidth="1"/>
    <col min="2360" max="2360" width="9.5546875" bestFit="1" customWidth="1"/>
    <col min="2361" max="2361" width="7.33203125" bestFit="1" customWidth="1"/>
    <col min="2362" max="2362" width="7.109375" bestFit="1" customWidth="1"/>
    <col min="2363" max="2363" width="33.44140625" bestFit="1" customWidth="1"/>
    <col min="2364" max="2364" width="9.5546875" bestFit="1" customWidth="1"/>
    <col min="2365" max="2365" width="34.5546875" bestFit="1" customWidth="1"/>
    <col min="2366" max="2366" width="29.88671875" bestFit="1" customWidth="1"/>
    <col min="2367" max="2367" width="19.109375" bestFit="1" customWidth="1"/>
    <col min="2368" max="2368" width="15.5546875" bestFit="1" customWidth="1"/>
    <col min="2369" max="2369" width="16.5546875" bestFit="1" customWidth="1"/>
    <col min="2370" max="2370" width="10" bestFit="1" customWidth="1"/>
    <col min="2371" max="2371" width="9.5546875" bestFit="1" customWidth="1"/>
    <col min="2372" max="2372" width="14.6640625" bestFit="1" customWidth="1"/>
    <col min="2373" max="2373" width="7.5546875" bestFit="1" customWidth="1"/>
    <col min="2374" max="2374" width="16" bestFit="1" customWidth="1"/>
    <col min="2375" max="2375" width="10" bestFit="1" customWidth="1"/>
    <col min="2376" max="2376" width="9.5546875" bestFit="1" customWidth="1"/>
    <col min="2377" max="2377" width="7.5546875" bestFit="1" customWidth="1"/>
    <col min="2378" max="2378" width="16" bestFit="1" customWidth="1"/>
    <col min="2379" max="2379" width="11.44140625" bestFit="1" customWidth="1"/>
    <col min="2380" max="2380" width="20" bestFit="1" customWidth="1"/>
    <col min="2381" max="2381" width="10" bestFit="1" customWidth="1"/>
    <col min="2382" max="2382" width="9.5546875" bestFit="1" customWidth="1"/>
    <col min="2383" max="2383" width="29.88671875" bestFit="1" customWidth="1"/>
    <col min="2384" max="2384" width="19.109375" bestFit="1" customWidth="1"/>
    <col min="2385" max="2385" width="15.5546875" bestFit="1" customWidth="1"/>
    <col min="2386" max="2386" width="16.5546875" bestFit="1" customWidth="1"/>
    <col min="2387" max="2387" width="10" bestFit="1" customWidth="1"/>
    <col min="2388" max="2388" width="9.5546875" bestFit="1" customWidth="1"/>
    <col min="2389" max="2389" width="7.33203125" bestFit="1" customWidth="1"/>
    <col min="2390" max="2390" width="7.109375" bestFit="1" customWidth="1"/>
    <col min="2391" max="2391" width="33.44140625" bestFit="1" customWidth="1"/>
    <col min="2392" max="2392" width="9.5546875" bestFit="1" customWidth="1"/>
    <col min="2393" max="2393" width="29.88671875" bestFit="1" customWidth="1"/>
    <col min="2394" max="2394" width="19.109375" bestFit="1" customWidth="1"/>
    <col min="2395" max="2395" width="15.5546875" bestFit="1" customWidth="1"/>
    <col min="2396" max="2396" width="16.5546875" bestFit="1" customWidth="1"/>
    <col min="2397" max="2397" width="10" bestFit="1" customWidth="1"/>
    <col min="2398" max="2398" width="9.5546875" bestFit="1" customWidth="1"/>
    <col min="2399" max="2399" width="10" bestFit="1" customWidth="1"/>
    <col min="2400" max="2400" width="9.5546875" bestFit="1" customWidth="1"/>
    <col min="2401" max="2401" width="34.5546875" bestFit="1" customWidth="1"/>
    <col min="2402" max="2402" width="22.88671875" bestFit="1" customWidth="1"/>
    <col min="2403" max="2403" width="9.5546875" bestFit="1" customWidth="1"/>
    <col min="2404" max="2404" width="6.6640625" bestFit="1" customWidth="1"/>
    <col min="2405" max="2405" width="10" bestFit="1" customWidth="1"/>
    <col min="2406" max="2407" width="9.5546875" bestFit="1" customWidth="1"/>
    <col min="2408" max="2408" width="34.5546875" bestFit="1" customWidth="1"/>
    <col min="2409" max="2409" width="19.109375" bestFit="1" customWidth="1"/>
    <col min="2410" max="2410" width="15.5546875" bestFit="1" customWidth="1"/>
    <col min="2411" max="2411" width="16.5546875" bestFit="1" customWidth="1"/>
    <col min="2412" max="2412" width="10" bestFit="1" customWidth="1"/>
    <col min="2413" max="2413" width="9.5546875" bestFit="1" customWidth="1"/>
    <col min="2414" max="2414" width="7.33203125" bestFit="1" customWidth="1"/>
    <col min="2415" max="2415" width="7.109375" bestFit="1" customWidth="1"/>
    <col min="2416" max="2416" width="33.44140625" bestFit="1" customWidth="1"/>
    <col min="2417" max="2417" width="9.5546875" bestFit="1" customWidth="1"/>
    <col min="2418" max="2418" width="33.44140625" bestFit="1" customWidth="1"/>
    <col min="2419" max="2419" width="19.109375" bestFit="1" customWidth="1"/>
    <col min="2420" max="2420" width="15.5546875" bestFit="1" customWidth="1"/>
    <col min="2421" max="2421" width="16.5546875" bestFit="1" customWidth="1"/>
    <col min="2422" max="2422" width="31.6640625" bestFit="1" customWidth="1"/>
    <col min="2423" max="2424" width="9.5546875" bestFit="1" customWidth="1"/>
    <col min="2425" max="2425" width="6.6640625" bestFit="1" customWidth="1"/>
    <col min="2426" max="2426" width="10" bestFit="1" customWidth="1"/>
    <col min="2427" max="2427" width="9.5546875" bestFit="1" customWidth="1"/>
    <col min="2428" max="2428" width="34.5546875" bestFit="1" customWidth="1"/>
    <col min="2429" max="2429" width="19.109375" bestFit="1" customWidth="1"/>
    <col min="2430" max="2430" width="15.5546875" bestFit="1" customWidth="1"/>
    <col min="2431" max="2431" width="16.5546875" bestFit="1" customWidth="1"/>
    <col min="2432" max="2432" width="10" bestFit="1" customWidth="1"/>
    <col min="2433" max="2433" width="9.5546875" bestFit="1" customWidth="1"/>
    <col min="2434" max="2434" width="10" bestFit="1" customWidth="1"/>
    <col min="2435" max="2435" width="9.5546875" bestFit="1" customWidth="1"/>
    <col min="2436" max="2436" width="6.6640625" bestFit="1" customWidth="1"/>
    <col min="2437" max="2437" width="22.88671875" bestFit="1" customWidth="1"/>
    <col min="2438" max="2440" width="9.5546875" bestFit="1" customWidth="1"/>
    <col min="2441" max="2441" width="24.88671875" bestFit="1" customWidth="1"/>
    <col min="2442" max="2442" width="19.109375" bestFit="1" customWidth="1"/>
    <col min="2443" max="2443" width="15.5546875" bestFit="1" customWidth="1"/>
    <col min="2444" max="2444" width="16.5546875" bestFit="1" customWidth="1"/>
    <col min="2445" max="2445" width="27.44140625" bestFit="1" customWidth="1"/>
    <col min="2446" max="2446" width="9.5546875" bestFit="1" customWidth="1"/>
    <col min="2447" max="2447" width="7.33203125" bestFit="1" customWidth="1"/>
    <col min="2448" max="2448" width="6.6640625" bestFit="1" customWidth="1"/>
    <col min="2449" max="2449" width="34.44140625" bestFit="1" customWidth="1"/>
    <col min="2450" max="2451" width="9.5546875" bestFit="1" customWidth="1"/>
    <col min="2452" max="2452" width="27.44140625" bestFit="1" customWidth="1"/>
    <col min="2453" max="2453" width="19.109375" bestFit="1" customWidth="1"/>
    <col min="2454" max="2454" width="15.5546875" bestFit="1" customWidth="1"/>
    <col min="2455" max="2455" width="16.5546875" bestFit="1" customWidth="1"/>
    <col min="2456" max="2456" width="27.44140625" bestFit="1" customWidth="1"/>
    <col min="2457" max="2457" width="9.5546875" bestFit="1" customWidth="1"/>
    <col min="2458" max="2458" width="10" bestFit="1" customWidth="1"/>
    <col min="2459" max="2459" width="9.5546875" bestFit="1" customWidth="1"/>
    <col min="2460" max="2460" width="7.109375" bestFit="1" customWidth="1"/>
    <col min="2461" max="2461" width="6.6640625" bestFit="1" customWidth="1"/>
    <col min="2462" max="2462" width="10" bestFit="1" customWidth="1"/>
    <col min="2463" max="2463" width="9.5546875" bestFit="1" customWidth="1"/>
    <col min="2464" max="2464" width="10.6640625" bestFit="1" customWidth="1"/>
    <col min="2465" max="2465" width="6.44140625" bestFit="1" customWidth="1"/>
    <col min="2466" max="2466" width="47" bestFit="1" customWidth="1"/>
    <col min="2467" max="2467" width="7.5546875" bestFit="1" customWidth="1"/>
    <col min="2468" max="2468" width="16" bestFit="1" customWidth="1"/>
    <col min="2469" max="2469" width="10" bestFit="1" customWidth="1"/>
    <col min="2470" max="2470" width="9.5546875" bestFit="1" customWidth="1"/>
    <col min="2471" max="2471" width="6.6640625" bestFit="1" customWidth="1"/>
    <col min="2472" max="2472" width="10" bestFit="1" customWidth="1"/>
    <col min="2473" max="2474" width="9.5546875" bestFit="1" customWidth="1"/>
    <col min="2475" max="2475" width="34.5546875" bestFit="1" customWidth="1"/>
    <col min="2476" max="2476" width="19.109375" bestFit="1" customWidth="1"/>
    <col min="2477" max="2477" width="15.5546875" bestFit="1" customWidth="1"/>
    <col min="2478" max="2478" width="16.5546875" bestFit="1" customWidth="1"/>
    <col min="2479" max="2479" width="10" bestFit="1" customWidth="1"/>
    <col min="2480" max="2480" width="9.5546875" bestFit="1" customWidth="1"/>
    <col min="2481" max="2481" width="7.33203125" bestFit="1" customWidth="1"/>
    <col min="2482" max="2482" width="6.6640625" bestFit="1" customWidth="1"/>
    <col min="2483" max="2483" width="33.88671875" bestFit="1" customWidth="1"/>
    <col min="2484" max="2484" width="21.88671875" bestFit="1" customWidth="1"/>
    <col min="2485" max="2485" width="32.33203125" bestFit="1" customWidth="1"/>
    <col min="2486" max="2486" width="19.109375" bestFit="1" customWidth="1"/>
    <col min="2487" max="2487" width="15.5546875" bestFit="1" customWidth="1"/>
    <col min="2488" max="2488" width="16.5546875" bestFit="1" customWidth="1"/>
    <col min="2489" max="2489" width="31.6640625" bestFit="1" customWidth="1"/>
    <col min="2490" max="2491" width="9.5546875" bestFit="1" customWidth="1"/>
    <col min="2492" max="2492" width="6.6640625" bestFit="1" customWidth="1"/>
    <col min="2493" max="2493" width="32" bestFit="1" customWidth="1"/>
    <col min="2494" max="2494" width="9.5546875" bestFit="1" customWidth="1"/>
    <col min="2495" max="2495" width="21.88671875" bestFit="1" customWidth="1"/>
    <col min="2496" max="2496" width="19.109375" bestFit="1" customWidth="1"/>
    <col min="2497" max="2497" width="15.5546875" bestFit="1" customWidth="1"/>
    <col min="2498" max="2498" width="16.5546875" bestFit="1" customWidth="1"/>
    <col min="2499" max="2499" width="32" bestFit="1" customWidth="1"/>
    <col min="2500" max="2500" width="9.5546875" bestFit="1" customWidth="1"/>
    <col min="2501" max="2501" width="7.33203125" bestFit="1" customWidth="1"/>
    <col min="2502" max="2502" width="7.109375" bestFit="1" customWidth="1"/>
    <col min="2503" max="2503" width="34.44140625" bestFit="1" customWidth="1"/>
    <col min="2504" max="2504" width="9.5546875" bestFit="1" customWidth="1"/>
    <col min="2505" max="2505" width="27.44140625" bestFit="1" customWidth="1"/>
    <col min="2506" max="2506" width="19.109375" bestFit="1" customWidth="1"/>
    <col min="2507" max="2507" width="15.5546875" bestFit="1" customWidth="1"/>
    <col min="2508" max="2508" width="16.5546875" bestFit="1" customWidth="1"/>
    <col min="2509" max="2509" width="22.88671875" bestFit="1" customWidth="1"/>
    <col min="2510" max="2510" width="9.5546875" bestFit="1" customWidth="1"/>
    <col min="2511" max="2511" width="7.33203125" bestFit="1" customWidth="1"/>
    <col min="2512" max="2512" width="7.109375" bestFit="1" customWidth="1"/>
    <col min="2513" max="2513" width="34.44140625" bestFit="1" customWidth="1"/>
    <col min="2514" max="2514" width="9.5546875" bestFit="1" customWidth="1"/>
    <col min="2515" max="2515" width="27.44140625" bestFit="1" customWidth="1"/>
    <col min="2516" max="2516" width="19.109375" bestFit="1" customWidth="1"/>
    <col min="2517" max="2517" width="15.5546875" bestFit="1" customWidth="1"/>
    <col min="2518" max="2518" width="16.5546875" bestFit="1" customWidth="1"/>
    <col min="2519" max="2519" width="22.88671875" bestFit="1" customWidth="1"/>
    <col min="2520" max="2520" width="9.5546875" bestFit="1" customWidth="1"/>
    <col min="2521" max="2521" width="10" bestFit="1" customWidth="1"/>
    <col min="2522" max="2522" width="9.5546875" bestFit="1" customWidth="1"/>
    <col min="2523" max="2523" width="6.6640625" bestFit="1" customWidth="1"/>
    <col min="2524" max="2524" width="35.6640625" bestFit="1" customWidth="1"/>
    <col min="2525" max="2527" width="9.5546875" bestFit="1" customWidth="1"/>
    <col min="2528" max="2528" width="24.88671875" bestFit="1" customWidth="1"/>
    <col min="2529" max="2529" width="19.109375" bestFit="1" customWidth="1"/>
    <col min="2530" max="2530" width="15.5546875" bestFit="1" customWidth="1"/>
    <col min="2531" max="2531" width="16.5546875" bestFit="1" customWidth="1"/>
    <col min="2532" max="2532" width="27.44140625" bestFit="1" customWidth="1"/>
    <col min="2533" max="2533" width="9.5546875" bestFit="1" customWidth="1"/>
    <col min="2534" max="2534" width="7.33203125" bestFit="1" customWidth="1"/>
    <col min="2535" max="2535" width="7" bestFit="1" customWidth="1"/>
    <col min="2536" max="2536" width="35.6640625" bestFit="1" customWidth="1"/>
    <col min="2537" max="2537" width="34.5546875" bestFit="1" customWidth="1"/>
    <col min="2538" max="2538" width="9.5546875" bestFit="1" customWidth="1"/>
    <col min="2539" max="2539" width="12.6640625" bestFit="1" customWidth="1"/>
    <col min="2540" max="2540" width="19.109375" bestFit="1" customWidth="1"/>
    <col min="2541" max="2541" width="15.5546875" bestFit="1" customWidth="1"/>
    <col min="2542" max="2542" width="16.5546875" bestFit="1" customWidth="1"/>
    <col min="2543" max="2543" width="10" bestFit="1" customWidth="1"/>
    <col min="2544" max="2544" width="9.5546875" bestFit="1" customWidth="1"/>
    <col min="2545" max="2545" width="7.109375" bestFit="1" customWidth="1"/>
    <col min="2546" max="2546" width="6.6640625" bestFit="1" customWidth="1"/>
    <col min="2547" max="2547" width="32" bestFit="1" customWidth="1"/>
    <col min="2548" max="2548" width="9.5546875" bestFit="1" customWidth="1"/>
    <col min="2549" max="2549" width="34.5546875" bestFit="1" customWidth="1"/>
    <col min="2550" max="2550" width="19.109375" bestFit="1" customWidth="1"/>
    <col min="2551" max="2551" width="15.5546875" bestFit="1" customWidth="1"/>
    <col min="2552" max="2552" width="16.5546875" bestFit="1" customWidth="1"/>
    <col min="2553" max="2553" width="10" bestFit="1" customWidth="1"/>
    <col min="2554" max="2554" width="9.5546875" bestFit="1" customWidth="1"/>
    <col min="2555" max="2555" width="7.33203125" bestFit="1" customWidth="1"/>
    <col min="2556" max="2556" width="6.6640625" bestFit="1" customWidth="1"/>
    <col min="2557" max="2557" width="34.44140625" bestFit="1" customWidth="1"/>
    <col min="2558" max="2558" width="9.5546875" bestFit="1" customWidth="1"/>
    <col min="2559" max="2559" width="35.33203125" bestFit="1" customWidth="1"/>
    <col min="2560" max="2560" width="19.109375" bestFit="1" customWidth="1"/>
    <col min="2561" max="2561" width="15.5546875" bestFit="1" customWidth="1"/>
    <col min="2562" max="2562" width="16.5546875" bestFit="1" customWidth="1"/>
    <col min="2563" max="2563" width="10" bestFit="1" customWidth="1"/>
    <col min="2564" max="2564" width="9.5546875" bestFit="1" customWidth="1"/>
    <col min="2565" max="2565" width="7.33203125" bestFit="1" customWidth="1"/>
    <col min="2566" max="2566" width="6.6640625" bestFit="1" customWidth="1"/>
    <col min="2567" max="2567" width="34.44140625" bestFit="1" customWidth="1"/>
    <col min="2568" max="2568" width="9.5546875" bestFit="1" customWidth="1"/>
    <col min="2569" max="2569" width="37.44140625" bestFit="1" customWidth="1"/>
    <col min="2570" max="2570" width="19.109375" bestFit="1" customWidth="1"/>
    <col min="2571" max="2571" width="15.5546875" bestFit="1" customWidth="1"/>
    <col min="2572" max="2572" width="16.5546875" bestFit="1" customWidth="1"/>
    <col min="2573" max="2573" width="32" bestFit="1" customWidth="1"/>
    <col min="2574" max="2574" width="9.5546875" bestFit="1" customWidth="1"/>
    <col min="2575" max="2575" width="7.33203125" bestFit="1" customWidth="1"/>
    <col min="2576" max="2576" width="6.6640625" bestFit="1" customWidth="1"/>
    <col min="2577" max="2577" width="34.44140625" bestFit="1" customWidth="1"/>
    <col min="2578" max="2578" width="9.5546875" bestFit="1" customWidth="1"/>
    <col min="2579" max="2579" width="10.6640625" bestFit="1" customWidth="1"/>
    <col min="2580" max="2580" width="6.44140625" bestFit="1" customWidth="1"/>
    <col min="2581" max="2581" width="47" bestFit="1" customWidth="1"/>
    <col min="2582" max="2582" width="7.5546875" bestFit="1" customWidth="1"/>
    <col min="2583" max="2583" width="16" bestFit="1" customWidth="1"/>
    <col min="2584" max="2584" width="33.88671875" bestFit="1" customWidth="1"/>
    <col min="2585" max="2585" width="21.88671875" bestFit="1" customWidth="1"/>
    <col min="2586" max="2586" width="7.33203125" bestFit="1" customWidth="1"/>
    <col min="2587" max="2587" width="7.109375" bestFit="1" customWidth="1"/>
    <col min="2588" max="2588" width="33.88671875" bestFit="1" customWidth="1"/>
    <col min="2589" max="2589" width="21.88671875" bestFit="1" customWidth="1"/>
    <col min="2590" max="2590" width="24.88671875" bestFit="1" customWidth="1"/>
    <col min="2591" max="2591" width="19.109375" bestFit="1" customWidth="1"/>
    <col min="2592" max="2592" width="15.5546875" bestFit="1" customWidth="1"/>
    <col min="2593" max="2593" width="16.5546875" bestFit="1" customWidth="1"/>
    <col min="2594" max="2594" width="28" bestFit="1" customWidth="1"/>
    <col min="2595" max="2595" width="9.5546875" bestFit="1" customWidth="1"/>
    <col min="2596" max="2596" width="7.109375" bestFit="1" customWidth="1"/>
    <col min="2597" max="2597" width="6.6640625" bestFit="1" customWidth="1"/>
    <col min="2598" max="2598" width="32" bestFit="1" customWidth="1"/>
    <col min="2599" max="2599" width="9.5546875" bestFit="1" customWidth="1"/>
    <col min="2600" max="2600" width="34.5546875" bestFit="1" customWidth="1"/>
    <col min="2601" max="2601" width="19.109375" bestFit="1" customWidth="1"/>
    <col min="2602" max="2602" width="15.5546875" bestFit="1" customWidth="1"/>
    <col min="2603" max="2603" width="16.5546875" bestFit="1" customWidth="1"/>
    <col min="2604" max="2604" width="32" bestFit="1" customWidth="1"/>
    <col min="2605" max="2606" width="9.5546875" bestFit="1" customWidth="1"/>
    <col min="2607" max="2607" width="15.5546875" bestFit="1" customWidth="1"/>
    <col min="2608" max="2608" width="16.5546875" bestFit="1" customWidth="1"/>
    <col min="2609" max="2609" width="32" bestFit="1" customWidth="1"/>
    <col min="2610" max="2610" width="9.5546875" bestFit="1" customWidth="1"/>
    <col min="2611" max="2611" width="7.109375" bestFit="1" customWidth="1"/>
    <col min="2612" max="2612" width="6.6640625" bestFit="1" customWidth="1"/>
    <col min="2613" max="2613" width="32" bestFit="1" customWidth="1"/>
    <col min="2614" max="2614" width="9.5546875" bestFit="1" customWidth="1"/>
    <col min="2615" max="2615" width="10.6640625" bestFit="1" customWidth="1"/>
    <col min="2616" max="2616" width="6.44140625" bestFit="1" customWidth="1"/>
    <col min="2617" max="2617" width="14.6640625" bestFit="1" customWidth="1"/>
    <col min="2618" max="2618" width="7.5546875" bestFit="1" customWidth="1"/>
    <col min="2619" max="2619" width="16" bestFit="1" customWidth="1"/>
    <col min="2620" max="2620" width="10" bestFit="1" customWidth="1"/>
    <col min="2621" max="2621" width="9.5546875" bestFit="1" customWidth="1"/>
    <col min="2622" max="2622" width="15.5546875" bestFit="1" customWidth="1"/>
    <col min="2623" max="2623" width="16.5546875" bestFit="1" customWidth="1"/>
    <col min="2624" max="2624" width="10" bestFit="1" customWidth="1"/>
    <col min="2625" max="2625" width="9.5546875" bestFit="1" customWidth="1"/>
    <col min="2626" max="2626" width="7.109375" bestFit="1" customWidth="1"/>
    <col min="2627" max="2627" width="6.6640625" bestFit="1" customWidth="1"/>
    <col min="2628" max="2628" width="32" bestFit="1" customWidth="1"/>
    <col min="2629" max="2629" width="9.5546875" bestFit="1" customWidth="1"/>
    <col min="2630" max="2630" width="10" bestFit="1" customWidth="1"/>
    <col min="2631" max="2631" width="9.5546875" bestFit="1" customWidth="1"/>
    <col min="2632" max="2632" width="15.5546875" bestFit="1" customWidth="1"/>
    <col min="2633" max="2633" width="16.5546875" bestFit="1" customWidth="1"/>
    <col min="2634" max="2634" width="10" bestFit="1" customWidth="1"/>
    <col min="2635" max="2635" width="9.5546875" bestFit="1" customWidth="1"/>
    <col min="2636" max="2636" width="7.33203125" bestFit="1" customWidth="1"/>
    <col min="2637" max="2637" width="7.109375" bestFit="1" customWidth="1"/>
    <col min="2638" max="2638" width="33.88671875" bestFit="1" customWidth="1"/>
    <col min="2639" max="2639" width="21.88671875" bestFit="1" customWidth="1"/>
    <col min="2640" max="2640" width="32.33203125" bestFit="1" customWidth="1"/>
    <col min="2641" max="2641" width="19.109375" bestFit="1" customWidth="1"/>
    <col min="2642" max="2642" width="15.5546875" bestFit="1" customWidth="1"/>
    <col min="2643" max="2643" width="16.5546875" bestFit="1" customWidth="1"/>
    <col min="2644" max="2644" width="31.6640625" bestFit="1" customWidth="1"/>
    <col min="2645" max="2645" width="9.5546875" bestFit="1" customWidth="1"/>
    <col min="2646" max="2646" width="7.33203125" bestFit="1" customWidth="1"/>
    <col min="2647" max="2647" width="6.6640625" bestFit="1" customWidth="1"/>
    <col min="2648" max="2648" width="31.6640625" bestFit="1" customWidth="1"/>
    <col min="2649" max="2649" width="9.5546875" bestFit="1" customWidth="1"/>
    <col min="2650" max="2650" width="33.44140625" bestFit="1" customWidth="1"/>
    <col min="2651" max="2651" width="19.109375" bestFit="1" customWidth="1"/>
    <col min="2652" max="2652" width="15.5546875" bestFit="1" customWidth="1"/>
    <col min="2653" max="2653" width="16.5546875" bestFit="1" customWidth="1"/>
    <col min="2654" max="2654" width="31.6640625" bestFit="1" customWidth="1"/>
    <col min="2655" max="2655" width="9.5546875" bestFit="1" customWidth="1"/>
    <col min="2656" max="2656" width="7.33203125" bestFit="1" customWidth="1"/>
    <col min="2657" max="2657" width="7.109375" bestFit="1" customWidth="1"/>
    <col min="2658" max="2658" width="33.88671875" bestFit="1" customWidth="1"/>
    <col min="2659" max="2659" width="21.88671875" bestFit="1" customWidth="1"/>
    <col min="2660" max="2660" width="12.6640625" bestFit="1" customWidth="1"/>
    <col min="2661" max="2661" width="19.109375" bestFit="1" customWidth="1"/>
    <col min="2662" max="2662" width="15.5546875" bestFit="1" customWidth="1"/>
    <col min="2663" max="2663" width="16.5546875" bestFit="1" customWidth="1"/>
    <col min="2664" max="2664" width="10" bestFit="1" customWidth="1"/>
    <col min="2665" max="2665" width="9.5546875" bestFit="1" customWidth="1"/>
    <col min="2666" max="2666" width="7.44140625" bestFit="1" customWidth="1"/>
    <col min="2667" max="2667" width="6.6640625" bestFit="1" customWidth="1"/>
    <col min="2668" max="2668" width="32" bestFit="1" customWidth="1"/>
    <col min="2669" max="2669" width="9.5546875" bestFit="1" customWidth="1"/>
    <col min="2670" max="2670" width="10.6640625" bestFit="1" customWidth="1"/>
    <col min="2671" max="2671" width="6.44140625" bestFit="1" customWidth="1"/>
    <col min="2672" max="2672" width="14.6640625" bestFit="1" customWidth="1"/>
    <col min="2673" max="2673" width="7.5546875" bestFit="1" customWidth="1"/>
    <col min="2674" max="2674" width="16" bestFit="1" customWidth="1"/>
    <col min="2675" max="2675" width="10" bestFit="1" customWidth="1"/>
    <col min="2676" max="2676" width="9.5546875" bestFit="1" customWidth="1"/>
    <col min="2677" max="2677" width="7.33203125" bestFit="1" customWidth="1"/>
    <col min="2678" max="2678" width="7" bestFit="1" customWidth="1"/>
    <col min="2679" max="2679" width="35.6640625" bestFit="1" customWidth="1"/>
    <col min="2680" max="2680" width="9.5546875" bestFit="1" customWidth="1"/>
    <col min="2681" max="2681" width="10" bestFit="1" customWidth="1"/>
    <col min="2682" max="2682" width="9.5546875" bestFit="1" customWidth="1"/>
    <col min="2683" max="2683" width="10" bestFit="1" customWidth="1"/>
    <col min="2684" max="2684" width="9.5546875" bestFit="1" customWidth="1"/>
    <col min="2685" max="2685" width="12.6640625" bestFit="1" customWidth="1"/>
    <col min="2686" max="2686" width="10" bestFit="1" customWidth="1"/>
    <col min="2687" max="2687" width="9.5546875" bestFit="1" customWidth="1"/>
    <col min="2688" max="2688" width="6.6640625" bestFit="1" customWidth="1"/>
    <col min="2689" max="2689" width="10" bestFit="1" customWidth="1"/>
    <col min="2690" max="2691" width="9.5546875" bestFit="1" customWidth="1"/>
    <col min="2692" max="2692" width="29.88671875" bestFit="1" customWidth="1"/>
    <col min="2693" max="2693" width="19.109375" bestFit="1" customWidth="1"/>
    <col min="2694" max="2694" width="15.5546875" bestFit="1" customWidth="1"/>
    <col min="2695" max="2695" width="16.5546875" bestFit="1" customWidth="1"/>
    <col min="2696" max="2696" width="29.6640625" bestFit="1" customWidth="1"/>
    <col min="2697" max="2697" width="9.5546875" bestFit="1" customWidth="1"/>
    <col min="2698" max="2698" width="7.109375" bestFit="1" customWidth="1"/>
    <col min="2699" max="2699" width="6.6640625" bestFit="1" customWidth="1"/>
    <col min="2700" max="2700" width="10" bestFit="1" customWidth="1"/>
    <col min="2701" max="2701" width="9.5546875" bestFit="1" customWidth="1"/>
    <col min="2702" max="2702" width="33.44140625" bestFit="1" customWidth="1"/>
    <col min="2703" max="2703" width="9.5546875" bestFit="1" customWidth="1"/>
    <col min="2704" max="2704" width="6.6640625" bestFit="1" customWidth="1"/>
    <col min="2705" max="2705" width="22.88671875" bestFit="1" customWidth="1"/>
    <col min="2706" max="2706" width="9.5546875" bestFit="1" customWidth="1"/>
    <col min="2707" max="2707" width="27.44140625" bestFit="1" customWidth="1"/>
    <col min="2708" max="2708" width="19.109375" bestFit="1" customWidth="1"/>
    <col min="2709" max="2709" width="15.5546875" bestFit="1" customWidth="1"/>
    <col min="2710" max="2710" width="16.5546875" bestFit="1" customWidth="1"/>
    <col min="2711" max="2711" width="22.88671875" bestFit="1" customWidth="1"/>
    <col min="2712" max="2712" width="9.5546875" bestFit="1" customWidth="1"/>
    <col min="2713" max="2713" width="7.109375" bestFit="1" customWidth="1"/>
    <col min="2714" max="2714" width="6.6640625" bestFit="1" customWidth="1"/>
    <col min="2715" max="2715" width="22.88671875" bestFit="1" customWidth="1"/>
    <col min="2716" max="2716" width="9.5546875" bestFit="1" customWidth="1"/>
    <col min="2717" max="2717" width="27.44140625" bestFit="1" customWidth="1"/>
    <col min="2718" max="2718" width="19.109375" bestFit="1" customWidth="1"/>
    <col min="2719" max="2719" width="15.5546875" bestFit="1" customWidth="1"/>
    <col min="2720" max="2720" width="16.5546875" bestFit="1" customWidth="1"/>
    <col min="2721" max="2721" width="22.88671875" bestFit="1" customWidth="1"/>
    <col min="2722" max="2722" width="9.5546875" bestFit="1" customWidth="1"/>
    <col min="2723" max="2723" width="7.33203125" bestFit="1" customWidth="1"/>
    <col min="2724" max="2724" width="6.6640625" bestFit="1" customWidth="1"/>
    <col min="2725" max="2725" width="29.6640625" bestFit="1" customWidth="1"/>
    <col min="2726" max="2726" width="9.5546875" bestFit="1" customWidth="1"/>
    <col min="2727" max="2727" width="22.88671875" bestFit="1" customWidth="1"/>
    <col min="2728" max="2728" width="9.5546875" bestFit="1" customWidth="1"/>
    <col min="2729" max="2729" width="29.6640625" bestFit="1" customWidth="1"/>
    <col min="2730" max="2730" width="34.5546875" bestFit="1" customWidth="1"/>
    <col min="2731" max="2731" width="6.6640625" bestFit="1" customWidth="1"/>
    <col min="2732" max="2732" width="29.6640625" bestFit="1" customWidth="1"/>
    <col min="2733" max="2733" width="9.5546875" bestFit="1" customWidth="1"/>
    <col min="2734" max="2734" width="6.44140625" bestFit="1" customWidth="1"/>
    <col min="2735" max="2735" width="14.6640625" bestFit="1" customWidth="1"/>
    <col min="2736" max="2736" width="7.5546875" bestFit="1" customWidth="1"/>
    <col min="2737" max="2737" width="16" bestFit="1" customWidth="1"/>
    <col min="2738" max="2738" width="10" bestFit="1" customWidth="1"/>
    <col min="2739" max="2739" width="9.5546875" bestFit="1" customWidth="1"/>
    <col min="2740" max="2740" width="7.5546875" bestFit="1" customWidth="1"/>
    <col min="2741" max="2741" width="16" bestFit="1" customWidth="1"/>
    <col min="2742" max="2742" width="11.44140625" bestFit="1" customWidth="1"/>
    <col min="2743" max="2743" width="20" bestFit="1" customWidth="1"/>
    <col min="2744" max="2744" width="10" bestFit="1" customWidth="1"/>
    <col min="2745" max="2745" width="9.5546875" bestFit="1" customWidth="1"/>
    <col min="2746" max="2746" width="27.44140625" bestFit="1" customWidth="1"/>
    <col min="2747" max="2747" width="22.88671875" bestFit="1" customWidth="1"/>
    <col min="2748" max="2748" width="9.5546875" bestFit="1" customWidth="1"/>
    <col min="2749" max="2749" width="6.6640625" bestFit="1" customWidth="1"/>
    <col min="2750" max="2750" width="10" bestFit="1" customWidth="1"/>
    <col min="2751" max="2751" width="9.5546875" bestFit="1" customWidth="1"/>
    <col min="2752" max="2752" width="29.88671875" bestFit="1" customWidth="1"/>
    <col min="2753" max="2753" width="19.109375" bestFit="1" customWidth="1"/>
    <col min="2754" max="2754" width="15.5546875" bestFit="1" customWidth="1"/>
    <col min="2755" max="2755" width="16.5546875" bestFit="1" customWidth="1"/>
    <col min="2756" max="2756" width="29.6640625" bestFit="1" customWidth="1"/>
    <col min="2757" max="2757" width="9.5546875" bestFit="1" customWidth="1"/>
    <col min="2758" max="2758" width="14.6640625" bestFit="1" customWidth="1"/>
    <col min="2759" max="2759" width="7.5546875" bestFit="1" customWidth="1"/>
    <col min="2760" max="2760" width="16" bestFit="1" customWidth="1"/>
    <col min="2761" max="2761" width="10" bestFit="1" customWidth="1"/>
    <col min="2762" max="2762" width="9.5546875" bestFit="1" customWidth="1"/>
    <col min="2763" max="2764" width="7.109375" bestFit="1" customWidth="1"/>
    <col min="2765" max="2765" width="27.44140625" bestFit="1" customWidth="1"/>
    <col min="2766" max="2768" width="9.5546875" bestFit="1" customWidth="1"/>
    <col min="2769" max="2769" width="10.6640625" bestFit="1" customWidth="1"/>
    <col min="2770" max="2770" width="6.44140625" bestFit="1" customWidth="1"/>
    <col min="2771" max="2771" width="63.88671875" bestFit="1" customWidth="1"/>
    <col min="2772" max="2772" width="7.5546875" bestFit="1" customWidth="1"/>
    <col min="2773" max="2773" width="16" bestFit="1" customWidth="1"/>
    <col min="2774" max="2774" width="10" bestFit="1" customWidth="1"/>
    <col min="2775" max="2775" width="9.5546875" bestFit="1" customWidth="1"/>
    <col min="2776" max="2776" width="7.109375" bestFit="1" customWidth="1"/>
    <col min="2777" max="2777" width="10" bestFit="1" customWidth="1"/>
    <col min="2778" max="2779" width="9.5546875" bestFit="1" customWidth="1"/>
    <col min="2780" max="2780" width="12.6640625" bestFit="1" customWidth="1"/>
    <col min="2781" max="2781" width="19.109375" bestFit="1" customWidth="1"/>
    <col min="2782" max="2782" width="15.5546875" bestFit="1" customWidth="1"/>
    <col min="2783" max="2783" width="16.5546875" bestFit="1" customWidth="1"/>
    <col min="2784" max="2784" width="10" bestFit="1" customWidth="1"/>
    <col min="2785" max="2785" width="9.5546875" bestFit="1" customWidth="1"/>
    <col min="2786" max="2786" width="7.33203125" bestFit="1" customWidth="1"/>
    <col min="2787" max="2787" width="7.44140625" bestFit="1" customWidth="1"/>
    <col min="2788" max="2788" width="33.44140625" bestFit="1" customWidth="1"/>
    <col min="2789" max="2789" width="34.5546875" bestFit="1" customWidth="1"/>
    <col min="2790" max="2790" width="9.5546875" bestFit="1" customWidth="1"/>
    <col min="2791" max="2791" width="34.44140625" bestFit="1" customWidth="1"/>
    <col min="2792" max="2792" width="19.109375" bestFit="1" customWidth="1"/>
    <col min="2793" max="2793" width="15.5546875" bestFit="1" customWidth="1"/>
    <col min="2794" max="2794" width="16.5546875" bestFit="1" customWidth="1"/>
    <col min="2795" max="2795" width="29.6640625" bestFit="1" customWidth="1"/>
    <col min="2796" max="2796" width="9.5546875" bestFit="1" customWidth="1"/>
    <col min="2797" max="2798" width="7.109375" bestFit="1" customWidth="1"/>
    <col min="2799" max="2799" width="27.44140625" bestFit="1" customWidth="1"/>
    <col min="2800" max="2800" width="9.5546875" bestFit="1" customWidth="1"/>
    <col min="2801" max="2801" width="34.44140625" bestFit="1" customWidth="1"/>
    <col min="2802" max="2802" width="9.5546875" bestFit="1" customWidth="1"/>
    <col min="2803" max="2803" width="39" bestFit="1" customWidth="1"/>
    <col min="2804" max="2804" width="19.109375" bestFit="1" customWidth="1"/>
    <col min="2805" max="2805" width="15.5546875" bestFit="1" customWidth="1"/>
    <col min="2806" max="2806" width="16.5546875" bestFit="1" customWidth="1"/>
    <col min="2807" max="2807" width="33.44140625" bestFit="1" customWidth="1"/>
    <col min="2808" max="2808" width="26.109375" bestFit="1" customWidth="1"/>
    <col min="2809" max="2809" width="10" bestFit="1" customWidth="1"/>
    <col min="2810" max="2810" width="9.5546875" bestFit="1" customWidth="1"/>
    <col min="2811" max="2811" width="7.44140625" bestFit="1" customWidth="1"/>
    <col min="2812" max="2812" width="32.88671875" bestFit="1" customWidth="1"/>
    <col min="2813" max="2813" width="26.109375" bestFit="1" customWidth="1"/>
    <col min="2814" max="2814" width="6.44140625" bestFit="1" customWidth="1"/>
    <col min="2815" max="2815" width="63.88671875" bestFit="1" customWidth="1"/>
    <col min="2816" max="2816" width="7.5546875" bestFit="1" customWidth="1"/>
    <col min="2817" max="2817" width="16" bestFit="1" customWidth="1"/>
    <col min="2818" max="2818" width="31.6640625" bestFit="1" customWidth="1"/>
    <col min="2819" max="2819" width="9.5546875" bestFit="1" customWidth="1"/>
    <col min="2820" max="2820" width="7.44140625" bestFit="1" customWidth="1"/>
    <col min="2821" max="2821" width="32.88671875" bestFit="1" customWidth="1"/>
    <col min="2822" max="2822" width="26.109375" bestFit="1" customWidth="1"/>
    <col min="2823" max="2823" width="21.88671875" bestFit="1" customWidth="1"/>
    <col min="2824" max="2824" width="33.44140625" bestFit="1" customWidth="1"/>
    <col min="2825" max="2825" width="19.109375" bestFit="1" customWidth="1"/>
    <col min="2826" max="2826" width="15.5546875" bestFit="1" customWidth="1"/>
    <col min="2827" max="2827" width="16.5546875" bestFit="1" customWidth="1"/>
    <col min="2828" max="2828" width="10" bestFit="1" customWidth="1"/>
    <col min="2829" max="2829" width="9.5546875" bestFit="1" customWidth="1"/>
    <col min="2830" max="2831" width="7.109375" bestFit="1" customWidth="1"/>
    <col min="2832" max="2832" width="32" bestFit="1" customWidth="1"/>
    <col min="2833" max="2833" width="21.88671875" bestFit="1" customWidth="1"/>
    <col min="2834" max="2834" width="33.44140625" bestFit="1" customWidth="1"/>
    <col min="2835" max="2835" width="19.109375" bestFit="1" customWidth="1"/>
    <col min="2836" max="2836" width="15.5546875" bestFit="1" customWidth="1"/>
    <col min="2837" max="2837" width="16.5546875" bestFit="1" customWidth="1"/>
    <col min="2838" max="2838" width="10" bestFit="1" customWidth="1"/>
    <col min="2839" max="2839" width="9.5546875" bestFit="1" customWidth="1"/>
    <col min="2840" max="2840" width="7.33203125" bestFit="1" customWidth="1"/>
    <col min="2841" max="2841" width="6.6640625" bestFit="1" customWidth="1"/>
    <col min="2842" max="2842" width="35.6640625" bestFit="1" customWidth="1"/>
    <col min="2843" max="2843" width="9.5546875" bestFit="1" customWidth="1"/>
    <col min="2844" max="2844" width="35.6640625" bestFit="1" customWidth="1"/>
    <col min="2845" max="2845" width="19.109375" bestFit="1" customWidth="1"/>
    <col min="2846" max="2846" width="15.5546875" bestFit="1" customWidth="1"/>
    <col min="2847" max="2847" width="16.5546875" bestFit="1" customWidth="1"/>
    <col min="2848" max="2848" width="22.88671875" bestFit="1" customWidth="1"/>
    <col min="2849" max="2849" width="9.5546875" bestFit="1" customWidth="1"/>
    <col min="2850" max="2850" width="7.33203125" bestFit="1" customWidth="1"/>
    <col min="2851" max="2851" width="7.109375" bestFit="1" customWidth="1"/>
    <col min="2852" max="2852" width="34.44140625" bestFit="1" customWidth="1"/>
    <col min="2853" max="2853" width="9.5546875" bestFit="1" customWidth="1"/>
    <col min="2854" max="2854" width="12.6640625" bestFit="1" customWidth="1"/>
    <col min="2855" max="2855" width="19.109375" bestFit="1" customWidth="1"/>
    <col min="2856" max="2856" width="15.5546875" bestFit="1" customWidth="1"/>
    <col min="2857" max="2857" width="16.5546875" bestFit="1" customWidth="1"/>
    <col min="2858" max="2858" width="10" bestFit="1" customWidth="1"/>
    <col min="2859" max="2859" width="9.5546875" bestFit="1" customWidth="1"/>
    <col min="2860" max="2860" width="14.6640625" bestFit="1" customWidth="1"/>
    <col min="2861" max="2861" width="7.5546875" bestFit="1" customWidth="1"/>
    <col min="2862" max="2862" width="16" bestFit="1" customWidth="1"/>
    <col min="2863" max="2863" width="10" bestFit="1" customWidth="1"/>
    <col min="2864" max="2864" width="9.5546875" bestFit="1" customWidth="1"/>
    <col min="2865" max="2865" width="15.5546875" bestFit="1" customWidth="1"/>
    <col min="2866" max="2866" width="16.5546875" bestFit="1" customWidth="1"/>
    <col min="2867" max="2867" width="34.44140625" bestFit="1" customWidth="1"/>
    <col min="2868" max="2868" width="9.5546875" bestFit="1" customWidth="1"/>
    <col min="2869" max="2869" width="7.33203125" bestFit="1" customWidth="1"/>
    <col min="2870" max="2870" width="7.109375" bestFit="1" customWidth="1"/>
    <col min="2871" max="2871" width="34.44140625" bestFit="1" customWidth="1"/>
    <col min="2872" max="2872" width="9.5546875" bestFit="1" customWidth="1"/>
    <col min="2873" max="2873" width="27.44140625" bestFit="1" customWidth="1"/>
    <col min="2874" max="2874" width="19.109375" bestFit="1" customWidth="1"/>
    <col min="2875" max="2875" width="15.5546875" bestFit="1" customWidth="1"/>
    <col min="2876" max="2876" width="16.5546875" bestFit="1" customWidth="1"/>
    <col min="2877" max="2877" width="22.88671875" bestFit="1" customWidth="1"/>
    <col min="2878" max="2878" width="9.5546875" bestFit="1" customWidth="1"/>
    <col min="2879" max="2879" width="7.109375" bestFit="1" customWidth="1"/>
    <col min="2880" max="2880" width="7.44140625" bestFit="1" customWidth="1"/>
    <col min="2881" max="2881" width="34.44140625" bestFit="1" customWidth="1"/>
    <col min="2882" max="2882" width="21.88671875" bestFit="1" customWidth="1"/>
    <col min="2883" max="2883" width="30.6640625" bestFit="1" customWidth="1"/>
    <col min="2884" max="2884" width="19.109375" bestFit="1" customWidth="1"/>
    <col min="2885" max="2885" width="15.5546875" bestFit="1" customWidth="1"/>
    <col min="2886" max="2886" width="16.5546875" bestFit="1" customWidth="1"/>
    <col min="2887" max="2887" width="32" bestFit="1" customWidth="1"/>
    <col min="2888" max="2888" width="9.5546875" bestFit="1" customWidth="1"/>
    <col min="2889" max="2889" width="7.33203125" bestFit="1" customWidth="1"/>
    <col min="2890" max="2890" width="6.6640625" bestFit="1" customWidth="1"/>
    <col min="2891" max="2891" width="35.6640625" bestFit="1" customWidth="1"/>
    <col min="2892" max="2892" width="9.5546875" bestFit="1" customWidth="1"/>
    <col min="2893" max="2893" width="27.44140625" bestFit="1" customWidth="1"/>
    <col min="2894" max="2894" width="19.109375" bestFit="1" customWidth="1"/>
    <col min="2895" max="2895" width="15.5546875" bestFit="1" customWidth="1"/>
    <col min="2896" max="2896" width="16.5546875" bestFit="1" customWidth="1"/>
    <col min="2897" max="2897" width="22.88671875" bestFit="1" customWidth="1"/>
    <col min="2898" max="2898" width="9.5546875" bestFit="1" customWidth="1"/>
    <col min="2899" max="2899" width="10" bestFit="1" customWidth="1"/>
    <col min="2900" max="2900" width="9.5546875" bestFit="1" customWidth="1"/>
    <col min="2901" max="2901" width="21.88671875" bestFit="1" customWidth="1"/>
    <col min="2902" max="2902" width="19.109375" bestFit="1" customWidth="1"/>
    <col min="2903" max="2903" width="15.5546875" bestFit="1" customWidth="1"/>
    <col min="2904" max="2904" width="16.5546875" bestFit="1" customWidth="1"/>
    <col min="2905" max="2905" width="33.44140625" bestFit="1" customWidth="1"/>
    <col min="2906" max="2906" width="9.5546875" bestFit="1" customWidth="1"/>
    <col min="2907" max="2907" width="51.44140625" bestFit="1" customWidth="1"/>
    <col min="2908" max="2908" width="7.5546875" bestFit="1" customWidth="1"/>
    <col min="2909" max="2909" width="16" bestFit="1" customWidth="1"/>
    <col min="2910" max="2910" width="31.6640625" bestFit="1" customWidth="1"/>
    <col min="2911" max="2911" width="9.5546875" bestFit="1" customWidth="1"/>
    <col min="2912" max="2912" width="15.5546875" bestFit="1" customWidth="1"/>
    <col min="2913" max="2913" width="16.5546875" bestFit="1" customWidth="1"/>
    <col min="2914" max="2914" width="33.44140625" bestFit="1" customWidth="1"/>
    <col min="2915" max="2915" width="9.5546875" bestFit="1" customWidth="1"/>
    <col min="2916" max="2917" width="7.109375" bestFit="1" customWidth="1"/>
    <col min="2918" max="2918" width="34.44140625" bestFit="1" customWidth="1"/>
    <col min="2919" max="2920" width="21.88671875" bestFit="1" customWidth="1"/>
    <col min="2921" max="2921" width="19.109375" bestFit="1" customWidth="1"/>
    <col min="2922" max="2922" width="15.5546875" bestFit="1" customWidth="1"/>
    <col min="2923" max="2923" width="16.5546875" bestFit="1" customWidth="1"/>
    <col min="2924" max="2924" width="33.44140625" bestFit="1" customWidth="1"/>
    <col min="2925" max="2925" width="9.5546875" bestFit="1" customWidth="1"/>
    <col min="2926" max="2927" width="7.109375" bestFit="1" customWidth="1"/>
    <col min="2928" max="2928" width="34.44140625" bestFit="1" customWidth="1"/>
    <col min="2929" max="2929" width="21.88671875" bestFit="1" customWidth="1"/>
    <col min="2930" max="2930" width="27.44140625" bestFit="1" customWidth="1"/>
    <col min="2931" max="2931" width="19.109375" bestFit="1" customWidth="1"/>
    <col min="2932" max="2932" width="15.5546875" bestFit="1" customWidth="1"/>
    <col min="2933" max="2933" width="16.5546875" bestFit="1" customWidth="1"/>
    <col min="2934" max="2934" width="22.88671875" bestFit="1" customWidth="1"/>
    <col min="2935" max="2935" width="9.5546875" bestFit="1" customWidth="1"/>
    <col min="2936" max="2936" width="7.33203125" bestFit="1" customWidth="1"/>
    <col min="2937" max="2937" width="7" bestFit="1" customWidth="1"/>
    <col min="2938" max="2938" width="35.6640625" bestFit="1" customWidth="1"/>
    <col min="2939" max="2939" width="9.5546875" bestFit="1" customWidth="1"/>
    <col min="2940" max="2940" width="35.33203125" bestFit="1" customWidth="1"/>
    <col min="2941" max="2941" width="19.109375" bestFit="1" customWidth="1"/>
    <col min="2942" max="2942" width="15.5546875" bestFit="1" customWidth="1"/>
    <col min="2943" max="2943" width="16.5546875" bestFit="1" customWidth="1"/>
    <col min="2944" max="2944" width="34.44140625" bestFit="1" customWidth="1"/>
    <col min="2945" max="2945" width="34.5546875" bestFit="1" customWidth="1"/>
    <col min="2946" max="2946" width="7.109375" bestFit="1" customWidth="1"/>
    <col min="2947" max="2947" width="6.6640625" bestFit="1" customWidth="1"/>
    <col min="2948" max="2948" width="10" bestFit="1" customWidth="1"/>
    <col min="2949" max="2949" width="9.5546875" bestFit="1" customWidth="1"/>
    <col min="2950" max="2950" width="10.6640625" bestFit="1" customWidth="1"/>
    <col min="2951" max="2951" width="6.44140625" bestFit="1" customWidth="1"/>
    <col min="2952" max="2952" width="51.44140625" bestFit="1" customWidth="1"/>
    <col min="2953" max="2953" width="7.5546875" bestFit="1" customWidth="1"/>
    <col min="2954" max="2954" width="16" bestFit="1" customWidth="1"/>
    <col min="2955" max="2955" width="31.6640625" bestFit="1" customWidth="1"/>
    <col min="2956" max="2956" width="9.5546875" bestFit="1" customWidth="1"/>
    <col min="2957" max="2957" width="6.6640625" bestFit="1" customWidth="1"/>
    <col min="2958" max="2958" width="10" bestFit="1" customWidth="1"/>
    <col min="2959" max="2959" width="9.5546875" bestFit="1" customWidth="1"/>
    <col min="2960" max="2960" width="21.88671875" bestFit="1" customWidth="1"/>
    <col min="2961" max="2961" width="19.109375" bestFit="1" customWidth="1"/>
    <col min="2962" max="2962" width="15.5546875" bestFit="1" customWidth="1"/>
    <col min="2963" max="2963" width="16.5546875" bestFit="1" customWidth="1"/>
    <col min="2964" max="2964" width="33.44140625" bestFit="1" customWidth="1"/>
    <col min="2965" max="2965" width="9.5546875" bestFit="1" customWidth="1"/>
    <col min="2966" max="2966" width="7.109375" bestFit="1" customWidth="1"/>
    <col min="2967" max="2967" width="6.6640625" bestFit="1" customWidth="1"/>
    <col min="2968" max="2968" width="10" bestFit="1" customWidth="1"/>
    <col min="2969" max="2969" width="9.5546875" bestFit="1" customWidth="1"/>
    <col min="2970" max="2970" width="21.88671875" bestFit="1" customWidth="1"/>
    <col min="2971" max="2971" width="19.109375" bestFit="1" customWidth="1"/>
    <col min="2972" max="2972" width="15.5546875" bestFit="1" customWidth="1"/>
    <col min="2973" max="2973" width="16.5546875" bestFit="1" customWidth="1"/>
    <col min="2974" max="2974" width="33.44140625" bestFit="1" customWidth="1"/>
    <col min="2975" max="2975" width="9.5546875" bestFit="1" customWidth="1"/>
    <col min="2976" max="2976" width="10" bestFit="1" customWidth="1"/>
    <col min="2977" max="2977" width="9.5546875" bestFit="1" customWidth="1"/>
    <col min="2978" max="2978" width="7.44140625" bestFit="1" customWidth="1"/>
    <col min="2979" max="2979" width="29.6640625" bestFit="1" customWidth="1"/>
    <col min="2980" max="2980" width="9.5546875" bestFit="1" customWidth="1"/>
    <col min="2981" max="2981" width="29.88671875" bestFit="1" customWidth="1"/>
    <col min="2982" max="2982" width="19.109375" bestFit="1" customWidth="1"/>
    <col min="2983" max="2983" width="15.5546875" bestFit="1" customWidth="1"/>
    <col min="2984" max="2984" width="16.5546875" bestFit="1" customWidth="1"/>
    <col min="2985" max="2985" width="29.6640625" bestFit="1" customWidth="1"/>
    <col min="2986" max="2986" width="9.5546875" bestFit="1" customWidth="1"/>
    <col min="2987" max="2987" width="14.33203125" bestFit="1" customWidth="1"/>
    <col min="2988" max="2988" width="7.109375" bestFit="1" customWidth="1"/>
    <col min="2989" max="2989" width="15.109375" bestFit="1" customWidth="1"/>
    <col min="2990" max="2990" width="9.6640625" bestFit="1" customWidth="1"/>
    <col min="2991" max="2991" width="9.33203125" bestFit="1" customWidth="1"/>
    <col min="2992" max="2992" width="7.109375" bestFit="1" customWidth="1"/>
    <col min="2993" max="2993" width="32.44140625" bestFit="1" customWidth="1"/>
    <col min="2994" max="2994" width="9.33203125" bestFit="1" customWidth="1"/>
    <col min="2995" max="2995" width="28.33203125" bestFit="1" customWidth="1"/>
    <col min="2996" max="2996" width="18.5546875" bestFit="1" customWidth="1"/>
    <col min="2997" max="2997" width="14.88671875" bestFit="1" customWidth="1"/>
    <col min="2998" max="2998" width="16" bestFit="1" customWidth="1"/>
    <col min="2999" max="2999" width="21.33203125" bestFit="1" customWidth="1"/>
    <col min="3000" max="3000" width="9.33203125" bestFit="1" customWidth="1"/>
    <col min="3001" max="3001" width="6.88671875" bestFit="1" customWidth="1"/>
    <col min="3002" max="3002" width="7.109375" bestFit="1" customWidth="1"/>
    <col min="3003" max="3003" width="32.44140625" bestFit="1" customWidth="1"/>
    <col min="3004" max="3005" width="9.33203125" bestFit="1" customWidth="1"/>
    <col min="3006" max="3006" width="28.33203125" bestFit="1" customWidth="1"/>
    <col min="3007" max="3007" width="18.5546875" bestFit="1" customWidth="1"/>
    <col min="3008" max="3008" width="14.88671875" bestFit="1" customWidth="1"/>
    <col min="3009" max="3009" width="16" bestFit="1" customWidth="1"/>
    <col min="3010" max="3010" width="21.33203125" bestFit="1" customWidth="1"/>
    <col min="3011" max="3011" width="9.33203125" bestFit="1" customWidth="1"/>
    <col min="3012" max="3012" width="6.88671875" bestFit="1" customWidth="1"/>
    <col min="3013" max="3013" width="6.6640625" bestFit="1" customWidth="1"/>
    <col min="3014" max="3014" width="31.5546875" bestFit="1" customWidth="1"/>
    <col min="3015" max="3015" width="20" bestFit="1" customWidth="1"/>
    <col min="3016" max="3016" width="27.44140625" bestFit="1" customWidth="1"/>
    <col min="3017" max="3017" width="19.109375" bestFit="1" customWidth="1"/>
    <col min="3018" max="3018" width="15.5546875" bestFit="1" customWidth="1"/>
    <col min="3019" max="3019" width="16.5546875" bestFit="1" customWidth="1"/>
    <col min="3020" max="3020" width="22.88671875" bestFit="1" customWidth="1"/>
    <col min="3021" max="3021" width="9.5546875" bestFit="1" customWidth="1"/>
    <col min="3022" max="3022" width="7.109375" bestFit="1" customWidth="1"/>
    <col min="3023" max="3023" width="7.44140625" bestFit="1" customWidth="1"/>
    <col min="3024" max="3024" width="34.44140625" bestFit="1" customWidth="1"/>
    <col min="3025" max="3025" width="34.5546875" bestFit="1" customWidth="1"/>
    <col min="3026" max="3026" width="9.5546875" bestFit="1" customWidth="1"/>
    <col min="3027" max="3027" width="29.88671875" bestFit="1" customWidth="1"/>
    <col min="3028" max="3028" width="19.109375" bestFit="1" customWidth="1"/>
    <col min="3029" max="3029" width="15.5546875" bestFit="1" customWidth="1"/>
    <col min="3030" max="3030" width="16.5546875" bestFit="1" customWidth="1"/>
    <col min="3031" max="3031" width="22.88671875" bestFit="1" customWidth="1"/>
    <col min="3032" max="3032" width="9.5546875" bestFit="1" customWidth="1"/>
    <col min="3033" max="3033" width="7" bestFit="1" customWidth="1"/>
    <col min="3034" max="3034" width="6.5546875" bestFit="1" customWidth="1"/>
    <col min="3035" max="3035" width="31.5546875" bestFit="1" customWidth="1"/>
    <col min="3036" max="3036" width="20" bestFit="1" customWidth="1"/>
    <col min="3037" max="3037" width="12.33203125" bestFit="1" customWidth="1"/>
    <col min="3038" max="3038" width="18.5546875" bestFit="1" customWidth="1"/>
    <col min="3039" max="3039" width="14.88671875" bestFit="1" customWidth="1"/>
    <col min="3040" max="3040" width="16" bestFit="1" customWidth="1"/>
    <col min="3041" max="3041" width="9.6640625" bestFit="1" customWidth="1"/>
    <col min="3042" max="3042" width="9.33203125" bestFit="1" customWidth="1"/>
    <col min="3043" max="3043" width="31.5546875" bestFit="1" customWidth="1"/>
    <col min="3044" max="3044" width="32.6640625" bestFit="1" customWidth="1"/>
    <col min="3045" max="3045" width="6.88671875" bestFit="1" customWidth="1"/>
    <col min="3046" max="3046" width="6.5546875" bestFit="1" customWidth="1"/>
    <col min="3047" max="3047" width="9.6640625" bestFit="1" customWidth="1"/>
    <col min="3048" max="3048" width="9.33203125" bestFit="1" customWidth="1"/>
    <col min="3049" max="3049" width="31.5546875" bestFit="1" customWidth="1"/>
    <col min="3050" max="3050" width="32.6640625" bestFit="1" customWidth="1"/>
    <col min="3051" max="3051" width="6.5546875" bestFit="1" customWidth="1"/>
    <col min="3052" max="3052" width="21.33203125" bestFit="1" customWidth="1"/>
    <col min="3053" max="3053" width="9.33203125" bestFit="1" customWidth="1"/>
    <col min="3054" max="3054" width="32.6640625" bestFit="1" customWidth="1"/>
    <col min="3055" max="3055" width="6.5546875" bestFit="1" customWidth="1"/>
    <col min="3056" max="3056" width="21.33203125" bestFit="1" customWidth="1"/>
    <col min="3057" max="3057" width="9.33203125" bestFit="1" customWidth="1"/>
    <col min="3058" max="3058" width="25.6640625" bestFit="1" customWidth="1"/>
    <col min="3059" max="3059" width="18.5546875" bestFit="1" customWidth="1"/>
    <col min="3060" max="3060" width="14.88671875" bestFit="1" customWidth="1"/>
    <col min="3061" max="3061" width="16" bestFit="1" customWidth="1"/>
    <col min="3062" max="3062" width="27.6640625" bestFit="1" customWidth="1"/>
    <col min="3063" max="3063" width="9.33203125" bestFit="1" customWidth="1"/>
    <col min="3064" max="3064" width="14.33203125" bestFit="1" customWidth="1"/>
    <col min="3065" max="3065" width="7.109375" bestFit="1" customWidth="1"/>
    <col min="3066" max="3066" width="15.109375" bestFit="1" customWidth="1"/>
    <col min="3067" max="3067" width="9.6640625" bestFit="1" customWidth="1"/>
    <col min="3068" max="3068" width="9.33203125" bestFit="1" customWidth="1"/>
    <col min="3069" max="3069" width="32.6640625" bestFit="1" customWidth="1"/>
    <col min="3070" max="3070" width="7.109375" bestFit="1" customWidth="1"/>
    <col min="3071" max="3071" width="32.44140625" bestFit="1" customWidth="1"/>
    <col min="3072" max="3073" width="9.33203125" bestFit="1" customWidth="1"/>
    <col min="3074" max="3074" width="28.33203125" bestFit="1" customWidth="1"/>
    <col min="3075" max="3075" width="18.5546875" bestFit="1" customWidth="1"/>
    <col min="3076" max="3076" width="14.88671875" bestFit="1" customWidth="1"/>
    <col min="3077" max="3077" width="16" bestFit="1" customWidth="1"/>
    <col min="3078" max="3078" width="27.6640625" bestFit="1" customWidth="1"/>
    <col min="3079" max="3079" width="9.33203125" bestFit="1" customWidth="1"/>
    <col min="3080" max="3080" width="7.109375" bestFit="1" customWidth="1"/>
    <col min="3081" max="3081" width="6.6640625" bestFit="1" customWidth="1"/>
    <col min="3082" max="3082" width="10" bestFit="1" customWidth="1"/>
    <col min="3083" max="3083" width="9.5546875" bestFit="1" customWidth="1"/>
    <col min="3084" max="3084" width="29.88671875" bestFit="1" customWidth="1"/>
    <col min="3085" max="3085" width="19.109375" bestFit="1" customWidth="1"/>
    <col min="3086" max="3086" width="15.5546875" bestFit="1" customWidth="1"/>
    <col min="3087" max="3087" width="16.5546875" bestFit="1" customWidth="1"/>
    <col min="3088" max="3088" width="29.6640625" bestFit="1" customWidth="1"/>
    <col min="3089" max="3089" width="9.5546875" bestFit="1" customWidth="1"/>
    <col min="3090" max="3090" width="10" bestFit="1" customWidth="1"/>
    <col min="3091" max="3091" width="9.5546875" bestFit="1" customWidth="1"/>
    <col min="3092" max="3092" width="19.6640625" bestFit="1" customWidth="1"/>
    <col min="3093" max="3093" width="19.109375" bestFit="1" customWidth="1"/>
    <col min="3094" max="3094" width="15.5546875" bestFit="1" customWidth="1"/>
    <col min="3095" max="3095" width="16.5546875" bestFit="1" customWidth="1"/>
    <col min="3096" max="3096" width="33.44140625" bestFit="1" customWidth="1"/>
    <col min="3097" max="3097" width="9.5546875" bestFit="1" customWidth="1"/>
    <col min="3098" max="3098" width="7.109375" bestFit="1" customWidth="1"/>
    <col min="3099" max="3099" width="6.6640625" bestFit="1" customWidth="1"/>
    <col min="3100" max="3100" width="10" bestFit="1" customWidth="1"/>
    <col min="3101" max="3101" width="9.5546875" bestFit="1" customWidth="1"/>
    <col min="3102" max="3102" width="26.109375" bestFit="1" customWidth="1"/>
    <col min="3103" max="3103" width="19.6640625" bestFit="1" customWidth="1"/>
    <col min="3104" max="3104" width="19.109375" bestFit="1" customWidth="1"/>
    <col min="3105" max="3105" width="15.5546875" bestFit="1" customWidth="1"/>
    <col min="3106" max="3106" width="16.5546875" bestFit="1" customWidth="1"/>
    <col min="3107" max="3107" width="33.44140625" bestFit="1" customWidth="1"/>
    <col min="3108" max="3108" width="9.5546875" bestFit="1" customWidth="1"/>
    <col min="3109" max="3109" width="7.109375" bestFit="1" customWidth="1"/>
    <col min="3110" max="3110" width="6.6640625" bestFit="1" customWidth="1"/>
    <col min="3111" max="3111" width="10" bestFit="1" customWidth="1"/>
    <col min="3112" max="3112" width="9.5546875" bestFit="1" customWidth="1"/>
    <col min="3113" max="3113" width="19.6640625" bestFit="1" customWidth="1"/>
    <col min="3114" max="3114" width="19.109375" bestFit="1" customWidth="1"/>
    <col min="3115" max="3115" width="15.5546875" bestFit="1" customWidth="1"/>
    <col min="3116" max="3116" width="16.5546875" bestFit="1" customWidth="1"/>
    <col min="3117" max="3117" width="33.44140625" bestFit="1" customWidth="1"/>
    <col min="3118" max="3118" width="9.5546875" bestFit="1" customWidth="1"/>
    <col min="3119" max="3119" width="7.33203125" bestFit="1" customWidth="1"/>
    <col min="3120" max="3120" width="7.5546875" bestFit="1" customWidth="1"/>
    <col min="3121" max="3121" width="32.88671875" bestFit="1" customWidth="1"/>
    <col min="3122" max="3122" width="21.88671875" bestFit="1" customWidth="1"/>
    <col min="3123" max="3123" width="9.5546875" bestFit="1" customWidth="1"/>
    <col min="3124" max="3124" width="21.88671875" bestFit="1" customWidth="1"/>
    <col min="3125" max="3125" width="33.44140625" bestFit="1" customWidth="1"/>
    <col min="3126" max="3126" width="19.109375" bestFit="1" customWidth="1"/>
    <col min="3127" max="3127" width="15.5546875" bestFit="1" customWidth="1"/>
    <col min="3128" max="3128" width="16.5546875" bestFit="1" customWidth="1"/>
    <col min="3129" max="3129" width="31.6640625" bestFit="1" customWidth="1"/>
    <col min="3130" max="3130" width="9.5546875" bestFit="1" customWidth="1"/>
    <col min="3131" max="3131" width="81.109375" bestFit="1" customWidth="1"/>
    <col min="3132" max="3132" width="7.5546875" bestFit="1" customWidth="1"/>
    <col min="3133" max="3133" width="16" bestFit="1" customWidth="1"/>
    <col min="3134" max="3134" width="31.6640625" bestFit="1" customWidth="1"/>
    <col min="3135" max="3135" width="21.88671875" bestFit="1" customWidth="1"/>
    <col min="3136" max="3136" width="7.109375" bestFit="1" customWidth="1"/>
    <col min="3137" max="3137" width="6.6640625" bestFit="1" customWidth="1"/>
    <col min="3138" max="3138" width="31.6640625" bestFit="1" customWidth="1"/>
    <col min="3139" max="3139" width="9.5546875" bestFit="1" customWidth="1"/>
    <col min="3140" max="3140" width="33.44140625" bestFit="1" customWidth="1"/>
    <col min="3141" max="3141" width="19.109375" bestFit="1" customWidth="1"/>
    <col min="3142" max="3142" width="15.5546875" bestFit="1" customWidth="1"/>
    <col min="3143" max="3143" width="16.5546875" bestFit="1" customWidth="1"/>
    <col min="3144" max="3144" width="31.6640625" bestFit="1" customWidth="1"/>
    <col min="3145" max="3145" width="9.5546875" bestFit="1" customWidth="1"/>
    <col min="3146" max="3146" width="7.109375" bestFit="1" customWidth="1"/>
    <col min="3147" max="3147" width="6.6640625" bestFit="1" customWidth="1"/>
    <col min="3148" max="3148" width="31.6640625" bestFit="1" customWidth="1"/>
    <col min="3149" max="3149" width="9.5546875" bestFit="1" customWidth="1"/>
    <col min="3150" max="3150" width="7.5546875" bestFit="1" customWidth="1"/>
    <col min="3151" max="3151" width="16" bestFit="1" customWidth="1"/>
    <col min="3152" max="3152" width="11.44140625" bestFit="1" customWidth="1"/>
    <col min="3153" max="3153" width="20" bestFit="1" customWidth="1"/>
    <col min="3154" max="3154" width="10" bestFit="1" customWidth="1"/>
    <col min="3155" max="3155" width="9.5546875" bestFit="1" customWidth="1"/>
    <col min="3156" max="3156" width="6.6640625" bestFit="1" customWidth="1"/>
    <col min="3157" max="3157" width="31.6640625" bestFit="1" customWidth="1"/>
    <col min="3158" max="3158" width="9.5546875" bestFit="1" customWidth="1"/>
    <col min="3159" max="3159" width="33.44140625" bestFit="1" customWidth="1"/>
    <col min="3160" max="3160" width="19.109375" bestFit="1" customWidth="1"/>
    <col min="3161" max="3161" width="15.5546875" bestFit="1" customWidth="1"/>
    <col min="3162" max="3162" width="16.5546875" bestFit="1" customWidth="1"/>
    <col min="3163" max="3163" width="31.6640625" bestFit="1" customWidth="1"/>
    <col min="3164" max="3164" width="9.5546875" bestFit="1" customWidth="1"/>
    <col min="3165" max="3165" width="7.109375" bestFit="1" customWidth="1"/>
    <col min="3166" max="3166" width="6.6640625" bestFit="1" customWidth="1"/>
    <col min="3167" max="3167" width="10" bestFit="1" customWidth="1"/>
    <col min="3168" max="3168" width="9.5546875" bestFit="1" customWidth="1"/>
    <col min="3169" max="3169" width="10.6640625" bestFit="1" customWidth="1"/>
    <col min="3170" max="3170" width="6.44140625" bestFit="1" customWidth="1"/>
    <col min="3171" max="3171" width="34.6640625" bestFit="1" customWidth="1"/>
    <col min="3172" max="3172" width="7.5546875" bestFit="1" customWidth="1"/>
    <col min="3173" max="3173" width="16" bestFit="1" customWidth="1"/>
    <col min="3174" max="3174" width="21.6640625" bestFit="1" customWidth="1"/>
    <col min="3175" max="3175" width="21.88671875" bestFit="1" customWidth="1"/>
    <col min="3176" max="3176" width="7.109375" bestFit="1" customWidth="1"/>
    <col min="3177" max="3177" width="6.6640625" bestFit="1" customWidth="1"/>
    <col min="3178" max="3178" width="32.88671875" bestFit="1" customWidth="1"/>
    <col min="3179" max="3179" width="9.5546875" bestFit="1" customWidth="1"/>
    <col min="3180" max="3180" width="33.44140625" bestFit="1" customWidth="1"/>
    <col min="3181" max="3181" width="19.109375" bestFit="1" customWidth="1"/>
    <col min="3182" max="3182" width="15.5546875" bestFit="1" customWidth="1"/>
    <col min="3183" max="3183" width="16.5546875" bestFit="1" customWidth="1"/>
    <col min="3184" max="3184" width="33.44140625" bestFit="1" customWidth="1"/>
    <col min="3185" max="3185" width="9.5546875" bestFit="1" customWidth="1"/>
    <col min="3186" max="3186" width="7.109375" bestFit="1" customWidth="1"/>
    <col min="3187" max="3187" width="6.6640625" bestFit="1" customWidth="1"/>
    <col min="3188" max="3188" width="10" bestFit="1" customWidth="1"/>
    <col min="3189" max="3189" width="9.5546875" bestFit="1" customWidth="1"/>
    <col min="3190" max="3190" width="33.44140625" bestFit="1" customWidth="1"/>
    <col min="3191" max="3191" width="19.109375" bestFit="1" customWidth="1"/>
    <col min="3192" max="3192" width="15.5546875" bestFit="1" customWidth="1"/>
    <col min="3193" max="3193" width="16.5546875" bestFit="1" customWidth="1"/>
    <col min="3194" max="3194" width="33.44140625" bestFit="1" customWidth="1"/>
    <col min="3195" max="3195" width="9.5546875" bestFit="1" customWidth="1"/>
    <col min="3196" max="3196" width="7.109375" bestFit="1" customWidth="1"/>
    <col min="3197" max="3197" width="6.6640625" bestFit="1" customWidth="1"/>
    <col min="3198" max="3198" width="31.6640625" bestFit="1" customWidth="1"/>
    <col min="3199" max="3199" width="9.5546875" bestFit="1" customWidth="1"/>
    <col min="3200" max="3200" width="10.6640625" bestFit="1" customWidth="1"/>
    <col min="3201" max="3201" width="6.44140625" bestFit="1" customWidth="1"/>
    <col min="3202" max="3202" width="81.109375" bestFit="1" customWidth="1"/>
    <col min="3203" max="3203" width="7.5546875" bestFit="1" customWidth="1"/>
    <col min="3204" max="3204" width="16" bestFit="1" customWidth="1"/>
    <col min="3205" max="3205" width="31.6640625" customWidth="1"/>
    <col min="3206" max="3206" width="21.88671875" bestFit="1" customWidth="1"/>
    <col min="3207" max="3207" width="9.5546875" bestFit="1" customWidth="1"/>
    <col min="3208" max="3208" width="6.44140625" bestFit="1" customWidth="1"/>
    <col min="3209" max="3209" width="81.109375" bestFit="1" customWidth="1"/>
    <col min="3210" max="3210" width="7.5546875" bestFit="1" customWidth="1"/>
    <col min="3211" max="3211" width="16" bestFit="1" customWidth="1"/>
    <col min="3212" max="3212" width="31.6640625" bestFit="1" customWidth="1"/>
    <col min="3213" max="3213" width="21.88671875" bestFit="1" customWidth="1"/>
    <col min="3214" max="3214" width="15.5546875" bestFit="1" customWidth="1"/>
    <col min="3215" max="3215" width="16.5546875" bestFit="1" customWidth="1"/>
    <col min="3216" max="3216" width="31.6640625" bestFit="1" customWidth="1"/>
    <col min="3217" max="3217" width="9.5546875" bestFit="1" customWidth="1"/>
    <col min="3218" max="3218" width="31.6640625" bestFit="1" customWidth="1"/>
    <col min="3219" max="3219" width="9.5546875" bestFit="1" customWidth="1"/>
    <col min="3220" max="3220" width="7.109375" bestFit="1" customWidth="1"/>
    <col min="3221" max="3221" width="6.6640625" bestFit="1" customWidth="1"/>
    <col min="3222" max="3222" width="31.6640625" bestFit="1" customWidth="1"/>
    <col min="3223" max="3223" width="9.5546875" bestFit="1" customWidth="1"/>
    <col min="3224" max="3224" width="33.44140625" bestFit="1" customWidth="1"/>
    <col min="3225" max="3225" width="19.109375" bestFit="1" customWidth="1"/>
    <col min="3226" max="3226" width="15.5546875" bestFit="1" customWidth="1"/>
    <col min="3227" max="3227" width="16.5546875" bestFit="1" customWidth="1"/>
    <col min="3228" max="3228" width="31.6640625" bestFit="1" customWidth="1"/>
    <col min="3229" max="3229" width="9.5546875" bestFit="1" customWidth="1"/>
    <col min="3230" max="3230" width="14.6640625" bestFit="1" customWidth="1"/>
    <col min="3231" max="3231" width="7.5546875" bestFit="1" customWidth="1"/>
    <col min="3232" max="3232" width="16" bestFit="1" customWidth="1"/>
    <col min="3233" max="3233" width="10" bestFit="1" customWidth="1"/>
    <col min="3234" max="3234" width="9.5546875" bestFit="1" customWidth="1"/>
    <col min="3235" max="3235" width="7.33203125" bestFit="1" customWidth="1"/>
    <col min="3236" max="3236" width="7" bestFit="1" customWidth="1"/>
    <col min="3237" max="3237" width="22.88671875" bestFit="1" customWidth="1"/>
    <col min="3238" max="3238" width="9.5546875" bestFit="1" customWidth="1"/>
    <col min="3239" max="3239" width="7.5546875" bestFit="1" customWidth="1"/>
    <col min="3240" max="3240" width="16" bestFit="1" customWidth="1"/>
    <col min="3241" max="3241" width="11.44140625" bestFit="1" customWidth="1"/>
    <col min="3242" max="3242" width="20" bestFit="1" customWidth="1"/>
    <col min="3243" max="3243" width="10" bestFit="1" customWidth="1"/>
    <col min="3244" max="3244" width="9.5546875" bestFit="1" customWidth="1"/>
    <col min="3245" max="3245" width="29.88671875" bestFit="1" customWidth="1"/>
    <col min="3246" max="3246" width="19.109375" bestFit="1" customWidth="1"/>
    <col min="3247" max="3247" width="15.5546875" bestFit="1" customWidth="1"/>
    <col min="3248" max="3248" width="16.5546875" bestFit="1" customWidth="1"/>
    <col min="3249" max="3249" width="29.6640625" bestFit="1" customWidth="1"/>
    <col min="3250" max="3250" width="9.5546875" bestFit="1" customWidth="1"/>
    <col min="3251" max="3251" width="7.109375" bestFit="1" customWidth="1"/>
    <col min="3252" max="3252" width="7.44140625" bestFit="1" customWidth="1"/>
    <col min="3253" max="3253" width="33.44140625" bestFit="1" customWidth="1"/>
    <col min="3254" max="3254" width="26.109375" bestFit="1" customWidth="1"/>
    <col min="3255" max="3255" width="6.44140625" bestFit="1" customWidth="1"/>
    <col min="3256" max="3256" width="34.6640625" bestFit="1" customWidth="1"/>
    <col min="3257" max="3257" width="7.5546875" bestFit="1" customWidth="1"/>
    <col min="3258" max="3258" width="16" bestFit="1" customWidth="1"/>
    <col min="3259" max="3259" width="21.6640625" bestFit="1" customWidth="1"/>
    <col min="3260" max="3260" width="21.88671875" bestFit="1" customWidth="1"/>
    <col min="3261" max="3261" width="26.109375" bestFit="1" customWidth="1"/>
    <col min="3262" max="3262" width="7.109375" bestFit="1" customWidth="1"/>
    <col min="3263" max="3263" width="6.6640625" bestFit="1" customWidth="1"/>
    <col min="3264" max="3264" width="10" bestFit="1" customWidth="1"/>
    <col min="3265" max="3265" width="9.5546875" bestFit="1" customWidth="1"/>
    <col min="3266" max="3266" width="30.6640625" bestFit="1" customWidth="1"/>
    <col min="3267" max="3267" width="19.109375" bestFit="1" customWidth="1"/>
    <col min="3268" max="3268" width="15.5546875" bestFit="1" customWidth="1"/>
    <col min="3269" max="3269" width="16.5546875" bestFit="1" customWidth="1"/>
    <col min="3270" max="3270" width="33.44140625" bestFit="1" customWidth="1"/>
    <col min="3271" max="3271" width="9.5546875" bestFit="1" customWidth="1"/>
    <col min="3272" max="3272" width="7.109375" bestFit="1" customWidth="1"/>
    <col min="3273" max="3273" width="6.6640625" bestFit="1" customWidth="1"/>
    <col min="3274" max="3274" width="10" bestFit="1" customWidth="1"/>
    <col min="3275" max="3275" width="9.5546875" bestFit="1" customWidth="1"/>
    <col min="3276" max="3276" width="33.44140625" bestFit="1" customWidth="1"/>
    <col min="3277" max="3277" width="19.109375" bestFit="1" customWidth="1"/>
    <col min="3278" max="3278" width="15.5546875" bestFit="1" customWidth="1"/>
    <col min="3279" max="3279" width="16.5546875" bestFit="1" customWidth="1"/>
    <col min="3280" max="3280" width="33.44140625" bestFit="1" customWidth="1"/>
    <col min="3281" max="3281" width="9.5546875" bestFit="1" customWidth="1"/>
    <col min="3282" max="3282" width="34.6640625" bestFit="1" customWidth="1"/>
    <col min="3283" max="3283" width="7.5546875" bestFit="1" customWidth="1"/>
    <col min="3284" max="3284" width="16" bestFit="1" customWidth="1"/>
    <col min="3285" max="3285" width="21.6640625" bestFit="1" customWidth="1"/>
    <col min="3286" max="3286" width="21.88671875" bestFit="1" customWidth="1"/>
    <col min="3287" max="3287" width="7.109375" bestFit="1" customWidth="1"/>
    <col min="3288" max="3288" width="6.6640625" bestFit="1" customWidth="1"/>
    <col min="3289" max="3289" width="31.6640625" bestFit="1" customWidth="1"/>
    <col min="3290" max="3290" width="21.88671875" bestFit="1" customWidth="1"/>
    <col min="3291" max="3291" width="10.6640625" bestFit="1" customWidth="1"/>
    <col min="3292" max="3292" width="6.44140625" bestFit="1" customWidth="1"/>
    <col min="3293" max="3293" width="14.6640625" bestFit="1" customWidth="1"/>
    <col min="3294" max="3294" width="7.5546875" bestFit="1" customWidth="1"/>
    <col min="3295" max="3295" width="16" bestFit="1" customWidth="1"/>
    <col min="3296" max="3296" width="31.6640625" bestFit="1" customWidth="1"/>
    <col min="3297" max="3297" width="21.88671875" bestFit="1" customWidth="1"/>
    <col min="3298" max="3298" width="6.6640625" bestFit="1" customWidth="1"/>
    <col min="3299" max="3299" width="31.6640625" bestFit="1" customWidth="1"/>
    <col min="3300" max="3301" width="21.88671875" bestFit="1" customWidth="1"/>
    <col min="3302" max="3302" width="33.44140625" bestFit="1" customWidth="1"/>
    <col min="3303" max="3303" width="19.109375" bestFit="1" customWidth="1"/>
    <col min="3304" max="3304" width="15.5546875" bestFit="1" customWidth="1"/>
    <col min="3305" max="3305" width="16.5546875" bestFit="1" customWidth="1"/>
    <col min="3306" max="3306" width="31.6640625" bestFit="1" customWidth="1"/>
    <col min="3307" max="3307" width="9.5546875" bestFit="1" customWidth="1"/>
    <col min="3308" max="3308" width="7.109375" bestFit="1" customWidth="1"/>
    <col min="3309" max="3309" width="6.6640625" bestFit="1" customWidth="1"/>
    <col min="3310" max="3310" width="31.6640625" bestFit="1" customWidth="1"/>
    <col min="3311" max="3311" width="21.88671875" bestFit="1" customWidth="1"/>
    <col min="3312" max="3312" width="24" bestFit="1" customWidth="1"/>
    <col min="3313" max="3313" width="19.109375" bestFit="1" customWidth="1"/>
    <col min="3314" max="3314" width="15.5546875" bestFit="1" customWidth="1"/>
    <col min="3315" max="3315" width="16.5546875" bestFit="1" customWidth="1"/>
    <col min="3316" max="3316" width="28.6640625" bestFit="1" customWidth="1"/>
    <col min="3317" max="3317" width="34.5546875" bestFit="1" customWidth="1"/>
    <col min="3318" max="3318" width="7.33203125" bestFit="1" customWidth="1"/>
    <col min="3319" max="3319" width="7.109375" bestFit="1" customWidth="1"/>
    <col min="3320" max="3320" width="34.44140625" bestFit="1" customWidth="1"/>
    <col min="3321" max="3321" width="9.5546875" bestFit="1" customWidth="1"/>
    <col min="3322" max="3322" width="29.88671875" bestFit="1" customWidth="1"/>
    <col min="3323" max="3323" width="19.109375" bestFit="1" customWidth="1"/>
    <col min="3324" max="3324" width="15.5546875" bestFit="1" customWidth="1"/>
    <col min="3325" max="3325" width="16.5546875" bestFit="1" customWidth="1"/>
    <col min="3326" max="3326" width="10" bestFit="1" customWidth="1"/>
    <col min="3327" max="3327" width="9.5546875" bestFit="1" customWidth="1"/>
    <col min="3328" max="3329" width="7.109375" bestFit="1" customWidth="1"/>
    <col min="3330" max="3330" width="33.44140625" bestFit="1" customWidth="1"/>
    <col min="3331" max="3331" width="9.5546875" bestFit="1" customWidth="1"/>
    <col min="3332" max="3332" width="33.44140625" bestFit="1" customWidth="1"/>
    <col min="3333" max="3333" width="19.109375" bestFit="1" customWidth="1"/>
    <col min="3334" max="3334" width="15.5546875" bestFit="1" customWidth="1"/>
    <col min="3335" max="3335" width="16.5546875" bestFit="1" customWidth="1"/>
    <col min="3336" max="3336" width="33.44140625" bestFit="1" customWidth="1"/>
    <col min="3337" max="3337" width="21.88671875" bestFit="1" customWidth="1"/>
    <col min="3338" max="3338" width="27.44140625" bestFit="1" customWidth="1"/>
    <col min="3339" max="3339" width="7.5546875" bestFit="1" customWidth="1"/>
    <col min="3340" max="3340" width="16" bestFit="1" customWidth="1"/>
    <col min="3341" max="3341" width="21.6640625" bestFit="1" customWidth="1"/>
    <col min="3342" max="3342" width="21.88671875" bestFit="1" customWidth="1"/>
    <col min="3343" max="3343" width="7.33203125" bestFit="1" customWidth="1"/>
    <col min="3344" max="3344" width="6.6640625" bestFit="1" customWidth="1"/>
    <col min="3345" max="3345" width="31.6640625" bestFit="1" customWidth="1"/>
    <col min="3346" max="3346" width="21.88671875" bestFit="1" customWidth="1"/>
    <col min="3347" max="3347" width="32.6640625" bestFit="1" customWidth="1"/>
    <col min="3348" max="3348" width="19.109375" bestFit="1" customWidth="1"/>
    <col min="3349" max="3349" width="15.5546875" bestFit="1" customWidth="1"/>
    <col min="3350" max="3350" width="16.5546875" bestFit="1" customWidth="1"/>
    <col min="3351" max="3351" width="31.6640625" bestFit="1" customWidth="1"/>
    <col min="3352" max="3352" width="9.5546875" bestFit="1" customWidth="1"/>
    <col min="3353" max="3353" width="7.33203125" bestFit="1" customWidth="1"/>
    <col min="3354" max="3354" width="7" bestFit="1" customWidth="1"/>
    <col min="3355" max="3355" width="24.109375" bestFit="1" customWidth="1"/>
    <col min="3356" max="3356" width="9.5546875" bestFit="1" customWidth="1"/>
    <col min="3357" max="3357" width="27.44140625" bestFit="1" customWidth="1"/>
    <col min="3358" max="3358" width="19.109375" bestFit="1" customWidth="1"/>
    <col min="3359" max="3359" width="15.5546875" bestFit="1" customWidth="1"/>
    <col min="3360" max="3360" width="16.5546875" bestFit="1" customWidth="1"/>
    <col min="3361" max="3361" width="34.44140625" bestFit="1" customWidth="1"/>
    <col min="3362" max="3362" width="34.5546875" bestFit="1" customWidth="1"/>
    <col min="3363" max="3363" width="7.33203125" bestFit="1" customWidth="1"/>
    <col min="3364" max="3364" width="7" bestFit="1" customWidth="1"/>
    <col min="3365" max="3365" width="34.44140625" bestFit="1" customWidth="1"/>
    <col min="3366" max="3366" width="9.5546875" bestFit="1" customWidth="1"/>
    <col min="3367" max="3367" width="33.44140625" bestFit="1" customWidth="1"/>
    <col min="3368" max="3368" width="19.109375" bestFit="1" customWidth="1"/>
    <col min="3369" max="3369" width="15.5546875" bestFit="1" customWidth="1"/>
    <col min="3370" max="3370" width="16.5546875" bestFit="1" customWidth="1"/>
    <col min="3371" max="3371" width="28.6640625" bestFit="1" customWidth="1"/>
    <col min="3372" max="3372" width="34.5546875" bestFit="1" customWidth="1"/>
    <col min="3373" max="3373" width="7.33203125" bestFit="1" customWidth="1"/>
    <col min="3374" max="3374" width="7" bestFit="1" customWidth="1"/>
    <col min="3375" max="3375" width="34.44140625" bestFit="1" customWidth="1"/>
    <col min="3376" max="3376" width="34.5546875" bestFit="1" customWidth="1"/>
    <col min="3377" max="3377" width="28.109375" bestFit="1" customWidth="1"/>
    <col min="3378" max="3378" width="19.109375" bestFit="1" customWidth="1"/>
    <col min="3379" max="3379" width="15.5546875" bestFit="1" customWidth="1"/>
    <col min="3380" max="3380" width="16.5546875" bestFit="1" customWidth="1"/>
    <col min="3381" max="3381" width="22.88671875" bestFit="1" customWidth="1"/>
    <col min="3382" max="3382" width="9.5546875" bestFit="1" customWidth="1"/>
    <col min="3383" max="3384" width="7.109375" bestFit="1" customWidth="1"/>
    <col min="3385" max="3385" width="33.44140625" bestFit="1" customWidth="1"/>
    <col min="3386" max="3386" width="21.88671875" bestFit="1" customWidth="1"/>
    <col min="3387" max="3387" width="31.109375" bestFit="1" customWidth="1"/>
    <col min="3388" max="3388" width="19.109375" bestFit="1" customWidth="1"/>
    <col min="3389" max="3389" width="15.5546875" bestFit="1" customWidth="1"/>
    <col min="3390" max="3390" width="16.5546875" bestFit="1" customWidth="1"/>
    <col min="3391" max="3391" width="33.44140625" bestFit="1" customWidth="1"/>
    <col min="3392" max="3392" width="9.5546875" bestFit="1" customWidth="1"/>
    <col min="3393" max="3394" width="7.109375" bestFit="1" customWidth="1"/>
    <col min="3395" max="3395" width="33.44140625" bestFit="1" customWidth="1"/>
    <col min="3396" max="3396" width="21.88671875" bestFit="1" customWidth="1"/>
    <col min="3397" max="3397" width="31.109375" bestFit="1" customWidth="1"/>
    <col min="3398" max="3398" width="19.109375" bestFit="1" customWidth="1"/>
    <col min="3399" max="3399" width="15.5546875" bestFit="1" customWidth="1"/>
    <col min="3400" max="3400" width="16.5546875" bestFit="1" customWidth="1"/>
    <col min="3401" max="3401" width="33.44140625" bestFit="1" customWidth="1"/>
    <col min="3402" max="3402" width="9.5546875" bestFit="1" customWidth="1"/>
    <col min="3403" max="3403" width="7.33203125" bestFit="1" customWidth="1"/>
    <col min="3404" max="3404" width="6.6640625" bestFit="1" customWidth="1"/>
    <col min="3405" max="3405" width="31.6640625" bestFit="1" customWidth="1"/>
    <col min="3406" max="3406" width="21.88671875" bestFit="1" customWidth="1"/>
    <col min="3407" max="3407" width="22.6640625" bestFit="1" customWidth="1"/>
    <col min="3408" max="3408" width="19.109375" bestFit="1" customWidth="1"/>
    <col min="3409" max="3409" width="15.5546875" bestFit="1" customWidth="1"/>
    <col min="3410" max="3410" width="16.5546875" bestFit="1" customWidth="1"/>
    <col min="3411" max="3411" width="10" bestFit="1" customWidth="1"/>
    <col min="3412" max="3412" width="9.5546875" bestFit="1" customWidth="1"/>
    <col min="3413" max="3413" width="10" bestFit="1" customWidth="1"/>
    <col min="3414" max="3414" width="9.5546875" bestFit="1" customWidth="1"/>
    <col min="3415" max="3415" width="7" bestFit="1" customWidth="1"/>
    <col min="3416" max="3416" width="34.44140625" bestFit="1" customWidth="1"/>
    <col min="3417" max="3417" width="34.5546875" bestFit="1" customWidth="1"/>
    <col min="3418" max="3418" width="9.5546875" bestFit="1" customWidth="1"/>
    <col min="3419" max="3420" width="34.5546875" bestFit="1" customWidth="1"/>
    <col min="3421" max="3421" width="36.6640625" bestFit="1" customWidth="1"/>
    <col min="3422" max="3422" width="19.109375" bestFit="1" customWidth="1"/>
    <col min="3423" max="3423" width="15.5546875" bestFit="1" customWidth="1"/>
    <col min="3424" max="3424" width="16.5546875" bestFit="1" customWidth="1"/>
    <col min="3425" max="3425" width="28.6640625" bestFit="1" customWidth="1"/>
    <col min="3426" max="3426" width="34.5546875" bestFit="1" customWidth="1"/>
    <col min="3427" max="3427" width="14.6640625" bestFit="1" customWidth="1"/>
    <col min="3428" max="3428" width="7.5546875" bestFit="1" customWidth="1"/>
    <col min="3429" max="3429" width="16" bestFit="1" customWidth="1"/>
    <col min="3430" max="3430" width="10" bestFit="1" customWidth="1"/>
    <col min="3431" max="3431" width="9.5546875" bestFit="1" customWidth="1"/>
    <col min="3432" max="3432" width="15.5546875" bestFit="1" customWidth="1"/>
    <col min="3433" max="3433" width="16.5546875" bestFit="1" customWidth="1"/>
    <col min="3434" max="3434" width="32.44140625" bestFit="1" customWidth="1"/>
    <col min="3435" max="3435" width="34.5546875" bestFit="1" customWidth="1"/>
    <col min="3436" max="3436" width="7.109375" bestFit="1" customWidth="1"/>
    <col min="3437" max="3437" width="6.6640625" bestFit="1" customWidth="1"/>
    <col min="3438" max="3438" width="10" bestFit="1" customWidth="1"/>
    <col min="3439" max="3439" width="9.5546875" bestFit="1" customWidth="1"/>
    <col min="3440" max="3440" width="38.44140625" bestFit="1" customWidth="1"/>
    <col min="3441" max="3441" width="19.109375" bestFit="1" customWidth="1"/>
    <col min="3442" max="3442" width="15.5546875" bestFit="1" customWidth="1"/>
    <col min="3443" max="3443" width="16.5546875" bestFit="1" customWidth="1"/>
    <col min="3444" max="3444" width="32.44140625" bestFit="1" customWidth="1"/>
    <col min="3445" max="3445" width="34.5546875" bestFit="1" customWidth="1"/>
    <col min="3446" max="3446" width="7.109375" bestFit="1" customWidth="1"/>
    <col min="3447" max="3447" width="6.6640625" bestFit="1" customWidth="1"/>
    <col min="3448" max="3448" width="10" bestFit="1" customWidth="1"/>
    <col min="3449" max="3449" width="9.5546875" bestFit="1" customWidth="1"/>
    <col min="3450" max="3450" width="38.44140625" bestFit="1" customWidth="1"/>
    <col min="3451" max="3451" width="19.109375" bestFit="1" customWidth="1"/>
    <col min="3452" max="3452" width="15.5546875" bestFit="1" customWidth="1"/>
    <col min="3453" max="3453" width="16.5546875" bestFit="1" customWidth="1"/>
    <col min="3454" max="3454" width="32.44140625" bestFit="1" customWidth="1"/>
    <col min="3455" max="3455" width="34.5546875" bestFit="1" customWidth="1"/>
    <col min="3456" max="3456" width="7.109375" bestFit="1" customWidth="1"/>
    <col min="3457" max="3457" width="6.6640625" bestFit="1" customWidth="1"/>
    <col min="3458" max="3458" width="10" bestFit="1" customWidth="1"/>
    <col min="3459" max="3459" width="9.5546875" bestFit="1" customWidth="1"/>
    <col min="3460" max="3460" width="38.44140625" bestFit="1" customWidth="1"/>
    <col min="3461" max="3461" width="19.109375" bestFit="1" customWidth="1"/>
    <col min="3462" max="3462" width="15.5546875" bestFit="1" customWidth="1"/>
    <col min="3463" max="3463" width="16.5546875" bestFit="1" customWidth="1"/>
    <col min="3464" max="3464" width="32.44140625" bestFit="1" customWidth="1"/>
    <col min="3465" max="3465" width="34.5546875" bestFit="1" customWidth="1"/>
    <col min="3466" max="3466" width="7.109375" bestFit="1" customWidth="1"/>
    <col min="3467" max="3467" width="7" bestFit="1" customWidth="1"/>
    <col min="3468" max="3468" width="22.88671875" bestFit="1" customWidth="1"/>
    <col min="3469" max="3469" width="9.5546875" bestFit="1" customWidth="1"/>
    <col min="3470" max="3470" width="28.6640625" bestFit="1" customWidth="1"/>
    <col min="3471" max="3471" width="34.5546875" bestFit="1" customWidth="1"/>
    <col min="3472" max="3472" width="6.6640625" bestFit="1" customWidth="1"/>
    <col min="3473" max="3473" width="20.5546875" bestFit="1" customWidth="1"/>
    <col min="3474" max="3474" width="9.5546875" bestFit="1" customWidth="1"/>
    <col min="3475" max="3475" width="34.5546875" bestFit="1" customWidth="1"/>
    <col min="3476" max="3476" width="19.109375" bestFit="1" customWidth="1"/>
    <col min="3477" max="3477" width="15.5546875" bestFit="1" customWidth="1"/>
    <col min="3478" max="3478" width="16.5546875" bestFit="1" customWidth="1"/>
    <col min="3479" max="3479" width="24.5546875" bestFit="1" customWidth="1"/>
    <col min="3480" max="3480" width="9.5546875" bestFit="1" customWidth="1"/>
    <col min="3481" max="3481" width="62.5546875" bestFit="1" customWidth="1"/>
    <col min="3482" max="3482" width="7.5546875" bestFit="1" customWidth="1"/>
    <col min="3483" max="3483" width="16" bestFit="1" customWidth="1"/>
    <col min="3484" max="3484" width="33.88671875" bestFit="1" customWidth="1"/>
    <col min="3485" max="3485" width="9.5546875" bestFit="1" customWidth="1"/>
    <col min="3486" max="3486" width="15.5546875" bestFit="1" customWidth="1"/>
    <col min="3487" max="3487" width="16.5546875" bestFit="1" customWidth="1"/>
    <col min="3488" max="3488" width="24.5546875" bestFit="1" customWidth="1"/>
    <col min="3489" max="3489" width="9.5546875" bestFit="1" customWidth="1"/>
    <col min="3490" max="3490" width="7.109375" bestFit="1" customWidth="1"/>
    <col min="3491" max="3491" width="6.6640625" bestFit="1" customWidth="1"/>
    <col min="3492" max="3492" width="10" bestFit="1" customWidth="1"/>
    <col min="3493" max="3493" width="9.5546875" bestFit="1" customWidth="1"/>
    <col min="3494" max="3494" width="30.88671875" bestFit="1" customWidth="1"/>
    <col min="3495" max="3495" width="19.109375" bestFit="1" customWidth="1"/>
    <col min="3496" max="3496" width="15.5546875" bestFit="1" customWidth="1"/>
    <col min="3497" max="3497" width="16.5546875" bestFit="1" customWidth="1"/>
    <col min="3498" max="3498" width="33.44140625" bestFit="1" customWidth="1"/>
    <col min="3499" max="3499" width="9.5546875" bestFit="1" customWidth="1"/>
    <col min="3500" max="3500" width="14.6640625" bestFit="1" customWidth="1"/>
    <col min="3501" max="3501" width="7.5546875" bestFit="1" customWidth="1"/>
    <col min="3502" max="3502" width="16" bestFit="1" customWidth="1"/>
    <col min="3503" max="3503" width="33.88671875" bestFit="1" customWidth="1"/>
    <col min="3504" max="3504" width="9.5546875" bestFit="1" customWidth="1"/>
    <col min="3505" max="3505" width="6.6640625" bestFit="1" customWidth="1"/>
    <col min="3506" max="3506" width="33.88671875" bestFit="1" customWidth="1"/>
    <col min="3507" max="3508" width="9.5546875" bestFit="1" customWidth="1"/>
    <col min="3509" max="3509" width="34.5546875" bestFit="1" customWidth="1"/>
    <col min="3510" max="3510" width="19.109375" bestFit="1" customWidth="1"/>
    <col min="3511" max="3511" width="15.5546875" bestFit="1" customWidth="1"/>
    <col min="3512" max="3512" width="16.5546875" bestFit="1" customWidth="1"/>
    <col min="3513" max="3513" width="24.5546875" bestFit="1" customWidth="1"/>
    <col min="3514" max="3514" width="9.5546875" bestFit="1" customWidth="1"/>
    <col min="3515" max="3515" width="7.33203125" bestFit="1" customWidth="1"/>
    <col min="3516" max="3516" width="7.109375" bestFit="1" customWidth="1"/>
    <col min="3517" max="3517" width="33.44140625" bestFit="1" customWidth="1"/>
    <col min="3518" max="3518" width="34.5546875" bestFit="1" customWidth="1"/>
    <col min="3519" max="3519" width="30.88671875" bestFit="1" customWidth="1"/>
    <col min="3520" max="3520" width="19.109375" bestFit="1" customWidth="1"/>
    <col min="3521" max="3521" width="15.5546875" bestFit="1" customWidth="1"/>
    <col min="3522" max="3522" width="16.5546875" bestFit="1" customWidth="1"/>
    <col min="3523" max="3523" width="33.44140625" bestFit="1" customWidth="1"/>
    <col min="3524" max="3524" width="9.5546875" bestFit="1" customWidth="1"/>
    <col min="3525" max="3525" width="7.33203125" bestFit="1" customWidth="1"/>
    <col min="3526" max="3526" width="6.6640625" bestFit="1" customWidth="1"/>
    <col min="3527" max="3527" width="24.109375" bestFit="1" customWidth="1"/>
    <col min="3528" max="3528" width="9.5546875" bestFit="1" customWidth="1"/>
    <col min="3529" max="3529" width="10.6640625" bestFit="1" customWidth="1"/>
    <col min="3530" max="3530" width="6.44140625" bestFit="1" customWidth="1"/>
    <col min="3531" max="3531" width="14.6640625" bestFit="1" customWidth="1"/>
    <col min="3532" max="3532" width="7.5546875" bestFit="1" customWidth="1"/>
    <col min="3533" max="3533" width="16" bestFit="1" customWidth="1"/>
    <col min="3534" max="3534" width="33.88671875" bestFit="1" customWidth="1"/>
    <col min="3535" max="3535" width="9.5546875" bestFit="1" customWidth="1"/>
    <col min="3536" max="3536" width="7.5546875" bestFit="1" customWidth="1"/>
    <col min="3537" max="3537" width="16" bestFit="1" customWidth="1"/>
    <col min="3538" max="3538" width="11.44140625" bestFit="1" customWidth="1"/>
    <col min="3539" max="3539" width="20" bestFit="1" customWidth="1"/>
    <col min="3540" max="3540" width="10" bestFit="1" customWidth="1"/>
    <col min="3541" max="3541" width="9.5546875" bestFit="1" customWidth="1"/>
    <col min="3542" max="3542" width="6.6640625" bestFit="1" customWidth="1"/>
    <col min="3543" max="3543" width="33.88671875" bestFit="1" customWidth="1"/>
    <col min="3544" max="3544" width="9.5546875" bestFit="1" customWidth="1"/>
    <col min="3545" max="3545" width="34.5546875" bestFit="1" customWidth="1"/>
    <col min="3546" max="3547" width="9.5546875" bestFit="1" customWidth="1"/>
    <col min="3548" max="3548" width="29.44140625" bestFit="1" customWidth="1"/>
    <col min="3549" max="3549" width="19.109375" bestFit="1" customWidth="1"/>
    <col min="3550" max="3550" width="15.5546875" bestFit="1" customWidth="1"/>
    <col min="3551" max="3551" width="16.5546875" bestFit="1" customWidth="1"/>
    <col min="3552" max="3552" width="24.5546875" bestFit="1" customWidth="1"/>
    <col min="3553" max="3553" width="9.5546875" bestFit="1" customWidth="1"/>
    <col min="3554" max="3554" width="7.33203125" bestFit="1" customWidth="1"/>
    <col min="3555" max="3555" width="6.6640625" bestFit="1" customWidth="1"/>
    <col min="3556" max="3556" width="33.88671875" bestFit="1" customWidth="1"/>
    <col min="3557" max="3557" width="9.5546875" bestFit="1" customWidth="1"/>
    <col min="3558" max="3558" width="39" bestFit="1" customWidth="1"/>
    <col min="3559" max="3559" width="19.109375" bestFit="1" customWidth="1"/>
    <col min="3560" max="3560" width="15.5546875" bestFit="1" customWidth="1"/>
    <col min="3561" max="3561" width="16.5546875" bestFit="1" customWidth="1"/>
    <col min="3562" max="3562" width="33.88671875" bestFit="1" customWidth="1"/>
    <col min="3563" max="3563" width="9.5546875" bestFit="1" customWidth="1"/>
    <col min="3564" max="3564" width="7.109375" bestFit="1" customWidth="1"/>
    <col min="3565" max="3565" width="6.6640625" bestFit="1" customWidth="1"/>
    <col min="3566" max="3566" width="10" bestFit="1" customWidth="1"/>
    <col min="3567" max="3568" width="9.5546875" bestFit="1" customWidth="1"/>
    <col min="3569" max="3569" width="24.88671875" bestFit="1" customWidth="1"/>
    <col min="3570" max="3570" width="19.109375" bestFit="1" customWidth="1"/>
    <col min="3571" max="3571" width="15.5546875" bestFit="1" customWidth="1"/>
    <col min="3572" max="3572" width="16.5546875" bestFit="1" customWidth="1"/>
    <col min="3573" max="3573" width="27.44140625" bestFit="1" customWidth="1"/>
    <col min="3574" max="3574" width="9.5546875" bestFit="1" customWidth="1"/>
    <col min="3575" max="3575" width="7.33203125" bestFit="1" customWidth="1"/>
    <col min="3576" max="3576" width="7" bestFit="1" customWidth="1"/>
    <col min="3577" max="3577" width="35.6640625" bestFit="1" customWidth="1"/>
    <col min="3578" max="3578" width="34.5546875" bestFit="1" customWidth="1"/>
    <col min="3579" max="3579" width="9.5546875" bestFit="1" customWidth="1"/>
    <col min="3580" max="3580" width="7.33203125" bestFit="1" customWidth="1"/>
    <col min="3581" max="3581" width="7" bestFit="1" customWidth="1"/>
    <col min="3582" max="3582" width="34.44140625" bestFit="1" customWidth="1"/>
    <col min="3583" max="3583" width="9.5546875" bestFit="1" customWidth="1"/>
    <col min="3584" max="3584" width="34.5546875" bestFit="1" customWidth="1"/>
    <col min="3585" max="3585" width="21.88671875" bestFit="1" customWidth="1"/>
    <col min="3586" max="3586" width="35.33203125" bestFit="1" customWidth="1"/>
    <col min="3587" max="3587" width="19.109375" bestFit="1" customWidth="1"/>
    <col min="3588" max="3588" width="15.5546875" bestFit="1" customWidth="1"/>
    <col min="3589" max="3589" width="16.5546875" bestFit="1" customWidth="1"/>
    <col min="3590" max="3590" width="35.6640625" bestFit="1" customWidth="1"/>
    <col min="3591" max="3591" width="34.5546875" bestFit="1" customWidth="1"/>
    <col min="3592" max="3592" width="7.33203125" bestFit="1" customWidth="1"/>
    <col min="3593" max="3593" width="7" bestFit="1" customWidth="1"/>
    <col min="3594" max="3594" width="34.44140625" bestFit="1" customWidth="1"/>
    <col min="3595" max="3595" width="9.5546875" bestFit="1" customWidth="1"/>
    <col min="3596" max="3596" width="10" bestFit="1" customWidth="1"/>
    <col min="3597" max="3597" width="9.5546875" bestFit="1" customWidth="1"/>
    <col min="3598" max="3598" width="10.6640625" bestFit="1" customWidth="1"/>
    <col min="3599" max="3599" width="6.44140625" bestFit="1" customWidth="1"/>
    <col min="3600" max="3600" width="14.6640625" bestFit="1" customWidth="1"/>
    <col min="3601" max="3601" width="7.5546875" bestFit="1" customWidth="1"/>
    <col min="3602" max="3602" width="16" bestFit="1" customWidth="1"/>
    <col min="3603" max="3603" width="10" bestFit="1" customWidth="1"/>
    <col min="3604" max="3604" width="9.5546875" bestFit="1" customWidth="1"/>
    <col min="3605" max="3605" width="10" bestFit="1" customWidth="1"/>
    <col min="3606" max="3606" width="9.5546875" bestFit="1" customWidth="1"/>
    <col min="3607" max="3607" width="19.109375" bestFit="1" customWidth="1"/>
    <col min="3608" max="3608" width="15.5546875" bestFit="1" customWidth="1"/>
    <col min="3609" max="3609" width="16.5546875" bestFit="1" customWidth="1"/>
    <col min="3610" max="3610" width="10" bestFit="1" customWidth="1"/>
    <col min="3611" max="3611" width="9.5546875" bestFit="1" customWidth="1"/>
    <col min="3612" max="3612" width="7.33203125" bestFit="1" customWidth="1"/>
    <col min="3613" max="3613" width="7" bestFit="1" customWidth="1"/>
    <col min="3614" max="3614" width="34.44140625" bestFit="1" customWidth="1"/>
    <col min="3615" max="3615" width="9.5546875" bestFit="1" customWidth="1"/>
    <col min="3616" max="3616" width="34.5546875" bestFit="1" customWidth="1"/>
    <col min="3617" max="3617" width="19.109375" bestFit="1" customWidth="1"/>
    <col min="3618" max="3618" width="15.5546875" bestFit="1" customWidth="1"/>
    <col min="3619" max="3619" width="16.5546875" bestFit="1" customWidth="1"/>
    <col min="3620" max="3620" width="23.5546875" bestFit="1" customWidth="1"/>
    <col min="3621" max="3621" width="9.5546875" bestFit="1" customWidth="1"/>
    <col min="3622" max="3622" width="14.6640625" bestFit="1" customWidth="1"/>
    <col min="3623" max="3623" width="7.5546875" bestFit="1" customWidth="1"/>
    <col min="3624" max="3624" width="16" bestFit="1" customWidth="1"/>
    <col min="3625" max="3625" width="31.6640625" customWidth="1"/>
    <col min="3626" max="3627" width="9.5546875" bestFit="1" customWidth="1"/>
    <col min="3628" max="3628" width="6.6640625" bestFit="1" customWidth="1"/>
    <col min="3629" max="3629" width="31.6640625" bestFit="1" customWidth="1"/>
    <col min="3630" max="3630" width="21.88671875" bestFit="1" customWidth="1"/>
    <col min="3631" max="3631" width="6.44140625" bestFit="1" customWidth="1"/>
    <col min="3632" max="3632" width="81.109375" bestFit="1" customWidth="1"/>
    <col min="3633" max="3633" width="7.5546875" bestFit="1" customWidth="1"/>
    <col min="3634" max="3634" width="16" bestFit="1" customWidth="1"/>
    <col min="3635" max="3635" width="31.6640625" bestFit="1" customWidth="1"/>
    <col min="3636" max="3636" width="9.5546875" bestFit="1" customWidth="1"/>
    <col min="3637" max="3637" width="6.6640625" bestFit="1" customWidth="1"/>
    <col min="3638" max="3638" width="31.6640625" bestFit="1" customWidth="1"/>
    <col min="3639" max="3639" width="21.88671875" bestFit="1" customWidth="1"/>
    <col min="3640" max="3640" width="9.5546875" bestFit="1" customWidth="1"/>
    <col min="3641" max="3641" width="23.109375" bestFit="1" customWidth="1"/>
    <col min="3642" max="3642" width="19.109375" bestFit="1" customWidth="1"/>
    <col min="3643" max="3643" width="15.5546875" bestFit="1" customWidth="1"/>
    <col min="3644" max="3644" width="16.5546875" bestFit="1" customWidth="1"/>
    <col min="3645" max="3645" width="21.6640625" bestFit="1" customWidth="1"/>
    <col min="3646" max="3646" width="21.88671875" bestFit="1" customWidth="1"/>
    <col min="3647" max="3647" width="10" bestFit="1" customWidth="1"/>
    <col min="3648" max="3648" width="9.5546875" bestFit="1" customWidth="1"/>
    <col min="3649" max="3649" width="7" bestFit="1" customWidth="1"/>
    <col min="3650" max="3650" width="34.44140625" bestFit="1" customWidth="1"/>
    <col min="3651" max="3651" width="34.5546875" bestFit="1" customWidth="1"/>
    <col min="3652" max="3652" width="10" bestFit="1" customWidth="1"/>
    <col min="3653" max="3653" width="9.5546875" bestFit="1" customWidth="1"/>
    <col min="3654" max="3654" width="6.44140625" bestFit="1" customWidth="1"/>
    <col min="3655" max="3655" width="14.6640625" bestFit="1" customWidth="1"/>
    <col min="3656" max="3656" width="7.5546875" bestFit="1" customWidth="1"/>
    <col min="3657" max="3657" width="16" bestFit="1" customWidth="1"/>
    <col min="3658" max="3658" width="10" bestFit="1" customWidth="1"/>
    <col min="3659" max="3659" width="9.5546875" bestFit="1" customWidth="1"/>
    <col min="3660" max="3660" width="12.6640625" bestFit="1" customWidth="1"/>
    <col min="3661" max="3661" width="10" bestFit="1" customWidth="1"/>
    <col min="3662" max="3662" width="9.5546875" bestFit="1" customWidth="1"/>
    <col min="3663" max="3663" width="7" bestFit="1" customWidth="1"/>
    <col min="3664" max="3664" width="34.44140625" bestFit="1" customWidth="1"/>
    <col min="3665" max="3666" width="34.5546875" bestFit="1" customWidth="1"/>
    <col min="3667" max="3667" width="39" bestFit="1" customWidth="1"/>
    <col min="3668" max="3668" width="19.109375" bestFit="1" customWidth="1"/>
    <col min="3669" max="3669" width="15.5546875" bestFit="1" customWidth="1"/>
    <col min="3670" max="3670" width="16.5546875" bestFit="1" customWidth="1"/>
    <col min="3671" max="3671" width="31.6640625" bestFit="1" customWidth="1"/>
    <col min="3672" max="3672" width="9.5546875" bestFit="1" customWidth="1"/>
    <col min="3673" max="3673" width="7.33203125" bestFit="1" customWidth="1"/>
    <col min="3674" max="3674" width="7" bestFit="1" customWidth="1"/>
    <col min="3675" max="3675" width="34.44140625" bestFit="1" customWidth="1"/>
    <col min="3676" max="3677" width="34.5546875" bestFit="1" customWidth="1"/>
    <col min="3678" max="3678" width="19.109375" bestFit="1" customWidth="1"/>
    <col min="3679" max="3679" width="15.5546875" bestFit="1" customWidth="1"/>
    <col min="3680" max="3680" width="16.5546875" bestFit="1" customWidth="1"/>
    <col min="3681" max="3681" width="10" bestFit="1" customWidth="1"/>
    <col min="3682" max="3682" width="9.5546875" bestFit="1" customWidth="1"/>
    <col min="3683" max="3683" width="7.109375" bestFit="1" customWidth="1"/>
    <col min="3684" max="3684" width="6.6640625" bestFit="1" customWidth="1"/>
    <col min="3685" max="3685" width="33.88671875" bestFit="1" customWidth="1"/>
    <col min="3686" max="3686" width="9.5546875" bestFit="1" customWidth="1"/>
    <col min="3687" max="3687" width="32.109375" bestFit="1" customWidth="1"/>
    <col min="3688" max="3688" width="19.109375" bestFit="1" customWidth="1"/>
    <col min="3689" max="3689" width="15.5546875" bestFit="1" customWidth="1"/>
    <col min="3690" max="3690" width="16.5546875" bestFit="1" customWidth="1"/>
    <col min="3691" max="3691" width="24.5546875" bestFit="1" customWidth="1"/>
    <col min="3692" max="3692" width="9.5546875" bestFit="1" customWidth="1"/>
    <col min="3693" max="3693" width="7.33203125" bestFit="1" customWidth="1"/>
    <col min="3694" max="3694" width="7.44140625" bestFit="1" customWidth="1"/>
    <col min="3695" max="3695" width="33.44140625" bestFit="1" customWidth="1"/>
    <col min="3696" max="3697" width="34.5546875" bestFit="1" customWidth="1"/>
    <col min="3698" max="3698" width="24.88671875" bestFit="1" customWidth="1"/>
    <col min="3699" max="3699" width="19.109375" bestFit="1" customWidth="1"/>
    <col min="3700" max="3700" width="15.5546875" bestFit="1" customWidth="1"/>
    <col min="3701" max="3701" width="16.5546875" bestFit="1" customWidth="1"/>
    <col min="3702" max="3702" width="28" bestFit="1" customWidth="1"/>
    <col min="3703" max="3703" width="9.5546875" bestFit="1" customWidth="1"/>
    <col min="3704" max="3704" width="7.33203125" bestFit="1" customWidth="1"/>
    <col min="3705" max="3705" width="7.44140625" bestFit="1" customWidth="1"/>
    <col min="3706" max="3706" width="33.44140625" bestFit="1" customWidth="1"/>
    <col min="3707" max="3707" width="34.5546875" bestFit="1" customWidth="1"/>
    <col min="3708" max="3708" width="33.44140625" bestFit="1" customWidth="1"/>
    <col min="3709" max="3709" width="19.109375" bestFit="1" customWidth="1"/>
    <col min="3710" max="3710" width="15.5546875" bestFit="1" customWidth="1"/>
    <col min="3711" max="3711" width="16.5546875" bestFit="1" customWidth="1"/>
    <col min="3712" max="3712" width="29.6640625" bestFit="1" customWidth="1"/>
    <col min="3713" max="3713" width="9.5546875" bestFit="1" customWidth="1"/>
    <col min="3714" max="3714" width="7.33203125" bestFit="1" customWidth="1"/>
    <col min="3715" max="3715" width="6.6640625" bestFit="1" customWidth="1"/>
    <col min="3716" max="3716" width="33.88671875" bestFit="1" customWidth="1"/>
    <col min="3717" max="3718" width="9.5546875" bestFit="1" customWidth="1"/>
    <col min="3719" max="3719" width="34.5546875" bestFit="1" customWidth="1"/>
    <col min="3720" max="3720" width="33.44140625" bestFit="1" customWidth="1"/>
    <col min="3721" max="3721" width="19.109375" bestFit="1" customWidth="1"/>
    <col min="3722" max="3722" width="15.5546875" bestFit="1" customWidth="1"/>
    <col min="3723" max="3723" width="16.5546875" bestFit="1" customWidth="1"/>
    <col min="3724" max="3724" width="32.44140625" bestFit="1" customWidth="1"/>
    <col min="3725" max="3725" width="34.5546875" bestFit="1" customWidth="1"/>
    <col min="3726" max="3726" width="7.109375" bestFit="1" customWidth="1"/>
    <col min="3727" max="3727" width="6.6640625" bestFit="1" customWidth="1"/>
    <col min="3728" max="3728" width="10" bestFit="1" customWidth="1"/>
    <col min="3729" max="3729" width="9.5546875" bestFit="1" customWidth="1"/>
    <col min="3730" max="3730" width="35.33203125" bestFit="1" customWidth="1"/>
    <col min="3731" max="3731" width="19.109375" bestFit="1" customWidth="1"/>
    <col min="3732" max="3732" width="15.5546875" bestFit="1" customWidth="1"/>
    <col min="3733" max="3733" width="16.5546875" bestFit="1" customWidth="1"/>
    <col min="3734" max="3734" width="10" bestFit="1" customWidth="1"/>
    <col min="3735" max="3735" width="9.5546875" bestFit="1" customWidth="1"/>
    <col min="3736" max="3736" width="7.109375" bestFit="1" customWidth="1"/>
    <col min="3737" max="3737" width="6.6640625" bestFit="1" customWidth="1"/>
    <col min="3738" max="3738" width="33.88671875" bestFit="1" customWidth="1"/>
    <col min="3739" max="3739" width="21.88671875" bestFit="1" customWidth="1"/>
    <col min="3740" max="3740" width="32.33203125" bestFit="1" customWidth="1"/>
    <col min="3741" max="3741" width="19.109375" bestFit="1" customWidth="1"/>
    <col min="3742" max="3742" width="15.5546875" bestFit="1" customWidth="1"/>
    <col min="3743" max="3743" width="16.5546875" bestFit="1" customWidth="1"/>
    <col min="3744" max="3744" width="31.6640625" bestFit="1" customWidth="1"/>
    <col min="3745" max="3745" width="9.5546875" bestFit="1" customWidth="1"/>
    <col min="3746" max="3746" width="7.109375" bestFit="1" customWidth="1"/>
    <col min="3747" max="3747" width="6.6640625" bestFit="1" customWidth="1"/>
    <col min="3748" max="3748" width="31.6640625" bestFit="1" customWidth="1"/>
    <col min="3749" max="3749" width="9.5546875" bestFit="1" customWidth="1"/>
    <col min="3750" max="3750" width="26.109375" bestFit="1" customWidth="1"/>
    <col min="3751" max="3751" width="33.44140625" bestFit="1" customWidth="1"/>
    <col min="3752" max="3752" width="19.109375" bestFit="1" customWidth="1"/>
    <col min="3753" max="3753" width="15.5546875" bestFit="1" customWidth="1"/>
    <col min="3754" max="3754" width="16.5546875" bestFit="1" customWidth="1"/>
    <col min="3755" max="3755" width="29.6640625" bestFit="1" customWidth="1"/>
    <col min="3756" max="3756" width="9.5546875" bestFit="1" customWidth="1"/>
    <col min="3757" max="3757" width="7.109375" bestFit="1" customWidth="1"/>
    <col min="3758" max="3758" width="6.6640625" bestFit="1" customWidth="1"/>
    <col min="3759" max="3759" width="10" bestFit="1" customWidth="1"/>
    <col min="3760" max="3760" width="9.5546875" bestFit="1" customWidth="1"/>
    <col min="3761" max="3761" width="10.6640625" bestFit="1" customWidth="1"/>
    <col min="3762" max="3762" width="6.44140625" bestFit="1" customWidth="1"/>
    <col min="3763" max="3763" width="14.6640625" bestFit="1" customWidth="1"/>
    <col min="3764" max="3764" width="7.5546875" bestFit="1" customWidth="1"/>
    <col min="3765" max="3765" width="16" bestFit="1" customWidth="1"/>
    <col min="3766" max="3766" width="10" bestFit="1" customWidth="1"/>
    <col min="3767" max="3767" width="9.5546875" bestFit="1" customWidth="1"/>
    <col min="3768" max="3768" width="26.109375" bestFit="1" customWidth="1"/>
    <col min="3769" max="3769" width="33.44140625" bestFit="1" customWidth="1"/>
    <col min="3770" max="3770" width="19.109375" bestFit="1" customWidth="1"/>
    <col min="3771" max="3771" width="15.5546875" bestFit="1" customWidth="1"/>
    <col min="3772" max="3772" width="16.5546875" bestFit="1" customWidth="1"/>
    <col min="3773" max="3773" width="29.6640625" bestFit="1" customWidth="1"/>
    <col min="3774" max="3774" width="9.5546875" bestFit="1" customWidth="1"/>
    <col min="3775" max="3775" width="7.109375" bestFit="1" customWidth="1"/>
    <col min="3776" max="3776" width="7" bestFit="1" customWidth="1"/>
    <col min="3777" max="3777" width="28.6640625" bestFit="1" customWidth="1"/>
    <col min="3778" max="3779" width="34.5546875" bestFit="1" customWidth="1"/>
    <col min="3780" max="3780" width="32.88671875" bestFit="1" customWidth="1"/>
    <col min="3781" max="3781" width="26.109375" bestFit="1" customWidth="1"/>
    <col min="3782" max="3782" width="7" bestFit="1" customWidth="1"/>
    <col min="3783" max="3783" width="28.6640625" bestFit="1" customWidth="1"/>
    <col min="3784" max="3785" width="34.5546875" bestFit="1" customWidth="1"/>
    <col min="3786" max="3786" width="10.6640625" bestFit="1" customWidth="1"/>
    <col min="3787" max="3787" width="6.44140625" bestFit="1" customWidth="1"/>
    <col min="3788" max="3788" width="14.6640625" bestFit="1" customWidth="1"/>
    <col min="3789" max="3789" width="7.5546875" bestFit="1" customWidth="1"/>
    <col min="3790" max="3790" width="16" bestFit="1" customWidth="1"/>
    <col min="3791" max="3791" width="10" bestFit="1" customWidth="1"/>
    <col min="3792" max="3792" width="9.5546875" bestFit="1" customWidth="1"/>
    <col min="3793" max="3793" width="7.33203125" bestFit="1" customWidth="1"/>
    <col min="3794" max="3794" width="7" bestFit="1" customWidth="1"/>
    <col min="3795" max="3795" width="34.44140625" bestFit="1" customWidth="1"/>
    <col min="3796" max="3796" width="34.5546875" bestFit="1" customWidth="1"/>
    <col min="3797" max="3797" width="12.6640625" bestFit="1" customWidth="1"/>
    <col min="3798" max="3798" width="19.109375" bestFit="1" customWidth="1"/>
    <col min="3799" max="3799" width="15.5546875" bestFit="1" customWidth="1"/>
    <col min="3800" max="3800" width="16.5546875" bestFit="1" customWidth="1"/>
    <col min="3801" max="3801" width="10" bestFit="1" customWidth="1"/>
    <col min="3802" max="3802" width="9.5546875" bestFit="1" customWidth="1"/>
    <col min="3803" max="3803" width="7.33203125" bestFit="1" customWidth="1"/>
    <col min="3804" max="3804" width="7.44140625" bestFit="1" customWidth="1"/>
    <col min="3805" max="3805" width="32.44140625" bestFit="1" customWidth="1"/>
    <col min="3806" max="3807" width="34.5546875" bestFit="1" customWidth="1"/>
    <col min="3808" max="3808" width="19.109375" bestFit="1" customWidth="1"/>
    <col min="3809" max="3809" width="15.5546875" bestFit="1" customWidth="1"/>
    <col min="3810" max="3810" width="16.5546875" bestFit="1" customWidth="1"/>
    <col min="3811" max="3811" width="31" bestFit="1" customWidth="1"/>
    <col min="3812" max="3812" width="9.5546875" bestFit="1" customWidth="1"/>
    <col min="3813" max="3813" width="7.33203125" bestFit="1" customWidth="1"/>
    <col min="3814" max="3814" width="7" bestFit="1" customWidth="1"/>
    <col min="3815" max="3815" width="34.44140625" bestFit="1" customWidth="1"/>
    <col min="3816" max="3816" width="34.5546875" bestFit="1" customWidth="1"/>
    <col min="3817" max="3817" width="27.44140625" bestFit="1" customWidth="1"/>
    <col min="3818" max="3818" width="19.109375" bestFit="1" customWidth="1"/>
    <col min="3819" max="3819" width="15.5546875" bestFit="1" customWidth="1"/>
    <col min="3820" max="3820" width="16.5546875" bestFit="1" customWidth="1"/>
    <col min="3821" max="3821" width="22.88671875" bestFit="1" customWidth="1"/>
    <col min="3822" max="3822" width="9.5546875" bestFit="1" customWidth="1"/>
    <col min="3823" max="3823" width="7.33203125" bestFit="1" customWidth="1"/>
    <col min="3824" max="3824" width="6.6640625" bestFit="1" customWidth="1"/>
    <col min="3825" max="3825" width="32" bestFit="1" customWidth="1"/>
    <col min="3826" max="3826" width="9.5546875" bestFit="1" customWidth="1"/>
    <col min="3827" max="3827" width="33.44140625" bestFit="1" customWidth="1"/>
    <col min="3828" max="3828" width="19.109375" bestFit="1" customWidth="1"/>
    <col min="3829" max="3829" width="15.5546875" bestFit="1" customWidth="1"/>
    <col min="3830" max="3830" width="16.5546875" bestFit="1" customWidth="1"/>
    <col min="3831" max="3831" width="31" bestFit="1" customWidth="1"/>
    <col min="3832" max="3833" width="9.5546875" bestFit="1" customWidth="1"/>
    <col min="3834" max="3834" width="7" bestFit="1" customWidth="1"/>
    <col min="3835" max="3835" width="34.44140625" bestFit="1" customWidth="1"/>
    <col min="3836" max="3836" width="34.5546875" bestFit="1" customWidth="1"/>
    <col min="3837" max="3837" width="27.44140625" bestFit="1" customWidth="1"/>
    <col min="3838" max="3838" width="19.109375" bestFit="1" customWidth="1"/>
    <col min="3839" max="3839" width="15.5546875" bestFit="1" customWidth="1"/>
    <col min="3840" max="3840" width="16.5546875" bestFit="1" customWidth="1"/>
    <col min="3841" max="3841" width="28.6640625" bestFit="1" customWidth="1"/>
    <col min="3842" max="3842" width="34.5546875" bestFit="1" customWidth="1"/>
    <col min="3843" max="3843" width="7.33203125" bestFit="1" customWidth="1"/>
    <col min="3844" max="3844" width="7.44140625" bestFit="1" customWidth="1"/>
    <col min="3845" max="3845" width="32.44140625" bestFit="1" customWidth="1"/>
    <col min="3846" max="3846" width="34.5546875" bestFit="1" customWidth="1"/>
    <col min="3847" max="3847" width="27.44140625" bestFit="1" customWidth="1"/>
    <col min="3848" max="3848" width="19.109375" bestFit="1" customWidth="1"/>
    <col min="3849" max="3849" width="15.5546875" bestFit="1" customWidth="1"/>
    <col min="3850" max="3850" width="16.5546875" bestFit="1" customWidth="1"/>
    <col min="3851" max="3851" width="22.88671875" bestFit="1" customWidth="1"/>
    <col min="3852" max="3852" width="9.5546875" bestFit="1" customWidth="1"/>
    <col min="3853" max="3853" width="7.33203125" bestFit="1" customWidth="1"/>
    <col min="3854" max="3854" width="6.6640625" bestFit="1" customWidth="1"/>
    <col min="3855" max="3855" width="32" bestFit="1" customWidth="1"/>
    <col min="3856" max="3856" width="9.5546875" bestFit="1" customWidth="1"/>
    <col min="3857" max="3857" width="29.44140625" bestFit="1" customWidth="1"/>
    <col min="3858" max="3858" width="19.109375" bestFit="1" customWidth="1"/>
    <col min="3859" max="3859" width="15.5546875" bestFit="1" customWidth="1"/>
    <col min="3860" max="3860" width="16.5546875" bestFit="1" customWidth="1"/>
    <col min="3861" max="3861" width="31" bestFit="1" customWidth="1"/>
    <col min="3862" max="3862" width="9.5546875" bestFit="1" customWidth="1"/>
    <col min="3863" max="3863" width="7.33203125" bestFit="1" customWidth="1"/>
    <col min="3864" max="3864" width="7" bestFit="1" customWidth="1"/>
    <col min="3865" max="3865" width="34.44140625" bestFit="1" customWidth="1"/>
    <col min="3866" max="3868" width="34.5546875" bestFit="1" customWidth="1"/>
    <col min="3869" max="3869" width="27.44140625" bestFit="1" customWidth="1"/>
    <col min="3870" max="3870" width="19.109375" bestFit="1" customWidth="1"/>
    <col min="3871" max="3871" width="15.5546875" bestFit="1" customWidth="1"/>
    <col min="3872" max="3872" width="16.5546875" bestFit="1" customWidth="1"/>
    <col min="3873" max="3873" width="22.88671875" bestFit="1" customWidth="1"/>
    <col min="3874" max="3874" width="9.5546875" bestFit="1" customWidth="1"/>
    <col min="3875" max="3875" width="7.33203125" bestFit="1" customWidth="1"/>
    <col min="3876" max="3876" width="6.6640625" bestFit="1" customWidth="1"/>
    <col min="3877" max="3877" width="32" bestFit="1" customWidth="1"/>
    <col min="3878" max="3878" width="9.5546875" bestFit="1" customWidth="1"/>
    <col min="3879" max="3879" width="29.44140625" bestFit="1" customWidth="1"/>
    <col min="3880" max="3880" width="19.109375" bestFit="1" customWidth="1"/>
    <col min="3881" max="3881" width="15.5546875" bestFit="1" customWidth="1"/>
    <col min="3882" max="3882" width="16.5546875" bestFit="1" customWidth="1"/>
    <col min="3883" max="3883" width="31" bestFit="1" customWidth="1"/>
    <col min="3884" max="3884" width="9.5546875" bestFit="1" customWidth="1"/>
    <col min="3885" max="3885" width="7.33203125" bestFit="1" customWidth="1"/>
    <col min="3886" max="3886" width="7" bestFit="1" customWidth="1"/>
    <col min="3887" max="3887" width="34.44140625" bestFit="1" customWidth="1"/>
    <col min="3888" max="3888" width="34.5546875" bestFit="1" customWidth="1"/>
    <col min="3889" max="3889" width="24" bestFit="1" customWidth="1"/>
    <col min="3890" max="3890" width="19.109375" bestFit="1" customWidth="1"/>
    <col min="3891" max="3891" width="15.5546875" bestFit="1" customWidth="1"/>
    <col min="3892" max="3892" width="16.5546875" bestFit="1" customWidth="1"/>
    <col min="3893" max="3893" width="28.6640625" bestFit="1" customWidth="1"/>
    <col min="3894" max="3894" width="34.5546875" bestFit="1" customWidth="1"/>
    <col min="3895" max="3895" width="14.6640625" bestFit="1" customWidth="1"/>
    <col min="3896" max="3896" width="7.5546875" bestFit="1" customWidth="1"/>
    <col min="3897" max="3897" width="16" bestFit="1" customWidth="1"/>
    <col min="3898" max="3898" width="10" bestFit="1" customWidth="1"/>
    <col min="3899" max="3899" width="9.5546875" bestFit="1" customWidth="1"/>
    <col min="3900" max="3900" width="7.33203125" bestFit="1" customWidth="1"/>
    <col min="3901" max="3901" width="6.6640625" bestFit="1" customWidth="1"/>
    <col min="3902" max="3902" width="32" bestFit="1" customWidth="1"/>
    <col min="3903" max="3903" width="9.5546875" bestFit="1" customWidth="1"/>
    <col min="3904" max="3904" width="29.44140625" bestFit="1" customWidth="1"/>
    <col min="3905" max="3905" width="19.109375" bestFit="1" customWidth="1"/>
    <col min="3906" max="3906" width="15.5546875" bestFit="1" customWidth="1"/>
    <col min="3907" max="3907" width="16.5546875" bestFit="1" customWidth="1"/>
    <col min="3908" max="3908" width="31" bestFit="1" customWidth="1"/>
    <col min="3909" max="3909" width="9.5546875" bestFit="1" customWidth="1"/>
    <col min="3910" max="3910" width="7.33203125" bestFit="1" customWidth="1"/>
    <col min="3911" max="3911" width="6.6640625" bestFit="1" customWidth="1"/>
    <col min="3912" max="3912" width="32" bestFit="1" customWidth="1"/>
    <col min="3913" max="3913" width="9.5546875" bestFit="1" customWidth="1"/>
    <col min="3914" max="3914" width="24" bestFit="1" customWidth="1"/>
    <col min="3915" max="3915" width="19.109375" bestFit="1" customWidth="1"/>
    <col min="3916" max="3916" width="15.5546875" bestFit="1" customWidth="1"/>
    <col min="3917" max="3917" width="16.5546875" bestFit="1" customWidth="1"/>
    <col min="3918" max="3918" width="28.6640625" bestFit="1" customWidth="1"/>
    <col min="3919" max="3919" width="34.5546875" bestFit="1" customWidth="1"/>
    <col min="3920" max="3920" width="7.33203125" bestFit="1" customWidth="1"/>
    <col min="3921" max="3921" width="7.44140625" bestFit="1" customWidth="1"/>
    <col min="3922" max="3922" width="34.44140625" bestFit="1" customWidth="1"/>
    <col min="3923" max="3923" width="34.5546875" bestFit="1" customWidth="1"/>
    <col min="3924" max="3924" width="28.109375" bestFit="1" customWidth="1"/>
    <col min="3925" max="3925" width="19.109375" bestFit="1" customWidth="1"/>
    <col min="3926" max="3926" width="15.5546875" bestFit="1" customWidth="1"/>
    <col min="3927" max="3927" width="16.5546875" bestFit="1" customWidth="1"/>
    <col min="3928" max="3928" width="20.109375" bestFit="1" customWidth="1"/>
    <col min="3929" max="3929" width="9.5546875" bestFit="1" customWidth="1"/>
    <col min="3930" max="3930" width="7.109375" bestFit="1" customWidth="1"/>
    <col min="3931" max="3931" width="6.6640625" bestFit="1" customWidth="1"/>
    <col min="3932" max="3932" width="22.88671875" bestFit="1" customWidth="1"/>
    <col min="3933" max="3933" width="9.5546875" bestFit="1" customWidth="1"/>
    <col min="3934" max="3934" width="32.44140625" bestFit="1" customWidth="1"/>
    <col min="3935" max="3935" width="9.5546875" bestFit="1" customWidth="1"/>
    <col min="3936" max="3936" width="28.109375" bestFit="1" customWidth="1"/>
    <col min="3937" max="3937" width="19.109375" bestFit="1" customWidth="1"/>
    <col min="3938" max="3938" width="15.5546875" bestFit="1" customWidth="1"/>
    <col min="3939" max="3939" width="16.5546875" bestFit="1" customWidth="1"/>
    <col min="3940" max="3940" width="20.109375" bestFit="1" customWidth="1"/>
    <col min="3941" max="3941" width="9.5546875" bestFit="1" customWidth="1"/>
    <col min="3942" max="3942" width="7.109375" bestFit="1" customWidth="1"/>
    <col min="3943" max="3943" width="6.6640625" bestFit="1" customWidth="1"/>
    <col min="3944" max="3944" width="22.88671875" bestFit="1" customWidth="1"/>
    <col min="3945" max="3945" width="9.5546875" bestFit="1" customWidth="1"/>
    <col min="3946" max="3946" width="28.109375" bestFit="1" customWidth="1"/>
    <col min="3947" max="3947" width="19.109375" bestFit="1" customWidth="1"/>
    <col min="3948" max="3948" width="15.5546875" bestFit="1" customWidth="1"/>
    <col min="3949" max="3949" width="16.5546875" bestFit="1" customWidth="1"/>
    <col min="3950" max="3950" width="22.88671875" bestFit="1" customWidth="1"/>
    <col min="3951" max="3951" width="9.5546875" bestFit="1" customWidth="1"/>
    <col min="3952" max="3952" width="7.109375" bestFit="1" customWidth="1"/>
    <col min="3953" max="3953" width="6.6640625" bestFit="1" customWidth="1"/>
    <col min="3954" max="3954" width="22.88671875" bestFit="1" customWidth="1"/>
    <col min="3955" max="3955" width="9.5546875" bestFit="1" customWidth="1"/>
    <col min="3956" max="3956" width="28.109375" bestFit="1" customWidth="1"/>
    <col min="3957" max="3957" width="19.109375" bestFit="1" customWidth="1"/>
    <col min="3958" max="3958" width="15.5546875" bestFit="1" customWidth="1"/>
    <col min="3959" max="3959" width="16.5546875" bestFit="1" customWidth="1"/>
    <col min="3960" max="3960" width="22.88671875" bestFit="1" customWidth="1"/>
    <col min="3961" max="3961" width="9.5546875" bestFit="1" customWidth="1"/>
    <col min="3962" max="3962" width="32.44140625" bestFit="1" customWidth="1"/>
    <col min="3963" max="3963" width="9.5546875" bestFit="1" customWidth="1"/>
    <col min="3964" max="3964" width="6.44140625" bestFit="1" customWidth="1"/>
    <col min="3965" max="3965" width="33.109375" bestFit="1" customWidth="1"/>
    <col min="3966" max="3966" width="7.5546875" bestFit="1" customWidth="1"/>
    <col min="3967" max="3967" width="16" bestFit="1" customWidth="1"/>
    <col min="3968" max="3968" width="31.6640625" bestFit="1" customWidth="1"/>
    <col min="3969" max="3969" width="9.5546875" bestFit="1" customWidth="1"/>
    <col min="3970" max="3970" width="7.109375" bestFit="1" customWidth="1"/>
    <col min="3971" max="3971" width="6.6640625" bestFit="1" customWidth="1"/>
    <col min="3972" max="3972" width="22.88671875" bestFit="1" customWidth="1"/>
    <col min="3973" max="3973" width="9.5546875" bestFit="1" customWidth="1"/>
    <col min="3974" max="3974" width="28.109375" bestFit="1" customWidth="1"/>
    <col min="3975" max="3975" width="19.109375" bestFit="1" customWidth="1"/>
    <col min="3976" max="3976" width="15.5546875" bestFit="1" customWidth="1"/>
    <col min="3977" max="3977" width="16.5546875" bestFit="1" customWidth="1"/>
    <col min="3978" max="3978" width="22.88671875" bestFit="1" customWidth="1"/>
    <col min="3979" max="3979" width="9.5546875" bestFit="1" customWidth="1"/>
    <col min="3980" max="3980" width="7.109375" bestFit="1" customWidth="1"/>
    <col min="3981" max="3981" width="6.6640625" bestFit="1" customWidth="1"/>
    <col min="3982" max="3982" width="22.88671875" bestFit="1" customWidth="1"/>
    <col min="3983" max="3983" width="9.5546875" bestFit="1" customWidth="1"/>
    <col min="3984" max="3984" width="28.109375" bestFit="1" customWidth="1"/>
    <col min="3985" max="3985" width="19.109375" bestFit="1" customWidth="1"/>
    <col min="3986" max="3986" width="15.5546875" bestFit="1" customWidth="1"/>
    <col min="3987" max="3987" width="16.5546875" bestFit="1" customWidth="1"/>
    <col min="3988" max="3988" width="22.88671875" bestFit="1" customWidth="1"/>
    <col min="3989" max="3989" width="9.5546875" bestFit="1" customWidth="1"/>
    <col min="3990" max="3990" width="7.33203125" bestFit="1" customWidth="1"/>
    <col min="3991" max="3991" width="6.6640625" bestFit="1" customWidth="1"/>
    <col min="3992" max="3992" width="29.6640625" bestFit="1" customWidth="1"/>
    <col min="3993" max="3994" width="9.5546875" bestFit="1" customWidth="1"/>
    <col min="3995" max="3995" width="28.109375" bestFit="1" customWidth="1"/>
    <col min="3996" max="3996" width="19.109375" bestFit="1" customWidth="1"/>
    <col min="3997" max="3997" width="15.5546875" bestFit="1" customWidth="1"/>
    <col min="3998" max="3998" width="16.5546875" bestFit="1" customWidth="1"/>
    <col min="3999" max="3999" width="22.88671875" bestFit="1" customWidth="1"/>
    <col min="4000" max="4000" width="9.5546875" bestFit="1" customWidth="1"/>
    <col min="4001" max="4001" width="7.109375" bestFit="1" customWidth="1"/>
    <col min="4002" max="4002" width="6.6640625" bestFit="1" customWidth="1"/>
    <col min="4003" max="4003" width="22.88671875" bestFit="1" customWidth="1"/>
    <col min="4004" max="4004" width="9.5546875" bestFit="1" customWidth="1"/>
    <col min="4005" max="4005" width="28.109375" bestFit="1" customWidth="1"/>
    <col min="4006" max="4006" width="19.109375" bestFit="1" customWidth="1"/>
    <col min="4007" max="4007" width="15.5546875" bestFit="1" customWidth="1"/>
    <col min="4008" max="4008" width="16.5546875" bestFit="1" customWidth="1"/>
    <col min="4009" max="4009" width="22.88671875" bestFit="1" customWidth="1"/>
    <col min="4010" max="4010" width="9.5546875" bestFit="1" customWidth="1"/>
    <col min="4011" max="4011" width="7.109375" bestFit="1" customWidth="1"/>
    <col min="4012" max="4012" width="6.6640625" bestFit="1" customWidth="1"/>
    <col min="4013" max="4013" width="24.109375" bestFit="1" customWidth="1"/>
    <col min="4014" max="4014" width="9.5546875" bestFit="1" customWidth="1"/>
    <col min="4015" max="4015" width="27.44140625" bestFit="1" customWidth="1"/>
    <col min="4016" max="4016" width="19.109375" bestFit="1" customWidth="1"/>
    <col min="4017" max="4017" width="15.5546875" bestFit="1" customWidth="1"/>
    <col min="4018" max="4018" width="16.5546875" bestFit="1" customWidth="1"/>
    <col min="4019" max="4019" width="29.6640625" bestFit="1" customWidth="1"/>
    <col min="4020" max="4020" width="9.5546875" bestFit="1" customWidth="1"/>
    <col min="4021" max="4021" width="7.109375" bestFit="1" customWidth="1"/>
    <col min="4022" max="4022" width="6.6640625" bestFit="1" customWidth="1"/>
    <col min="4023" max="4023" width="24.109375" bestFit="1" customWidth="1"/>
    <col min="4024" max="4024" width="9.5546875" bestFit="1" customWidth="1"/>
    <col min="4025" max="4025" width="10" bestFit="1" customWidth="1"/>
    <col min="4026" max="4026" width="9.5546875" bestFit="1" customWidth="1"/>
    <col min="4027" max="4027" width="7.109375" bestFit="1" customWidth="1"/>
    <col min="4028" max="4028" width="6.6640625" bestFit="1" customWidth="1"/>
    <col min="4029" max="4029" width="10" bestFit="1" customWidth="1"/>
    <col min="4030" max="4030" width="9.5546875" bestFit="1" customWidth="1"/>
    <col min="4031" max="4031" width="10" bestFit="1" customWidth="1"/>
    <col min="4032" max="4032" width="9.5546875" bestFit="1" customWidth="1"/>
    <col min="4033" max="4033" width="6.6640625" bestFit="1" customWidth="1"/>
    <col min="4034" max="4034" width="10" bestFit="1" customWidth="1"/>
    <col min="4035" max="4035" width="9.5546875" bestFit="1" customWidth="1"/>
    <col min="4036" max="4036" width="16" customWidth="1"/>
    <col min="4037" max="4037" width="11.44140625" bestFit="1" customWidth="1"/>
    <col min="4038" max="4038" width="20" bestFit="1" customWidth="1"/>
    <col min="4039" max="4039" width="24.5546875" bestFit="1" customWidth="1"/>
    <col min="4040" max="4040" width="9.5546875" bestFit="1" customWidth="1"/>
    <col min="4041" max="4041" width="34.5546875" bestFit="1" customWidth="1"/>
    <col min="4042" max="4042" width="19.109375" bestFit="1" customWidth="1"/>
    <col min="4043" max="4043" width="15.5546875" bestFit="1" customWidth="1"/>
    <col min="4044" max="4044" width="16.5546875" bestFit="1" customWidth="1"/>
    <col min="4045" max="4045" width="31" bestFit="1" customWidth="1"/>
    <col min="4046" max="4046" width="9.5546875" bestFit="1" customWidth="1"/>
    <col min="4047" max="4047" width="14.6640625" bestFit="1" customWidth="1"/>
    <col min="4048" max="4048" width="7.5546875" bestFit="1" customWidth="1"/>
    <col min="4049" max="4049" width="16" bestFit="1" customWidth="1"/>
    <col min="4050" max="4050" width="10" bestFit="1" customWidth="1"/>
    <col min="4051" max="4051" width="9.5546875" bestFit="1" customWidth="1"/>
    <col min="4052" max="4052" width="6.6640625" bestFit="1" customWidth="1"/>
    <col min="4053" max="4053" width="10" bestFit="1" customWidth="1"/>
    <col min="4054" max="4055" width="9.5546875" bestFit="1" customWidth="1"/>
    <col min="4056" max="4056" width="10.6640625" bestFit="1" customWidth="1"/>
    <col min="4057" max="4057" width="6.44140625" bestFit="1" customWidth="1"/>
    <col min="4058" max="4058" width="14.6640625" bestFit="1" customWidth="1"/>
    <col min="4059" max="4059" width="7.5546875" bestFit="1" customWidth="1"/>
    <col min="4060" max="4060" width="16" bestFit="1" customWidth="1"/>
    <col min="4061" max="4061" width="10" bestFit="1" customWidth="1"/>
    <col min="4062" max="4062" width="9.5546875" bestFit="1" customWidth="1"/>
    <col min="4063" max="4063" width="6.6640625" bestFit="1" customWidth="1"/>
    <col min="4064" max="4064" width="31" bestFit="1" customWidth="1"/>
    <col min="4065" max="4068" width="9.5546875" bestFit="1" customWidth="1"/>
    <col min="4069" max="4069" width="27.44140625" bestFit="1" customWidth="1"/>
    <col min="4070" max="4070" width="19.109375" bestFit="1" customWidth="1"/>
    <col min="4071" max="4071" width="15.5546875" bestFit="1" customWidth="1"/>
    <col min="4072" max="4072" width="16.5546875" bestFit="1" customWidth="1"/>
    <col min="4073" max="4073" width="32.44140625" bestFit="1" customWidth="1"/>
    <col min="4074" max="4074" width="9.5546875" bestFit="1" customWidth="1"/>
    <col min="4075" max="4075" width="14.6640625" bestFit="1" customWidth="1"/>
    <col min="4076" max="4076" width="7.5546875" bestFit="1" customWidth="1"/>
    <col min="4077" max="4077" width="16" bestFit="1" customWidth="1"/>
    <col min="4078" max="4078" width="10" bestFit="1" customWidth="1"/>
    <col min="4079" max="4079" width="9.5546875" bestFit="1" customWidth="1"/>
    <col min="4080" max="4080" width="7.5546875" bestFit="1" customWidth="1"/>
    <col min="4081" max="4081" width="16" bestFit="1" customWidth="1"/>
    <col min="4082" max="4082" width="11.44140625" bestFit="1" customWidth="1"/>
    <col min="4083" max="4083" width="20" bestFit="1" customWidth="1"/>
    <col min="4084" max="4084" width="24.5546875" bestFit="1" customWidth="1"/>
    <col min="4085" max="4085" width="9.5546875" bestFit="1" customWidth="1"/>
    <col min="4086" max="4086" width="6.6640625" bestFit="1" customWidth="1"/>
    <col min="4087" max="4087" width="22" bestFit="1" customWidth="1"/>
    <col min="4088" max="4088" width="9.5546875" bestFit="1" customWidth="1"/>
    <col min="4089" max="4089" width="34.5546875" bestFit="1" customWidth="1"/>
    <col min="4090" max="4090" width="19.109375" bestFit="1" customWidth="1"/>
    <col min="4091" max="4091" width="15.5546875" bestFit="1" customWidth="1"/>
    <col min="4092" max="4092" width="16.5546875" bestFit="1" customWidth="1"/>
    <col min="4093" max="4093" width="31" bestFit="1" customWidth="1"/>
    <col min="4094" max="4094" width="9.5546875" bestFit="1" customWidth="1"/>
    <col min="4095" max="4095" width="7.33203125" bestFit="1" customWidth="1"/>
    <col min="4096" max="4096" width="7" bestFit="1" customWidth="1"/>
    <col min="4097" max="4097" width="34.44140625" bestFit="1" customWidth="1"/>
    <col min="4098" max="4098" width="9.5546875" bestFit="1" customWidth="1"/>
    <col min="4099" max="4099" width="27.44140625" bestFit="1" customWidth="1"/>
    <col min="4100" max="4100" width="19.109375" bestFit="1" customWidth="1"/>
    <col min="4101" max="4101" width="15.5546875" bestFit="1" customWidth="1"/>
    <col min="4102" max="4102" width="16.5546875" bestFit="1" customWidth="1"/>
    <col min="4103" max="4103" width="22.88671875" bestFit="1" customWidth="1"/>
    <col min="4104" max="4104" width="9.5546875" bestFit="1" customWidth="1"/>
    <col min="4105" max="4105" width="7.33203125" bestFit="1" customWidth="1"/>
    <col min="4106" max="4106" width="7" bestFit="1" customWidth="1"/>
    <col min="4107" max="4107" width="34.44140625" bestFit="1" customWidth="1"/>
    <col min="4108" max="4108" width="9.5546875" bestFit="1" customWidth="1"/>
    <col min="4109" max="4109" width="21.6640625" bestFit="1" customWidth="1"/>
    <col min="4110" max="4110" width="19.109375" bestFit="1" customWidth="1"/>
    <col min="4111" max="4111" width="15.5546875" bestFit="1" customWidth="1"/>
    <col min="4112" max="4112" width="16.5546875" bestFit="1" customWidth="1"/>
    <col min="4113" max="4113" width="34.44140625" bestFit="1" customWidth="1"/>
    <col min="4114" max="4114" width="9.5546875" bestFit="1" customWidth="1"/>
    <col min="4115" max="4115" width="7.33203125" bestFit="1" customWidth="1"/>
    <col min="4116" max="4116" width="7.44140625" bestFit="1" customWidth="1"/>
    <col min="4117" max="4117" width="32.44140625" bestFit="1" customWidth="1"/>
    <col min="4118" max="4118" width="34.5546875" bestFit="1" customWidth="1"/>
    <col min="4119" max="4119" width="27.44140625" bestFit="1" customWidth="1"/>
    <col min="4120" max="4120" width="19.109375" bestFit="1" customWidth="1"/>
    <col min="4121" max="4121" width="15.5546875" bestFit="1" customWidth="1"/>
    <col min="4122" max="4122" width="16.5546875" bestFit="1" customWidth="1"/>
    <col min="4123" max="4123" width="22.88671875" bestFit="1" customWidth="1"/>
    <col min="4124" max="4124" width="9.5546875" bestFit="1" customWidth="1"/>
    <col min="4125" max="4125" width="7.109375" bestFit="1" customWidth="1"/>
    <col min="4126" max="4126" width="6.6640625" bestFit="1" customWidth="1"/>
    <col min="4127" max="4127" width="33.88671875" bestFit="1" customWidth="1"/>
    <col min="4128" max="4128" width="9.5546875" bestFit="1" customWidth="1"/>
    <col min="4129" max="4129" width="33.44140625" bestFit="1" customWidth="1"/>
    <col min="4130" max="4130" width="19.109375" bestFit="1" customWidth="1"/>
    <col min="4131" max="4131" width="15.5546875" bestFit="1" customWidth="1"/>
    <col min="4132" max="4132" width="16.5546875" bestFit="1" customWidth="1"/>
    <col min="4133" max="4133" width="31" bestFit="1" customWidth="1"/>
    <col min="4134" max="4134" width="9.5546875" bestFit="1" customWidth="1"/>
    <col min="4135" max="4135" width="7.109375" bestFit="1" customWidth="1"/>
    <col min="4136" max="4136" width="6.6640625" bestFit="1" customWidth="1"/>
    <col min="4137" max="4137" width="21.6640625" bestFit="1" customWidth="1"/>
    <col min="4138" max="4138" width="21.88671875" bestFit="1" customWidth="1"/>
    <col min="4139" max="4139" width="10.6640625" bestFit="1" customWidth="1"/>
    <col min="4140" max="4140" width="6.44140625" bestFit="1" customWidth="1"/>
    <col min="4141" max="4141" width="47" bestFit="1" customWidth="1"/>
    <col min="4142" max="4142" width="7.5546875" bestFit="1" customWidth="1"/>
    <col min="4143" max="4143" width="23" bestFit="1" customWidth="1"/>
    <col min="4144" max="4144" width="31.6640625" bestFit="1" customWidth="1"/>
    <col min="4145" max="4145" width="21.88671875" bestFit="1" customWidth="1"/>
    <col min="4146" max="4146" width="7.109375" bestFit="1" customWidth="1"/>
    <col min="4147" max="4147" width="6.6640625" bestFit="1" customWidth="1"/>
    <col min="4148" max="4148" width="31.6640625" bestFit="1" customWidth="1"/>
    <col min="4149" max="4149" width="21.88671875" bestFit="1" customWidth="1"/>
    <col min="4150" max="4150" width="22.6640625" bestFit="1" customWidth="1"/>
    <col min="4151" max="4151" width="19.109375" bestFit="1" customWidth="1"/>
    <col min="4152" max="4152" width="15.5546875" bestFit="1" customWidth="1"/>
    <col min="4153" max="4153" width="16.5546875" bestFit="1" customWidth="1"/>
    <col min="4154" max="4154" width="10" bestFit="1" customWidth="1"/>
    <col min="4155" max="4155" width="9.5546875" bestFit="1" customWidth="1"/>
    <col min="4156" max="4156" width="7.109375" bestFit="1" customWidth="1"/>
    <col min="4157" max="4157" width="6.6640625" bestFit="1" customWidth="1"/>
    <col min="4158" max="4158" width="31.6640625" bestFit="1" customWidth="1"/>
    <col min="4159" max="4159" width="21.88671875" bestFit="1" customWidth="1"/>
    <col min="4160" max="4160" width="33.44140625" bestFit="1" customWidth="1"/>
    <col min="4161" max="4161" width="19.109375" bestFit="1" customWidth="1"/>
    <col min="4162" max="4162" width="15.5546875" bestFit="1" customWidth="1"/>
    <col min="4163" max="4163" width="16.5546875" bestFit="1" customWidth="1"/>
    <col min="4164" max="4164" width="10" bestFit="1" customWidth="1"/>
    <col min="4165" max="4165" width="9.5546875" bestFit="1" customWidth="1"/>
    <col min="4166" max="4166" width="7.33203125" bestFit="1" customWidth="1"/>
    <col min="4167" max="4167" width="7" bestFit="1" customWidth="1"/>
    <col min="4168" max="4168" width="35.6640625" bestFit="1" customWidth="1"/>
    <col min="4169" max="4169" width="9.5546875" bestFit="1" customWidth="1"/>
    <col min="4170" max="4170" width="27.44140625" bestFit="1" customWidth="1"/>
    <col min="4171" max="4171" width="19.109375" bestFit="1" customWidth="1"/>
    <col min="4172" max="4172" width="15.5546875" bestFit="1" customWidth="1"/>
    <col min="4173" max="4173" width="16.5546875" bestFit="1" customWidth="1"/>
    <col min="4174" max="4174" width="35.6640625" bestFit="1" customWidth="1"/>
    <col min="4175" max="4175" width="9.5546875" bestFit="1" customWidth="1"/>
    <col min="4176" max="4176" width="7.33203125" bestFit="1" customWidth="1"/>
    <col min="4177" max="4177" width="7" bestFit="1" customWidth="1"/>
    <col min="4178" max="4178" width="35.6640625" bestFit="1" customWidth="1"/>
    <col min="4179" max="4179" width="9.5546875" bestFit="1" customWidth="1"/>
    <col min="4180" max="4180" width="21.6640625" bestFit="1" customWidth="1"/>
    <col min="4181" max="4181" width="19.109375" bestFit="1" customWidth="1"/>
    <col min="4182" max="4182" width="15.5546875" bestFit="1" customWidth="1"/>
    <col min="4183" max="4183" width="16.5546875" bestFit="1" customWidth="1"/>
    <col min="4184" max="4184" width="34.44140625" bestFit="1" customWidth="1"/>
    <col min="4185" max="4185" width="9.5546875" bestFit="1" customWidth="1"/>
    <col min="4186" max="4186" width="7.33203125" bestFit="1" customWidth="1"/>
    <col min="4187" max="4187" width="6.6640625" bestFit="1" customWidth="1"/>
    <col min="4188" max="4188" width="33.88671875" bestFit="1" customWidth="1"/>
    <col min="4189" max="4189" width="9.5546875" bestFit="1" customWidth="1"/>
    <col min="4190" max="4190" width="34.5546875" bestFit="1" customWidth="1"/>
    <col min="4191" max="4191" width="9.5546875" bestFit="1" customWidth="1"/>
    <col min="4192" max="4192" width="33.44140625" bestFit="1" customWidth="1"/>
    <col min="4193" max="4193" width="19.109375" bestFit="1" customWidth="1"/>
    <col min="4194" max="4194" width="15.5546875" bestFit="1" customWidth="1"/>
    <col min="4195" max="4195" width="16.5546875" bestFit="1" customWidth="1"/>
    <col min="4196" max="4196" width="31" bestFit="1" customWidth="1"/>
    <col min="4197" max="4197" width="9.5546875" bestFit="1" customWidth="1"/>
    <col min="4198" max="4198" width="7.33203125" bestFit="1" customWidth="1"/>
    <col min="4199" max="4199" width="6.6640625" bestFit="1" customWidth="1"/>
    <col min="4200" max="4200" width="33.88671875" bestFit="1" customWidth="1"/>
    <col min="4201" max="4201" width="21.88671875" bestFit="1" customWidth="1"/>
    <col min="4202" max="4202" width="32" bestFit="1" customWidth="1"/>
    <col min="4203" max="4203" width="19.109375" bestFit="1" customWidth="1"/>
    <col min="4204" max="4204" width="15.5546875" bestFit="1" customWidth="1"/>
    <col min="4205" max="4205" width="16.5546875" bestFit="1" customWidth="1"/>
    <col min="4206" max="4206" width="10" bestFit="1" customWidth="1"/>
    <col min="4207" max="4207" width="9.5546875" bestFit="1" customWidth="1"/>
    <col min="4208" max="4208" width="7.33203125" bestFit="1" customWidth="1"/>
    <col min="4209" max="4209" width="7" bestFit="1" customWidth="1"/>
    <col min="4210" max="4210" width="35.6640625" bestFit="1" customWidth="1"/>
    <col min="4211" max="4211" width="9.5546875" bestFit="1" customWidth="1"/>
    <col min="4212" max="4212" width="21.6640625" bestFit="1" customWidth="1"/>
    <col min="4213" max="4213" width="19.109375" bestFit="1" customWidth="1"/>
    <col min="4214" max="4214" width="15.5546875" bestFit="1" customWidth="1"/>
    <col min="4215" max="4215" width="16.5546875" bestFit="1" customWidth="1"/>
    <col min="4216" max="4216" width="34.44140625" bestFit="1" customWidth="1"/>
    <col min="4217" max="4217" width="9.5546875" bestFit="1" customWidth="1"/>
    <col min="4218" max="4218" width="10" bestFit="1" customWidth="1"/>
    <col min="4219" max="4219" width="9.5546875" bestFit="1" customWidth="1"/>
    <col min="4220" max="4220" width="6.6640625" bestFit="1" customWidth="1"/>
    <col min="4221" max="4221" width="10" bestFit="1" customWidth="1"/>
    <col min="4222" max="4223" width="9.5546875" bestFit="1" customWidth="1"/>
    <col min="4224" max="4224" width="10" bestFit="1" customWidth="1"/>
    <col min="4225" max="4225" width="9.5546875" bestFit="1" customWidth="1"/>
    <col min="4226" max="4226" width="7.33203125" bestFit="1" customWidth="1"/>
    <col min="4227" max="4227" width="6.6640625" bestFit="1" customWidth="1"/>
    <col min="4228" max="4228" width="33.88671875" bestFit="1" customWidth="1"/>
    <col min="4229" max="4229" width="21.88671875" bestFit="1" customWidth="1"/>
    <col min="4230" max="4230" width="32.33203125" bestFit="1" customWidth="1"/>
    <col min="4231" max="4231" width="19.109375" bestFit="1" customWidth="1"/>
    <col min="4232" max="4232" width="15.5546875" bestFit="1" customWidth="1"/>
    <col min="4233" max="4233" width="16.5546875" bestFit="1" customWidth="1"/>
    <col min="4234" max="4234" width="31.6640625" bestFit="1" customWidth="1"/>
    <col min="4235" max="4235" width="9.5546875" bestFit="1" customWidth="1"/>
    <col min="4236" max="4236" width="7.33203125" bestFit="1" customWidth="1"/>
    <col min="4237" max="4237" width="6.6640625" bestFit="1" customWidth="1"/>
    <col min="4238" max="4238" width="33.88671875" bestFit="1" customWidth="1"/>
    <col min="4239" max="4239" width="21.88671875" bestFit="1" customWidth="1"/>
    <col min="4240" max="4240" width="32.33203125" bestFit="1" customWidth="1"/>
    <col min="4241" max="4241" width="19.109375" bestFit="1" customWidth="1"/>
    <col min="4242" max="4242" width="15.5546875" bestFit="1" customWidth="1"/>
    <col min="4243" max="4243" width="16.5546875" bestFit="1" customWidth="1"/>
    <col min="4244" max="4244" width="31.6640625" bestFit="1" customWidth="1"/>
    <col min="4245" max="4245" width="9.5546875" bestFit="1" customWidth="1"/>
    <col min="4246" max="4246" width="7.33203125" bestFit="1" customWidth="1"/>
    <col min="4247" max="4247" width="7" bestFit="1" customWidth="1"/>
    <col min="4248" max="4248" width="35.6640625" bestFit="1" customWidth="1"/>
    <col min="4249" max="4249" width="34.5546875" bestFit="1" customWidth="1"/>
    <col min="4250" max="4250" width="24" bestFit="1" customWidth="1"/>
    <col min="4251" max="4251" width="19.109375" bestFit="1" customWidth="1"/>
    <col min="4252" max="4252" width="15.5546875" bestFit="1" customWidth="1"/>
    <col min="4253" max="4253" width="16.5546875" bestFit="1" customWidth="1"/>
    <col min="4254" max="4254" width="28.6640625" bestFit="1" customWidth="1"/>
    <col min="4255" max="4255" width="34.5546875" bestFit="1" customWidth="1"/>
    <col min="4256" max="4256" width="10" bestFit="1" customWidth="1"/>
    <col min="4257" max="4257" width="9.5546875" bestFit="1" customWidth="1"/>
    <col min="4258" max="4258" width="22" bestFit="1" customWidth="1"/>
    <col min="4259" max="4259" width="19.109375" bestFit="1" customWidth="1"/>
    <col min="4260" max="4260" width="15.5546875" bestFit="1" customWidth="1"/>
    <col min="4261" max="4261" width="16.5546875" bestFit="1" customWidth="1"/>
    <col min="4262" max="4262" width="32.44140625" bestFit="1" customWidth="1"/>
    <col min="4263" max="4263" width="9.5546875" bestFit="1" customWidth="1"/>
    <col min="4264" max="4264" width="29.88671875" bestFit="1" customWidth="1"/>
    <col min="4265" max="4265" width="7.5546875" bestFit="1" customWidth="1"/>
    <col min="4266" max="4266" width="16" bestFit="1" customWidth="1"/>
    <col min="4267" max="4267" width="10" bestFit="1" customWidth="1"/>
    <col min="4268" max="4268" width="9.5546875" bestFit="1" customWidth="1"/>
    <col min="4269" max="4269" width="7.109375" bestFit="1" customWidth="1"/>
    <col min="4270" max="4270" width="7" bestFit="1" customWidth="1"/>
    <col min="4271" max="4271" width="22.88671875" bestFit="1" customWidth="1"/>
    <col min="4272" max="4272" width="9.5546875" bestFit="1" customWidth="1"/>
    <col min="4273" max="4273" width="34.5546875" bestFit="1" customWidth="1"/>
    <col min="4274" max="4274" width="9.5546875" bestFit="1" customWidth="1"/>
    <col min="4275" max="4275" width="10.6640625" bestFit="1" customWidth="1"/>
    <col min="4276" max="4276" width="6.44140625" bestFit="1" customWidth="1"/>
    <col min="4277" max="4277" width="29.88671875" bestFit="1" customWidth="1"/>
    <col min="4278" max="4278" width="7.5546875" bestFit="1" customWidth="1"/>
    <col min="4279" max="4279" width="16" bestFit="1" customWidth="1"/>
    <col min="4280" max="4280" width="10" bestFit="1" customWidth="1"/>
    <col min="4281" max="4281" width="9.5546875" bestFit="1" customWidth="1"/>
    <col min="4282" max="4282" width="7.33203125" bestFit="1" customWidth="1"/>
    <col min="4283" max="4283" width="7" bestFit="1" customWidth="1"/>
    <col min="4284" max="4284" width="32.44140625" bestFit="1" customWidth="1"/>
    <col min="4285" max="4285" width="9.5546875" bestFit="1" customWidth="1"/>
    <col min="4286" max="4286" width="35.88671875" bestFit="1" customWidth="1"/>
    <col min="4287" max="4287" width="19.109375" bestFit="1" customWidth="1"/>
    <col min="4288" max="4288" width="15.5546875" bestFit="1" customWidth="1"/>
    <col min="4289" max="4289" width="16.5546875" bestFit="1" customWidth="1"/>
    <col min="4290" max="4290" width="32" bestFit="1" customWidth="1"/>
    <col min="4291" max="4291" width="9.5546875" bestFit="1" customWidth="1"/>
    <col min="4292" max="4292" width="7.33203125" bestFit="1" customWidth="1"/>
    <col min="4293" max="4293" width="6.6640625" bestFit="1" customWidth="1"/>
    <col min="4294" max="4294" width="32" bestFit="1" customWidth="1"/>
    <col min="4295" max="4295" width="9.5546875" bestFit="1" customWidth="1"/>
    <col min="4296" max="4296" width="6.44140625" bestFit="1" customWidth="1"/>
    <col min="4297" max="4297" width="30" bestFit="1" customWidth="1"/>
    <col min="4298" max="4298" width="7.5546875" bestFit="1" customWidth="1"/>
    <col min="4299" max="4299" width="16" bestFit="1" customWidth="1"/>
    <col min="4300" max="4300" width="10" bestFit="1" customWidth="1"/>
    <col min="4301" max="4301" width="9.5546875" bestFit="1" customWidth="1"/>
    <col min="4302" max="4302" width="15.5546875" bestFit="1" customWidth="1"/>
    <col min="4303" max="4303" width="16.5546875" bestFit="1" customWidth="1"/>
    <col min="4304" max="4304" width="28" bestFit="1" customWidth="1"/>
    <col min="4305" max="4305" width="9.5546875" bestFit="1" customWidth="1"/>
    <col min="4306" max="4306" width="7.33203125" bestFit="1" customWidth="1"/>
    <col min="4307" max="4307" width="6.6640625" bestFit="1" customWidth="1"/>
    <col min="4308" max="4308" width="32" bestFit="1" customWidth="1"/>
    <col min="4309" max="4310" width="9.5546875" bestFit="1" customWidth="1"/>
    <col min="4311" max="4311" width="29.44140625" bestFit="1" customWidth="1"/>
    <col min="4312" max="4312" width="19.109375" bestFit="1" customWidth="1"/>
    <col min="4313" max="4313" width="15.5546875" bestFit="1" customWidth="1"/>
    <col min="4314" max="4314" width="16.5546875" bestFit="1" customWidth="1"/>
    <col min="4315" max="4315" width="28" bestFit="1" customWidth="1"/>
    <col min="4316" max="4316" width="9.5546875" bestFit="1" customWidth="1"/>
    <col min="4317" max="4317" width="7.33203125" bestFit="1" customWidth="1"/>
    <col min="4318" max="4318" width="6.6640625" bestFit="1" customWidth="1"/>
    <col min="4319" max="4319" width="32" bestFit="1" customWidth="1"/>
    <col min="4320" max="4321" width="9.5546875" bestFit="1" customWidth="1"/>
    <col min="4322" max="4322" width="29.44140625" bestFit="1" customWidth="1"/>
    <col min="4323" max="4323" width="19.109375" bestFit="1" customWidth="1"/>
    <col min="4324" max="4324" width="15.5546875" bestFit="1" customWidth="1"/>
    <col min="4325" max="4325" width="16.5546875" bestFit="1" customWidth="1"/>
    <col min="4326" max="4326" width="28" bestFit="1" customWidth="1"/>
    <col min="4327" max="4327" width="9.5546875" bestFit="1" customWidth="1"/>
    <col min="4328" max="4328" width="7.109375" bestFit="1" customWidth="1"/>
    <col min="4329" max="4329" width="6.6640625" bestFit="1" customWidth="1"/>
    <col min="4330" max="4330" width="10" bestFit="1" customWidth="1"/>
    <col min="4331" max="4333" width="9.5546875" bestFit="1" customWidth="1"/>
    <col min="4334" max="4334" width="28.109375" bestFit="1" customWidth="1"/>
    <col min="4335" max="4335" width="19.109375" bestFit="1" customWidth="1"/>
    <col min="4336" max="4336" width="15.5546875" bestFit="1" customWidth="1"/>
    <col min="4337" max="4337" width="16.5546875" bestFit="1" customWidth="1"/>
    <col min="4338" max="4338" width="32.44140625" bestFit="1" customWidth="1"/>
    <col min="4339" max="4339" width="9.5546875" bestFit="1" customWidth="1"/>
    <col min="4340" max="4340" width="14.6640625" bestFit="1" customWidth="1"/>
    <col min="4341" max="4341" width="7.5546875" bestFit="1" customWidth="1"/>
    <col min="4342" max="4342" width="16" bestFit="1" customWidth="1"/>
    <col min="4343" max="4343" width="10" bestFit="1" customWidth="1"/>
    <col min="4344" max="4344" width="9.5546875" bestFit="1" customWidth="1"/>
    <col min="4345" max="4345" width="7.33203125" bestFit="1" customWidth="1"/>
    <col min="4346" max="4346" width="6.6640625" bestFit="1" customWidth="1"/>
    <col min="4347" max="4347" width="32" bestFit="1" customWidth="1"/>
    <col min="4348" max="4348" width="9.5546875" bestFit="1" customWidth="1"/>
    <col min="4349" max="4349" width="29.44140625" bestFit="1" customWidth="1"/>
    <col min="4350" max="4350" width="19.109375" bestFit="1" customWidth="1"/>
    <col min="4351" max="4351" width="15.5546875" bestFit="1" customWidth="1"/>
    <col min="4352" max="4352" width="16.5546875" bestFit="1" customWidth="1"/>
    <col min="4353" max="4353" width="31" bestFit="1" customWidth="1"/>
    <col min="4354" max="4354" width="9.5546875" bestFit="1" customWidth="1"/>
    <col min="4355" max="4355" width="7.33203125" bestFit="1" customWidth="1"/>
    <col min="4356" max="4356" width="7.109375" bestFit="1" customWidth="1"/>
    <col min="4357" max="4357" width="33.44140625" bestFit="1" customWidth="1"/>
    <col min="4358" max="4358" width="9.5546875" bestFit="1" customWidth="1"/>
    <col min="4359" max="4359" width="27.44140625" bestFit="1" customWidth="1"/>
    <col min="4360" max="4360" width="19.109375" bestFit="1" customWidth="1"/>
    <col min="4361" max="4361" width="15.5546875" bestFit="1" customWidth="1"/>
    <col min="4362" max="4362" width="16.5546875" bestFit="1" customWidth="1"/>
    <col min="4363" max="4363" width="32.44140625" bestFit="1" customWidth="1"/>
    <col min="4364" max="4364" width="9.5546875" bestFit="1" customWidth="1"/>
    <col min="4365" max="4365" width="7.109375" bestFit="1" customWidth="1"/>
    <col min="4366" max="4366" width="7" bestFit="1" customWidth="1"/>
    <col min="4367" max="4367" width="22" bestFit="1" customWidth="1"/>
    <col min="4368" max="4368" width="9.5546875" bestFit="1" customWidth="1"/>
    <col min="4369" max="4369" width="28.109375" bestFit="1" customWidth="1"/>
    <col min="4370" max="4370" width="19.109375" bestFit="1" customWidth="1"/>
    <col min="4371" max="4371" width="15.5546875" bestFit="1" customWidth="1"/>
    <col min="4372" max="4372" width="16.5546875" bestFit="1" customWidth="1"/>
    <col min="4373" max="4373" width="29.6640625" bestFit="1" customWidth="1"/>
    <col min="4374" max="4374" width="9.5546875" bestFit="1" customWidth="1"/>
    <col min="4375" max="4375" width="7.33203125" bestFit="1" customWidth="1"/>
    <col min="4376" max="4376" width="6.6640625" bestFit="1" customWidth="1"/>
    <col min="4377" max="4377" width="32" bestFit="1" customWidth="1"/>
    <col min="4378" max="4378" width="9.5546875" bestFit="1" customWidth="1"/>
    <col min="4379" max="4379" width="34.5546875" bestFit="1" customWidth="1"/>
    <col min="4380" max="4380" width="19.109375" bestFit="1" customWidth="1"/>
    <col min="4381" max="4381" width="15.5546875" bestFit="1" customWidth="1"/>
    <col min="4382" max="4382" width="16.5546875" bestFit="1" customWidth="1"/>
    <col min="4383" max="4383" width="28" bestFit="1" customWidth="1"/>
    <col min="4384" max="4384" width="9.5546875" bestFit="1" customWidth="1"/>
    <col min="4385" max="4385" width="7.33203125" bestFit="1" customWidth="1"/>
    <col min="4386" max="4386" width="6.6640625" bestFit="1" customWidth="1"/>
    <col min="4387" max="4387" width="32" bestFit="1" customWidth="1"/>
    <col min="4388" max="4388" width="9.5546875" bestFit="1" customWidth="1"/>
    <col min="4389" max="4389" width="38.44140625" bestFit="1" customWidth="1"/>
    <col min="4390" max="4390" width="19.109375" bestFit="1" customWidth="1"/>
    <col min="4391" max="4391" width="15.5546875" bestFit="1" customWidth="1"/>
    <col min="4392" max="4392" width="16.5546875" bestFit="1" customWidth="1"/>
    <col min="4393" max="4393" width="34.44140625" bestFit="1" customWidth="1"/>
    <col min="4394" max="4394" width="34.5546875" bestFit="1" customWidth="1"/>
    <col min="4395" max="4395" width="10" bestFit="1" customWidth="1"/>
    <col min="4396" max="4396" width="9.5546875" bestFit="1" customWidth="1"/>
    <col min="4397" max="4397" width="7" bestFit="1" customWidth="1"/>
    <col min="4398" max="4398" width="28.6640625" bestFit="1" customWidth="1"/>
    <col min="4399" max="4399" width="34.5546875" bestFit="1" customWidth="1"/>
    <col min="4400" max="4400" width="9.5546875" bestFit="1" customWidth="1"/>
    <col min="4401" max="4401" width="29.44140625" bestFit="1" customWidth="1"/>
    <col min="4402" max="4402" width="19.109375" bestFit="1" customWidth="1"/>
    <col min="4403" max="4403" width="15.5546875" bestFit="1" customWidth="1"/>
    <col min="4404" max="4404" width="16.5546875" bestFit="1" customWidth="1"/>
    <col min="4405" max="4405" width="28" bestFit="1" customWidth="1"/>
    <col min="4406" max="4406" width="9.5546875" bestFit="1" customWidth="1"/>
    <col min="4407" max="4407" width="7.33203125" bestFit="1" customWidth="1"/>
    <col min="4408" max="4408" width="6.6640625" bestFit="1" customWidth="1"/>
    <col min="4409" max="4409" width="32" bestFit="1" customWidth="1"/>
    <col min="4410" max="4410" width="9.5546875" bestFit="1" customWidth="1"/>
    <col min="4411" max="4411" width="27.6640625" bestFit="1" customWidth="1"/>
    <col min="4412" max="4412" width="19.109375" bestFit="1" customWidth="1"/>
    <col min="4413" max="4413" width="15.5546875" bestFit="1" customWidth="1"/>
    <col min="4414" max="4414" width="16.5546875" bestFit="1" customWidth="1"/>
    <col min="4415" max="4415" width="28" bestFit="1" customWidth="1"/>
    <col min="4416" max="4416" width="9.5546875" bestFit="1" customWidth="1"/>
    <col min="4417" max="4417" width="7.33203125" bestFit="1" customWidth="1"/>
    <col min="4418" max="4418" width="6.6640625" bestFit="1" customWidth="1"/>
    <col min="4419" max="4419" width="32" bestFit="1" customWidth="1"/>
    <col min="4420" max="4420" width="9.5546875" bestFit="1" customWidth="1"/>
    <col min="4421" max="4421" width="34.5546875" bestFit="1" customWidth="1"/>
    <col min="4422" max="4422" width="9.5546875" bestFit="1" customWidth="1"/>
    <col min="4423" max="4423" width="34.5546875" bestFit="1" customWidth="1"/>
    <col min="4424" max="4424" width="9.5546875" bestFit="1" customWidth="1"/>
    <col min="4425" max="4425" width="34.5546875" bestFit="1" customWidth="1"/>
    <col min="4426" max="4426" width="19.109375" bestFit="1" customWidth="1"/>
    <col min="4427" max="4427" width="15.5546875" bestFit="1" customWidth="1"/>
    <col min="4428" max="4428" width="16.5546875" bestFit="1" customWidth="1"/>
    <col min="4429" max="4429" width="22" bestFit="1" customWidth="1"/>
    <col min="4430" max="4430" width="9.5546875" bestFit="1" customWidth="1"/>
    <col min="4431" max="4431" width="14.6640625" bestFit="1" customWidth="1"/>
    <col min="4432" max="4432" width="7.5546875" bestFit="1" customWidth="1"/>
    <col min="4433" max="4433" width="16" bestFit="1" customWidth="1"/>
    <col min="4434" max="4434" width="31.6640625" customWidth="1"/>
    <col min="4435" max="4436" width="21.88671875" bestFit="1" customWidth="1"/>
    <col min="4437" max="4437" width="6.6640625" bestFit="1" customWidth="1"/>
    <col min="4438" max="4438" width="31.6640625" bestFit="1" customWidth="1"/>
    <col min="4439" max="4439" width="9.5546875" bestFit="1" customWidth="1"/>
    <col min="4440" max="4440" width="32.33203125" bestFit="1" customWidth="1"/>
    <col min="4441" max="4441" width="19.109375" bestFit="1" customWidth="1"/>
    <col min="4442" max="4442" width="15.5546875" bestFit="1" customWidth="1"/>
    <col min="4443" max="4443" width="16.5546875" bestFit="1" customWidth="1"/>
    <col min="4444" max="4444" width="31.6640625" bestFit="1" customWidth="1"/>
    <col min="4445" max="4445" width="9.5546875" bestFit="1" customWidth="1"/>
    <col min="4446" max="4446" width="7.33203125" bestFit="1" customWidth="1"/>
    <col min="4447" max="4447" width="7.44140625" bestFit="1" customWidth="1"/>
    <col min="4448" max="4448" width="34.44140625" bestFit="1" customWidth="1"/>
    <col min="4449" max="4449" width="34.5546875" bestFit="1" customWidth="1"/>
    <col min="4450" max="4450" width="9.5546875" bestFit="1" customWidth="1"/>
    <col min="4451" max="4451" width="34.5546875" bestFit="1" customWidth="1"/>
    <col min="4452" max="4452" width="19.109375" bestFit="1" customWidth="1"/>
    <col min="4453" max="4453" width="15.5546875" bestFit="1" customWidth="1"/>
    <col min="4454" max="4454" width="16.5546875" bestFit="1" customWidth="1"/>
    <col min="4455" max="4455" width="10" bestFit="1" customWidth="1"/>
    <col min="4456" max="4456" width="9.5546875" bestFit="1" customWidth="1"/>
    <col min="4457" max="4457" width="7.33203125" bestFit="1" customWidth="1"/>
    <col min="4458" max="4458" width="7" bestFit="1" customWidth="1"/>
    <col min="4459" max="4459" width="34.44140625" bestFit="1" customWidth="1"/>
    <col min="4460" max="4460" width="9.5546875" bestFit="1" customWidth="1"/>
    <col min="4461" max="4461" width="35.6640625" bestFit="1" customWidth="1"/>
    <col min="4462" max="4462" width="19.109375" bestFit="1" customWidth="1"/>
    <col min="4463" max="4463" width="15.5546875" bestFit="1" customWidth="1"/>
    <col min="4464" max="4464" width="16.5546875" bestFit="1" customWidth="1"/>
    <col min="4465" max="4465" width="31.6640625" bestFit="1" customWidth="1"/>
    <col min="4466" max="4466" width="21.88671875" bestFit="1" customWidth="1"/>
    <col min="4467" max="4467" width="7.109375" bestFit="1" customWidth="1"/>
    <col min="4468" max="4468" width="6.6640625" bestFit="1" customWidth="1"/>
    <col min="4469" max="4469" width="31.6640625" bestFit="1" customWidth="1"/>
    <col min="4470" max="4470" width="9.5546875" bestFit="1" customWidth="1"/>
    <col min="4471" max="4471" width="32.33203125" bestFit="1" customWidth="1"/>
    <col min="4472" max="4472" width="19.109375" bestFit="1" customWidth="1"/>
    <col min="4473" max="4473" width="15.5546875" bestFit="1" customWidth="1"/>
    <col min="4474" max="4474" width="16.5546875" bestFit="1" customWidth="1"/>
    <col min="4475" max="4475" width="31.6640625" bestFit="1" customWidth="1"/>
    <col min="4476" max="4476" width="9.5546875" bestFit="1" customWidth="1"/>
    <col min="4477" max="4477" width="7.109375" bestFit="1" customWidth="1"/>
    <col min="4478" max="4478" width="6.6640625" bestFit="1" customWidth="1"/>
    <col min="4479" max="4479" width="10" bestFit="1" customWidth="1"/>
    <col min="4480" max="4480" width="9.5546875" bestFit="1" customWidth="1"/>
    <col min="4481" max="4481" width="28.109375" bestFit="1" customWidth="1"/>
    <col min="4482" max="4482" width="19.109375" bestFit="1" customWidth="1"/>
    <col min="4483" max="4483" width="15.5546875" bestFit="1" customWidth="1"/>
    <col min="4484" max="4484" width="16.5546875" bestFit="1" customWidth="1"/>
    <col min="4485" max="4485" width="29.6640625" bestFit="1" customWidth="1"/>
    <col min="4486" max="4486" width="9.5546875" bestFit="1" customWidth="1"/>
    <col min="4487" max="4487" width="7.33203125" bestFit="1" customWidth="1"/>
    <col min="4488" max="4488" width="6.6640625" bestFit="1" customWidth="1"/>
    <col min="4489" max="4489" width="32" bestFit="1" customWidth="1"/>
    <col min="4490" max="4490" width="9.5546875" bestFit="1" customWidth="1"/>
    <col min="4491" max="4491" width="33.44140625" bestFit="1" customWidth="1"/>
    <col min="4492" max="4492" width="19.109375" bestFit="1" customWidth="1"/>
    <col min="4493" max="4493" width="15.5546875" bestFit="1" customWidth="1"/>
    <col min="4494" max="4494" width="16.5546875" bestFit="1" customWidth="1"/>
    <col min="4495" max="4495" width="32" bestFit="1" customWidth="1"/>
    <col min="4496" max="4496" width="9.5546875" bestFit="1" customWidth="1"/>
    <col min="4497" max="4497" width="7.33203125" bestFit="1" customWidth="1"/>
    <col min="4498" max="4498" width="6.6640625" bestFit="1" customWidth="1"/>
    <col min="4499" max="4499" width="32" bestFit="1" customWidth="1"/>
    <col min="4500" max="4500" width="9.5546875" bestFit="1" customWidth="1"/>
    <col min="4501" max="4501" width="24" bestFit="1" customWidth="1"/>
    <col min="4502" max="4502" width="19.109375" bestFit="1" customWidth="1"/>
    <col min="4503" max="4503" width="15.5546875" bestFit="1" customWidth="1"/>
    <col min="4504" max="4504" width="16.5546875" bestFit="1" customWidth="1"/>
    <col min="4505" max="4505" width="28.6640625" bestFit="1" customWidth="1"/>
    <col min="4506" max="4506" width="34.5546875" bestFit="1" customWidth="1"/>
    <col min="4507" max="4507" width="10" bestFit="1" customWidth="1"/>
    <col min="4508" max="4508" width="9.5546875" bestFit="1" customWidth="1"/>
    <col min="4509" max="4509" width="7" bestFit="1" customWidth="1"/>
    <col min="4510" max="4510" width="10" bestFit="1" customWidth="1"/>
    <col min="4511" max="4512" width="9.5546875" bestFit="1" customWidth="1"/>
    <col min="4513" max="4513" width="10.6640625" bestFit="1" customWidth="1"/>
    <col min="4514" max="4514" width="6.44140625" bestFit="1" customWidth="1"/>
    <col min="4515" max="4515" width="14.6640625" bestFit="1" customWidth="1"/>
    <col min="4516" max="4516" width="7.5546875" bestFit="1" customWidth="1"/>
    <col min="4517" max="4517" width="16" bestFit="1" customWidth="1"/>
    <col min="4518" max="4518" width="31.6640625" bestFit="1" customWidth="1"/>
    <col min="4519" max="4519" width="21.88671875" bestFit="1" customWidth="1"/>
    <col min="4520" max="4520" width="6.6640625" bestFit="1" customWidth="1"/>
    <col min="4521" max="4521" width="31.6640625" bestFit="1" customWidth="1"/>
    <col min="4522" max="4522" width="21.88671875" bestFit="1" customWidth="1"/>
    <col min="4523" max="4523" width="9.5546875" bestFit="1" customWidth="1"/>
    <col min="4524" max="4524" width="21.88671875" bestFit="1" customWidth="1"/>
    <col min="4525" max="4525" width="34.5546875" bestFit="1" customWidth="1"/>
    <col min="4526" max="4526" width="27.44140625" bestFit="1" customWidth="1"/>
    <col min="4527" max="4527" width="19.109375" bestFit="1" customWidth="1"/>
    <col min="4528" max="4528" width="15.5546875" bestFit="1" customWidth="1"/>
    <col min="4529" max="4529" width="16.5546875" bestFit="1" customWidth="1"/>
    <col min="4530" max="4530" width="22.88671875" bestFit="1" customWidth="1"/>
    <col min="4531" max="4531" width="9.5546875" bestFit="1" customWidth="1"/>
    <col min="4532" max="4532" width="7.33203125" bestFit="1" customWidth="1"/>
    <col min="4533" max="4533" width="6.6640625" bestFit="1" customWidth="1"/>
    <col min="4534" max="4534" width="32" bestFit="1" customWidth="1"/>
    <col min="4535" max="4535" width="9.5546875" bestFit="1" customWidth="1"/>
    <col min="4536" max="4536" width="7.5546875" bestFit="1" customWidth="1"/>
    <col min="4537" max="4537" width="16" bestFit="1" customWidth="1"/>
    <col min="4538" max="4538" width="11.44140625" bestFit="1" customWidth="1"/>
    <col min="4539" max="4539" width="20" bestFit="1" customWidth="1"/>
    <col min="4540" max="4540" width="20.5546875" bestFit="1" customWidth="1"/>
    <col min="4541" max="4541" width="9.5546875" bestFit="1" customWidth="1"/>
    <col min="4542" max="4542" width="6.6640625" bestFit="1" customWidth="1"/>
    <col min="4543" max="4543" width="32" bestFit="1" customWidth="1"/>
    <col min="4544" max="4544" width="9.5546875" bestFit="1" customWidth="1"/>
    <col min="4545" max="4545" width="29.44140625" bestFit="1" customWidth="1"/>
    <col min="4546" max="4546" width="19.109375" bestFit="1" customWidth="1"/>
    <col min="4547" max="4547" width="15.5546875" bestFit="1" customWidth="1"/>
    <col min="4548" max="4548" width="16.5546875" bestFit="1" customWidth="1"/>
    <col min="4549" max="4549" width="20.5546875" bestFit="1" customWidth="1"/>
    <col min="4550" max="4550" width="9.5546875" bestFit="1" customWidth="1"/>
    <col min="4551" max="4551" width="7.109375" bestFit="1" customWidth="1"/>
    <col min="4552" max="4552" width="6.6640625" bestFit="1" customWidth="1"/>
    <col min="4553" max="4553" width="32" bestFit="1" customWidth="1"/>
    <col min="4554" max="4554" width="9.5546875" bestFit="1" customWidth="1"/>
    <col min="4555" max="4556" width="34.5546875" bestFit="1" customWidth="1"/>
    <col min="4557" max="4557" width="6.44140625" bestFit="1" customWidth="1"/>
    <col min="4558" max="4558" width="14.6640625" bestFit="1" customWidth="1"/>
    <col min="4559" max="4559" width="7.5546875" bestFit="1" customWidth="1"/>
    <col min="4560" max="4560" width="16" bestFit="1" customWidth="1"/>
    <col min="4561" max="4561" width="31.6640625" bestFit="1" customWidth="1"/>
    <col min="4562" max="4562" width="21.88671875" bestFit="1" customWidth="1"/>
    <col min="4563" max="4563" width="6.6640625" bestFit="1" customWidth="1"/>
    <col min="4564" max="4564" width="31.6640625" bestFit="1" customWidth="1"/>
    <col min="4565" max="4566" width="21.88671875" bestFit="1" customWidth="1"/>
    <col min="4567" max="4567" width="22.88671875" bestFit="1" customWidth="1"/>
    <col min="4568" max="4568" width="19.109375" bestFit="1" customWidth="1"/>
    <col min="4569" max="4569" width="15.5546875" bestFit="1" customWidth="1"/>
    <col min="4570" max="4570" width="16.5546875" bestFit="1" customWidth="1"/>
    <col min="4571" max="4571" width="10" bestFit="1" customWidth="1"/>
    <col min="4572" max="4572" width="9.5546875" bestFit="1" customWidth="1"/>
    <col min="4573" max="4573" width="7.33203125" bestFit="1" customWidth="1"/>
    <col min="4574" max="4574" width="6.6640625" bestFit="1" customWidth="1"/>
    <col min="4575" max="4575" width="21.6640625" bestFit="1" customWidth="1"/>
    <col min="4576" max="4576" width="21.88671875" bestFit="1" customWidth="1"/>
    <col min="4577" max="4577" width="22.88671875" bestFit="1" customWidth="1"/>
    <col min="4578" max="4578" width="19.109375" bestFit="1" customWidth="1"/>
    <col min="4579" max="4579" width="15.5546875" bestFit="1" customWidth="1"/>
    <col min="4580" max="4580" width="16.5546875" bestFit="1" customWidth="1"/>
    <col min="4581" max="4581" width="10" bestFit="1" customWidth="1"/>
    <col min="4582" max="4582" width="9.5546875" bestFit="1" customWidth="1"/>
    <col min="4583" max="4583" width="7.33203125" bestFit="1" customWidth="1"/>
    <col min="4584" max="4584" width="6.6640625" bestFit="1" customWidth="1"/>
    <col min="4585" max="4585" width="21.6640625" bestFit="1" customWidth="1"/>
    <col min="4586" max="4586" width="21.88671875" bestFit="1" customWidth="1"/>
    <col min="4587" max="4587" width="22.88671875" bestFit="1" customWidth="1"/>
    <col min="4588" max="4588" width="19.109375" bestFit="1" customWidth="1"/>
    <col min="4589" max="4589" width="15.5546875" bestFit="1" customWidth="1"/>
    <col min="4590" max="4590" width="16.5546875" bestFit="1" customWidth="1"/>
    <col min="4591" max="4591" width="10" bestFit="1" customWidth="1"/>
    <col min="4592" max="4592" width="9.5546875" bestFit="1" customWidth="1"/>
    <col min="4593" max="4593" width="7.33203125" bestFit="1" customWidth="1"/>
    <col min="4594" max="4594" width="6.6640625" bestFit="1" customWidth="1"/>
    <col min="4595" max="4595" width="21.6640625" bestFit="1" customWidth="1"/>
    <col min="4596" max="4596" width="21.88671875" bestFit="1" customWidth="1"/>
    <col min="4597" max="4597" width="22.88671875" bestFit="1" customWidth="1"/>
    <col min="4598" max="4598" width="19.109375" bestFit="1" customWidth="1"/>
    <col min="4599" max="4599" width="15.5546875" bestFit="1" customWidth="1"/>
    <col min="4600" max="4600" width="16.5546875" bestFit="1" customWidth="1"/>
    <col min="4601" max="4601" width="10" bestFit="1" customWidth="1"/>
    <col min="4602" max="4602" width="9.5546875" bestFit="1" customWidth="1"/>
    <col min="4603" max="4603" width="7.33203125" bestFit="1" customWidth="1"/>
    <col min="4604" max="4604" width="7" bestFit="1" customWidth="1"/>
    <col min="4605" max="4605" width="35.6640625" bestFit="1" customWidth="1"/>
    <col min="4606" max="4606" width="34.5546875" bestFit="1" customWidth="1"/>
    <col min="4607" max="4607" width="35.6640625" bestFit="1" customWidth="1"/>
    <col min="4608" max="4608" width="19.109375" bestFit="1" customWidth="1"/>
    <col min="4609" max="4609" width="15.5546875" bestFit="1" customWidth="1"/>
    <col min="4610" max="4610" width="16.5546875" bestFit="1" customWidth="1"/>
    <col min="4611" max="4611" width="10" bestFit="1" customWidth="1"/>
    <col min="4612" max="4612" width="9.5546875" bestFit="1" customWidth="1"/>
    <col min="4613" max="4613" width="10" bestFit="1" customWidth="1"/>
    <col min="4614" max="4614" width="9.5546875" bestFit="1" customWidth="1"/>
    <col min="4615" max="4615" width="6.6640625" bestFit="1" customWidth="1"/>
    <col min="4616" max="4616" width="31.6640625" bestFit="1" customWidth="1"/>
    <col min="4617" max="4617" width="9.5546875" bestFit="1" customWidth="1"/>
    <col min="4618" max="4618" width="22.6640625" bestFit="1" customWidth="1"/>
    <col min="4619" max="4619" width="19.109375" bestFit="1" customWidth="1"/>
    <col min="4620" max="4620" width="15.5546875" bestFit="1" customWidth="1"/>
    <col min="4621" max="4621" width="16.5546875" bestFit="1" customWidth="1"/>
    <col min="4622" max="4622" width="10" bestFit="1" customWidth="1"/>
    <col min="4623" max="4623" width="9.5546875" bestFit="1" customWidth="1"/>
    <col min="4624" max="4624" width="7.33203125" bestFit="1" customWidth="1"/>
    <col min="4625" max="4625" width="6.6640625" bestFit="1" customWidth="1"/>
    <col min="4626" max="4626" width="31.6640625" bestFit="1" customWidth="1"/>
    <col min="4627" max="4627" width="21.88671875" bestFit="1" customWidth="1"/>
    <col min="4628" max="4628" width="32.33203125" bestFit="1" customWidth="1"/>
    <col min="4629" max="4629" width="19.109375" bestFit="1" customWidth="1"/>
    <col min="4630" max="4630" width="15.5546875" bestFit="1" customWidth="1"/>
    <col min="4631" max="4631" width="16.5546875" bestFit="1" customWidth="1"/>
    <col min="4632" max="4632" width="31.6640625" bestFit="1" customWidth="1"/>
    <col min="4633" max="4633" width="9.5546875" bestFit="1" customWidth="1"/>
    <col min="4634" max="4634" width="10" bestFit="1" customWidth="1"/>
    <col min="4635" max="4635" width="9.5546875" bestFit="1" customWidth="1"/>
    <col min="4636" max="4636" width="7.109375" bestFit="1" customWidth="1"/>
    <col min="4637" max="4637" width="6.6640625" bestFit="1" customWidth="1"/>
    <col min="4638" max="4638" width="22.88671875" bestFit="1" customWidth="1"/>
    <col min="4639" max="4639" width="9.5546875" bestFit="1" customWidth="1"/>
    <col min="4640" max="4640" width="10.6640625" bestFit="1" customWidth="1"/>
    <col min="4641" max="4641" width="6.44140625" bestFit="1" customWidth="1"/>
    <col min="4642" max="4642" width="29.88671875" bestFit="1" customWidth="1"/>
    <col min="4643" max="4643" width="7.5546875" bestFit="1" customWidth="1"/>
    <col min="4644" max="4644" width="16" bestFit="1" customWidth="1"/>
    <col min="4645" max="4645" width="10" bestFit="1" customWidth="1"/>
    <col min="4646" max="4646" width="9.5546875" bestFit="1" customWidth="1"/>
    <col min="4647" max="4647" width="6.6640625" bestFit="1" customWidth="1"/>
    <col min="4648" max="4648" width="27.109375" bestFit="1" customWidth="1"/>
    <col min="4649" max="4649" width="32.6640625" bestFit="1" customWidth="1"/>
    <col min="4650" max="4650" width="6.33203125" bestFit="1" customWidth="1"/>
    <col min="4651" max="4651" width="28.5546875" bestFit="1" customWidth="1"/>
    <col min="4652" max="4652" width="7.109375" bestFit="1" customWidth="1"/>
    <col min="4653" max="4653" width="15.109375" bestFit="1" customWidth="1"/>
    <col min="4654" max="4654" width="9.6640625" bestFit="1" customWidth="1"/>
    <col min="4655" max="4655" width="9.33203125" bestFit="1" customWidth="1"/>
    <col min="4656" max="4656" width="7.33203125" bestFit="1" customWidth="1"/>
    <col min="4657" max="4657" width="15.33203125" bestFit="1" customWidth="1"/>
    <col min="4658" max="4658" width="10.88671875" bestFit="1" customWidth="1"/>
    <col min="4659" max="4659" width="19" bestFit="1" customWidth="1"/>
    <col min="4660" max="4660" width="9.6640625" bestFit="1" customWidth="1"/>
    <col min="4661" max="4661" width="9.33203125" bestFit="1" customWidth="1"/>
    <col min="4662" max="4662" width="25.6640625" bestFit="1" customWidth="1"/>
    <col min="4663" max="4663" width="18.5546875" bestFit="1" customWidth="1"/>
    <col min="4664" max="4664" width="14.88671875" bestFit="1" customWidth="1"/>
    <col min="4665" max="4665" width="16" bestFit="1" customWidth="1"/>
    <col min="4666" max="4666" width="27.6640625" bestFit="1" customWidth="1"/>
    <col min="4667" max="4667" width="9.33203125" bestFit="1" customWidth="1"/>
    <col min="4668" max="4668" width="6.88671875" bestFit="1" customWidth="1"/>
    <col min="4669" max="4669" width="6.5546875" bestFit="1" customWidth="1"/>
    <col min="4670" max="4670" width="21.33203125" bestFit="1" customWidth="1"/>
    <col min="4671" max="4671" width="9.33203125" bestFit="1" customWidth="1"/>
    <col min="4672" max="4672" width="32.6640625" bestFit="1" customWidth="1"/>
    <col min="4673" max="4673" width="9.33203125" bestFit="1" customWidth="1"/>
    <col min="4674" max="4674" width="25.6640625" bestFit="1" customWidth="1"/>
    <col min="4675" max="4675" width="18.5546875" bestFit="1" customWidth="1"/>
    <col min="4676" max="4676" width="14.88671875" bestFit="1" customWidth="1"/>
    <col min="4677" max="4677" width="16" bestFit="1" customWidth="1"/>
    <col min="4678" max="4678" width="30" bestFit="1" customWidth="1"/>
    <col min="4679" max="4679" width="9.33203125" bestFit="1" customWidth="1"/>
    <col min="4680" max="4680" width="9.6640625" bestFit="1" customWidth="1"/>
    <col min="4681" max="4681" width="9.33203125" bestFit="1" customWidth="1"/>
    <col min="4682" max="4682" width="7.5546875" bestFit="1" customWidth="1"/>
    <col min="4683" max="4683" width="16" bestFit="1" customWidth="1"/>
    <col min="4684" max="4684" width="11.44140625" bestFit="1" customWidth="1"/>
    <col min="4685" max="4685" width="20" bestFit="1" customWidth="1"/>
    <col min="4686" max="4686" width="31" bestFit="1" customWidth="1"/>
    <col min="4687" max="4687" width="9.5546875" bestFit="1" customWidth="1"/>
    <col min="4688" max="4688" width="6.44140625" bestFit="1" customWidth="1"/>
    <col min="4689" max="4689" width="14.6640625" bestFit="1" customWidth="1"/>
    <col min="4690" max="4690" width="7.5546875" bestFit="1" customWidth="1"/>
    <col min="4691" max="4691" width="16" bestFit="1" customWidth="1"/>
    <col min="4692" max="4692" width="10" bestFit="1" customWidth="1"/>
    <col min="4693" max="4693" width="9.5546875" bestFit="1" customWidth="1"/>
    <col min="4694" max="4694" width="33.44140625" bestFit="1" customWidth="1"/>
    <col min="4695" max="4695" width="20.5546875" bestFit="1" customWidth="1"/>
    <col min="4696" max="4696" width="9.5546875" bestFit="1" customWidth="1"/>
    <col min="4697" max="4697" width="12.5546875" bestFit="1" customWidth="1"/>
    <col min="4698" max="4698" width="7.5546875" bestFit="1" customWidth="1"/>
    <col min="4699" max="4699" width="16" bestFit="1" customWidth="1"/>
    <col min="4700" max="4700" width="11.44140625" bestFit="1" customWidth="1"/>
    <col min="4701" max="4701" width="20" bestFit="1" customWidth="1"/>
    <col min="4702" max="4702" width="31" bestFit="1" customWidth="1"/>
    <col min="4703" max="4703" width="9.5546875" bestFit="1" customWidth="1"/>
    <col min="4704" max="4704" width="33.44140625" bestFit="1" customWidth="1"/>
    <col min="4705" max="4705" width="19.109375" bestFit="1" customWidth="1"/>
    <col min="4706" max="4706" width="15.5546875" bestFit="1" customWidth="1"/>
    <col min="4707" max="4707" width="16.5546875" bestFit="1" customWidth="1"/>
    <col min="4708" max="4708" width="32" bestFit="1" customWidth="1"/>
    <col min="4709" max="4709" width="9.5546875" bestFit="1" customWidth="1"/>
    <col min="4710" max="4710" width="7.109375" bestFit="1" customWidth="1"/>
    <col min="4711" max="4711" width="6.6640625" bestFit="1" customWidth="1"/>
    <col min="4712" max="4712" width="20.109375" bestFit="1" customWidth="1"/>
    <col min="4713" max="4713" width="9.5546875" bestFit="1" customWidth="1"/>
    <col min="4714" max="4714" width="16" bestFit="1" customWidth="1"/>
    <col min="4715" max="4715" width="11.44140625" bestFit="1" customWidth="1"/>
    <col min="4716" max="4716" width="20" bestFit="1" customWidth="1"/>
    <col min="4717" max="4717" width="31" bestFit="1" customWidth="1"/>
    <col min="4718" max="4718" width="9.5546875" bestFit="1" customWidth="1"/>
    <col min="4719" max="4719" width="33.44140625" bestFit="1" customWidth="1"/>
    <col min="4720" max="4720" width="20.5546875" bestFit="1" customWidth="1"/>
    <col min="4721" max="4721" width="9.5546875" bestFit="1" customWidth="1"/>
    <col min="4722" max="4722" width="6.6640625" bestFit="1" customWidth="1"/>
    <col min="4723" max="4723" width="10" bestFit="1" customWidth="1"/>
    <col min="4724" max="4724" width="9.5546875" bestFit="1" customWidth="1"/>
    <col min="4725" max="4725" width="7.5546875" bestFit="1" customWidth="1"/>
    <col min="4726" max="4726" width="16" bestFit="1" customWidth="1"/>
    <col min="4727" max="4727" width="11.44140625" bestFit="1" customWidth="1"/>
    <col min="4728" max="4728" width="20" bestFit="1" customWidth="1"/>
    <col min="4729" max="4729" width="31" bestFit="1" customWidth="1"/>
    <col min="4730" max="4730" width="9.5546875" bestFit="1" customWidth="1"/>
    <col min="4731" max="4731" width="6.44140625" bestFit="1" customWidth="1"/>
    <col min="4732" max="4732" width="14.6640625" bestFit="1" customWidth="1"/>
    <col min="4733" max="4733" width="7.5546875" bestFit="1" customWidth="1"/>
    <col min="4734" max="4734" width="16" bestFit="1" customWidth="1"/>
    <col min="4735" max="4735" width="10" bestFit="1" customWidth="1"/>
    <col min="4736" max="4736" width="9.5546875" bestFit="1" customWidth="1"/>
    <col min="4737" max="4737" width="7.5546875" bestFit="1" customWidth="1"/>
    <col min="4738" max="4738" width="16" bestFit="1" customWidth="1"/>
    <col min="4739" max="4739" width="11.44140625" bestFit="1" customWidth="1"/>
    <col min="4740" max="4740" width="20" bestFit="1" customWidth="1"/>
    <col min="4741" max="4741" width="31" bestFit="1" customWidth="1"/>
    <col min="4742" max="4742" width="9.5546875" bestFit="1" customWidth="1"/>
    <col min="4743" max="4743" width="6.6640625" bestFit="1" customWidth="1"/>
    <col min="4744" max="4744" width="24.5546875" bestFit="1" customWidth="1"/>
    <col min="4745" max="4745" width="9.5546875" bestFit="1" customWidth="1"/>
    <col min="4746" max="4746" width="20.5546875" bestFit="1" customWidth="1"/>
    <col min="4747" max="4747" width="9.5546875" bestFit="1" customWidth="1"/>
    <col min="4748" max="4748" width="15.5546875" bestFit="1" customWidth="1"/>
    <col min="4749" max="4749" width="16.5546875" bestFit="1" customWidth="1"/>
    <col min="4750" max="4750" width="32" bestFit="1" customWidth="1"/>
    <col min="4751" max="4751" width="9.5546875" bestFit="1" customWidth="1"/>
    <col min="4752" max="4752" width="7.109375" bestFit="1" customWidth="1"/>
    <col min="4753" max="4753" width="6.6640625" bestFit="1" customWidth="1"/>
    <col min="4754" max="4754" width="20.109375" bestFit="1" customWidth="1"/>
    <col min="4755" max="4755" width="9.5546875" bestFit="1" customWidth="1"/>
    <col min="4756" max="4756" width="33.44140625" bestFit="1" customWidth="1"/>
    <col min="4757" max="4757" width="19.109375" bestFit="1" customWidth="1"/>
    <col min="4758" max="4758" width="15.5546875" bestFit="1" customWidth="1"/>
    <col min="4759" max="4759" width="16.5546875" bestFit="1" customWidth="1"/>
    <col min="4760" max="4760" width="32" bestFit="1" customWidth="1"/>
    <col min="4761" max="4762" width="9.5546875" bestFit="1" customWidth="1"/>
    <col min="4763" max="4763" width="15.5546875" bestFit="1" customWidth="1"/>
    <col min="4764" max="4764" width="16.5546875" bestFit="1" customWidth="1"/>
    <col min="4765" max="4765" width="33.44140625" bestFit="1" customWidth="1"/>
    <col min="4766" max="4766" width="9.5546875" bestFit="1" customWidth="1"/>
    <col min="4767" max="4767" width="7.109375" bestFit="1" customWidth="1"/>
    <col min="4768" max="4768" width="6.6640625" bestFit="1" customWidth="1"/>
    <col min="4769" max="4769" width="10" bestFit="1" customWidth="1"/>
    <col min="4770" max="4770" width="9.5546875" bestFit="1" customWidth="1"/>
    <col min="4771" max="4771" width="10" bestFit="1" customWidth="1"/>
    <col min="4772" max="4772" width="9.5546875" bestFit="1" customWidth="1"/>
    <col min="4773" max="4773" width="32.6640625" bestFit="1" customWidth="1"/>
    <col min="4774" max="4774" width="19.109375" bestFit="1" customWidth="1"/>
    <col min="4775" max="4775" width="15.5546875" bestFit="1" customWidth="1"/>
    <col min="4776" max="4776" width="16.5546875" bestFit="1" customWidth="1"/>
    <col min="4777" max="4777" width="27.44140625" bestFit="1" customWidth="1"/>
    <col min="4778" max="4778" width="9.5546875" bestFit="1" customWidth="1"/>
    <col min="4779" max="4779" width="7.109375" bestFit="1" customWidth="1"/>
    <col min="4780" max="4780" width="6.6640625" bestFit="1" customWidth="1"/>
    <col min="4781" max="4781" width="10" bestFit="1" customWidth="1"/>
    <col min="4782" max="4782" width="9.5546875" bestFit="1" customWidth="1"/>
    <col min="4783" max="4783" width="32.6640625" bestFit="1" customWidth="1"/>
    <col min="4784" max="4784" width="19.109375" bestFit="1" customWidth="1"/>
    <col min="4785" max="4785" width="15.5546875" bestFit="1" customWidth="1"/>
    <col min="4786" max="4786" width="16.5546875" bestFit="1" customWidth="1"/>
    <col min="4787" max="4787" width="27.44140625" bestFit="1" customWidth="1"/>
    <col min="4788" max="4788" width="9.5546875" bestFit="1" customWidth="1"/>
    <col min="4789" max="4789" width="7.109375" bestFit="1" customWidth="1"/>
    <col min="4790" max="4790" width="6.6640625" bestFit="1" customWidth="1"/>
    <col min="4791" max="4791" width="10" bestFit="1" customWidth="1"/>
    <col min="4792" max="4793" width="9.5546875" bestFit="1" customWidth="1"/>
    <col min="4794" max="4794" width="32.6640625" bestFit="1" customWidth="1"/>
    <col min="4795" max="4795" width="19.109375" bestFit="1" customWidth="1"/>
    <col min="4796" max="4796" width="15.5546875" bestFit="1" customWidth="1"/>
    <col min="4797" max="4797" width="16.5546875" bestFit="1" customWidth="1"/>
    <col min="4798" max="4798" width="27.44140625" bestFit="1" customWidth="1"/>
    <col min="4799" max="4799" width="9.5546875" bestFit="1" customWidth="1"/>
    <col min="4800" max="4800" width="7.109375" bestFit="1" customWidth="1"/>
    <col min="4801" max="4801" width="6.6640625" bestFit="1" customWidth="1"/>
    <col min="4802" max="4802" width="33.44140625" bestFit="1" customWidth="1"/>
    <col min="4803" max="4803" width="21.88671875" bestFit="1" customWidth="1"/>
    <col min="4804" max="4804" width="12.6640625" bestFit="1" customWidth="1"/>
    <col min="4805" max="4805" width="19.109375" bestFit="1" customWidth="1"/>
    <col min="4806" max="4806" width="15.5546875" bestFit="1" customWidth="1"/>
    <col min="4807" max="4807" width="16.5546875" bestFit="1" customWidth="1"/>
    <col min="4808" max="4808" width="10" bestFit="1" customWidth="1"/>
    <col min="4809" max="4809" width="9.5546875" bestFit="1" customWidth="1"/>
    <col min="4810" max="4810" width="7.109375" bestFit="1" customWidth="1"/>
    <col min="4811" max="4811" width="6.6640625" bestFit="1" customWidth="1"/>
    <col min="4812" max="4812" width="10" bestFit="1" customWidth="1"/>
    <col min="4813" max="4813" width="9.5546875" bestFit="1" customWidth="1"/>
    <col min="4814" max="4814" width="34.5546875" bestFit="1" customWidth="1"/>
    <col min="4815" max="4815" width="9.5546875" bestFit="1" customWidth="1"/>
    <col min="4816" max="4816" width="34.5546875" bestFit="1" customWidth="1"/>
    <col min="4817" max="4817" width="6.44140625" bestFit="1" customWidth="1"/>
    <col min="4818" max="4818" width="29.88671875" bestFit="1" customWidth="1"/>
    <col min="4819" max="4819" width="7.5546875" bestFit="1" customWidth="1"/>
    <col min="4820" max="4820" width="16" bestFit="1" customWidth="1"/>
    <col min="4821" max="4821" width="10" bestFit="1" customWidth="1"/>
    <col min="4822" max="4822" width="9.5546875" bestFit="1" customWidth="1"/>
    <col min="4823" max="4823" width="7.109375" bestFit="1" customWidth="1"/>
    <col min="4824" max="4824" width="7" bestFit="1" customWidth="1"/>
    <col min="4825" max="4825" width="32.44140625" bestFit="1" customWidth="1"/>
    <col min="4826" max="4826" width="9.5546875" bestFit="1" customWidth="1"/>
    <col min="4827" max="4827" width="28.109375" bestFit="1" customWidth="1"/>
    <col min="4828" max="4828" width="19.109375" bestFit="1" customWidth="1"/>
    <col min="4829" max="4829" width="15.5546875" bestFit="1" customWidth="1"/>
    <col min="4830" max="4830" width="16.5546875" bestFit="1" customWidth="1"/>
    <col min="4831" max="4831" width="29.6640625" bestFit="1" customWidth="1"/>
    <col min="4832" max="4832" width="9.5546875" bestFit="1" customWidth="1"/>
    <col min="4833" max="4833" width="7.109375" bestFit="1" customWidth="1"/>
    <col min="4834" max="4834" width="7" bestFit="1" customWidth="1"/>
    <col min="4835" max="4835" width="32.44140625" bestFit="1" customWidth="1"/>
    <col min="4836" max="4836" width="9.5546875" bestFit="1" customWidth="1"/>
    <col min="4837" max="4837" width="28.109375" bestFit="1" customWidth="1"/>
    <col min="4838" max="4838" width="19.109375" bestFit="1" customWidth="1"/>
    <col min="4839" max="4839" width="15.5546875" bestFit="1" customWidth="1"/>
    <col min="4840" max="4840" width="16.5546875" bestFit="1" customWidth="1"/>
    <col min="4841" max="4841" width="29.6640625" bestFit="1" customWidth="1"/>
    <col min="4842" max="4842" width="9.5546875" bestFit="1" customWidth="1"/>
    <col min="4843" max="4843" width="7.109375" bestFit="1" customWidth="1"/>
    <col min="4844" max="4844" width="6.6640625" bestFit="1" customWidth="1"/>
    <col min="4845" max="4845" width="33.88671875" bestFit="1" customWidth="1"/>
    <col min="4846" max="4846" width="9.5546875" bestFit="1" customWidth="1"/>
    <col min="4847" max="4847" width="6.44140625" bestFit="1" customWidth="1"/>
    <col min="4848" max="4848" width="14.6640625" bestFit="1" customWidth="1"/>
    <col min="4849" max="4849" width="7.5546875" bestFit="1" customWidth="1"/>
    <col min="4850" max="4850" width="16" bestFit="1" customWidth="1"/>
    <col min="4851" max="4851" width="10" bestFit="1" customWidth="1"/>
    <col min="4852" max="4852" width="9.5546875" bestFit="1" customWidth="1"/>
    <col min="4853" max="4853" width="7.5546875" bestFit="1" customWidth="1"/>
    <col min="4854" max="4854" width="16" bestFit="1" customWidth="1"/>
    <col min="4855" max="4855" width="11.44140625" bestFit="1" customWidth="1"/>
    <col min="4856" max="4856" width="20" bestFit="1" customWidth="1"/>
    <col min="4857" max="4857" width="31" bestFit="1" customWidth="1"/>
    <col min="4858" max="4858" width="9.5546875" bestFit="1" customWidth="1"/>
    <col min="4859" max="4859" width="33.44140625" bestFit="1" customWidth="1"/>
    <col min="4860" max="4860" width="20.5546875" bestFit="1" customWidth="1"/>
    <col min="4861" max="4861" width="9.5546875" bestFit="1" customWidth="1"/>
    <col min="4862" max="4862" width="7" bestFit="1" customWidth="1"/>
    <col min="4863" max="4863" width="32.44140625" bestFit="1" customWidth="1"/>
    <col min="4864" max="4864" width="9.5546875" bestFit="1" customWidth="1"/>
    <col min="4865" max="4865" width="33.44140625" bestFit="1" customWidth="1"/>
    <col min="4866" max="4866" width="19.109375" bestFit="1" customWidth="1"/>
    <col min="4867" max="4867" width="15.5546875" bestFit="1" customWidth="1"/>
    <col min="4868" max="4868" width="16.5546875" bestFit="1" customWidth="1"/>
    <col min="4869" max="4869" width="32" bestFit="1" customWidth="1"/>
    <col min="4870" max="4870" width="9.5546875" bestFit="1" customWidth="1"/>
    <col min="4871" max="4871" width="7.109375" bestFit="1" customWidth="1"/>
    <col min="4872" max="4872" width="6.6640625" bestFit="1" customWidth="1"/>
    <col min="4873" max="4873" width="31" bestFit="1" customWidth="1"/>
    <col min="4874" max="4874" width="9.5546875" bestFit="1" customWidth="1"/>
    <col min="4875" max="4875" width="33.44140625" bestFit="1" customWidth="1"/>
    <col min="4876" max="4876" width="19.109375" bestFit="1" customWidth="1"/>
    <col min="4877" max="4877" width="15.5546875" bestFit="1" customWidth="1"/>
    <col min="4878" max="4878" width="16.5546875" bestFit="1" customWidth="1"/>
    <col min="4879" max="4879" width="32" bestFit="1" customWidth="1"/>
    <col min="4880" max="4880" width="9.5546875" bestFit="1" customWidth="1"/>
    <col min="4881" max="4881" width="7.109375" bestFit="1" customWidth="1"/>
    <col min="4882" max="4882" width="6.6640625" bestFit="1" customWidth="1"/>
    <col min="4883" max="4883" width="31" bestFit="1" customWidth="1"/>
    <col min="4884" max="4884" width="9.5546875" bestFit="1" customWidth="1"/>
    <col min="4885" max="4885" width="33.44140625" bestFit="1" customWidth="1"/>
    <col min="4886" max="4886" width="19.109375" bestFit="1" customWidth="1"/>
    <col min="4887" max="4887" width="15.5546875" bestFit="1" customWidth="1"/>
    <col min="4888" max="4888" width="16.5546875" bestFit="1" customWidth="1"/>
    <col min="4889" max="4889" width="32" bestFit="1" customWidth="1"/>
    <col min="4890" max="4890" width="9.5546875" bestFit="1" customWidth="1"/>
    <col min="4891" max="4891" width="12.5546875" bestFit="1" customWidth="1"/>
    <col min="4892" max="4892" width="7.5546875" bestFit="1" customWidth="1"/>
    <col min="4893" max="4893" width="16" bestFit="1" customWidth="1"/>
    <col min="4894" max="4894" width="11.44140625" bestFit="1" customWidth="1"/>
    <col min="4895" max="4895" width="20" bestFit="1" customWidth="1"/>
    <col min="4896" max="4896" width="31" bestFit="1" customWidth="1"/>
    <col min="4897" max="4897" width="9.5546875" bestFit="1" customWidth="1"/>
    <col min="4898" max="4898" width="6.6640625" bestFit="1" customWidth="1"/>
    <col min="4899" max="4899" width="31" bestFit="1" customWidth="1"/>
    <col min="4900" max="4900" width="9.5546875" bestFit="1" customWidth="1"/>
    <col min="4901" max="4901" width="33.44140625" bestFit="1" customWidth="1"/>
    <col min="4902" max="4902" width="19.109375" bestFit="1" customWidth="1"/>
    <col min="4903" max="4903" width="15.5546875" bestFit="1" customWidth="1"/>
    <col min="4904" max="4904" width="16.5546875" bestFit="1" customWidth="1"/>
    <col min="4905" max="4905" width="32" bestFit="1" customWidth="1"/>
    <col min="4906" max="4906" width="9.5546875" bestFit="1" customWidth="1"/>
    <col min="4907" max="4907" width="31" bestFit="1" customWidth="1"/>
    <col min="4908" max="4908" width="9.5546875" bestFit="1" customWidth="1"/>
    <col min="4909" max="4909" width="7" bestFit="1" customWidth="1"/>
    <col min="4910" max="4910" width="35.6640625" bestFit="1" customWidth="1"/>
    <col min="4911" max="4912" width="9.5546875" bestFit="1" customWidth="1"/>
    <col min="4913" max="4913" width="34.5546875" bestFit="1" customWidth="1"/>
    <col min="4914" max="4914" width="19.109375" bestFit="1" customWidth="1"/>
    <col min="4915" max="4915" width="15.5546875" bestFit="1" customWidth="1"/>
    <col min="4916" max="4916" width="16.5546875" bestFit="1" customWidth="1"/>
    <col min="4917" max="4917" width="34.44140625" bestFit="1" customWidth="1"/>
    <col min="4918" max="4918" width="9.5546875" bestFit="1" customWidth="1"/>
    <col min="4919" max="4919" width="7.33203125" bestFit="1" customWidth="1"/>
    <col min="4920" max="4920" width="7" bestFit="1" customWidth="1"/>
    <col min="4921" max="4921" width="34.44140625" bestFit="1" customWidth="1"/>
    <col min="4922" max="4922" width="9.5546875" bestFit="1" customWidth="1"/>
    <col min="4923" max="4923" width="34.5546875" bestFit="1" customWidth="1"/>
    <col min="4924" max="4924" width="19.109375" bestFit="1" customWidth="1"/>
    <col min="4925" max="4925" width="15.5546875" bestFit="1" customWidth="1"/>
    <col min="4926" max="4926" width="16.5546875" bestFit="1" customWidth="1"/>
    <col min="4927" max="4927" width="34.44140625" bestFit="1" customWidth="1"/>
    <col min="4928" max="4928" width="9.5546875" bestFit="1" customWidth="1"/>
    <col min="4929" max="4929" width="14.6640625" bestFit="1" customWidth="1"/>
    <col min="4930" max="4930" width="7.5546875" bestFit="1" customWidth="1"/>
    <col min="4931" max="4931" width="16" bestFit="1" customWidth="1"/>
    <col min="4932" max="4932" width="10" bestFit="1" customWidth="1"/>
    <col min="4933" max="4933" width="9.5546875" bestFit="1" customWidth="1"/>
    <col min="4934" max="4934" width="7.33203125" bestFit="1" customWidth="1"/>
    <col min="4935" max="4935" width="7" bestFit="1" customWidth="1"/>
    <col min="4936" max="4936" width="34.44140625" bestFit="1" customWidth="1"/>
    <col min="4937" max="4937" width="9.5546875" bestFit="1" customWidth="1"/>
    <col min="4938" max="4938" width="34.5546875" bestFit="1" customWidth="1"/>
    <col min="4939" max="4939" width="19.109375" bestFit="1" customWidth="1"/>
    <col min="4940" max="4940" width="15.5546875" bestFit="1" customWidth="1"/>
    <col min="4941" max="4941" width="16.5546875" bestFit="1" customWidth="1"/>
    <col min="4942" max="4942" width="34.44140625" bestFit="1" customWidth="1"/>
    <col min="4943" max="4943" width="9.5546875" bestFit="1" customWidth="1"/>
    <col min="4944" max="4944" width="7.109375" bestFit="1" customWidth="1"/>
    <col min="4945" max="4945" width="6.6640625" bestFit="1" customWidth="1"/>
    <col min="4946" max="4946" width="27.44140625" bestFit="1" customWidth="1"/>
    <col min="4947" max="4947" width="9.5546875" bestFit="1" customWidth="1"/>
    <col min="4948" max="4948" width="10.6640625" bestFit="1" customWidth="1"/>
    <col min="4949" max="4949" width="6.44140625" bestFit="1" customWidth="1"/>
    <col min="4950" max="4950" width="45.33203125" bestFit="1" customWidth="1"/>
    <col min="4951" max="4951" width="7.5546875" bestFit="1" customWidth="1"/>
    <col min="4952" max="4952" width="16" bestFit="1" customWidth="1"/>
    <col min="4953" max="4953" width="31.6640625" bestFit="1" customWidth="1"/>
    <col min="4954" max="4955" width="9.5546875" bestFit="1" customWidth="1"/>
    <col min="4956" max="4956" width="6.6640625" bestFit="1" customWidth="1"/>
    <col min="4957" max="4957" width="31.6640625" bestFit="1" customWidth="1"/>
    <col min="4958" max="4958" width="9.5546875" bestFit="1" customWidth="1"/>
    <col min="4959" max="4959" width="6.44140625" bestFit="1" customWidth="1"/>
    <col min="4960" max="4960" width="45.33203125" bestFit="1" customWidth="1"/>
    <col min="4961" max="4961" width="7.5546875" bestFit="1" customWidth="1"/>
    <col min="4962" max="4962" width="16" bestFit="1" customWidth="1"/>
    <col min="4963" max="4963" width="31.6640625" bestFit="1" customWidth="1"/>
    <col min="4964" max="4964" width="9.5546875" bestFit="1" customWidth="1"/>
    <col min="4965" max="4965" width="6.6640625" bestFit="1" customWidth="1"/>
    <col min="4966" max="4966" width="31.6640625" bestFit="1" customWidth="1"/>
    <col min="4967" max="4968" width="9.5546875" bestFit="1" customWidth="1"/>
    <col min="4969" max="4969" width="32.6640625" bestFit="1" customWidth="1"/>
    <col min="4970" max="4970" width="19.109375" bestFit="1" customWidth="1"/>
    <col min="4971" max="4971" width="15.5546875" bestFit="1" customWidth="1"/>
    <col min="4972" max="4972" width="16.5546875" bestFit="1" customWidth="1"/>
    <col min="4973" max="4973" width="27.44140625" bestFit="1" customWidth="1"/>
    <col min="4974" max="4974" width="9.5546875" bestFit="1" customWidth="1"/>
    <col min="4975" max="4975" width="7.33203125" bestFit="1" customWidth="1"/>
    <col min="4976" max="4976" width="7.109375" bestFit="1" customWidth="1"/>
    <col min="4977" max="4977" width="32.44140625" bestFit="1" customWidth="1"/>
    <col min="4978" max="4978" width="34.5546875" bestFit="1" customWidth="1"/>
    <col min="4979" max="4979" width="27.44140625" bestFit="1" customWidth="1"/>
    <col min="4980" max="4980" width="19.109375" bestFit="1" customWidth="1"/>
    <col min="4981" max="4981" width="15.5546875" bestFit="1" customWidth="1"/>
    <col min="4982" max="4982" width="16.5546875" bestFit="1" customWidth="1"/>
    <col min="4983" max="4983" width="22.88671875" bestFit="1" customWidth="1"/>
    <col min="4984" max="4984" width="9.5546875" bestFit="1" customWidth="1"/>
    <col min="4985" max="4985" width="7.33203125" bestFit="1" customWidth="1"/>
    <col min="4986" max="4986" width="6.6640625" bestFit="1" customWidth="1"/>
    <col min="4987" max="4987" width="32" bestFit="1" customWidth="1"/>
    <col min="4988" max="4988" width="9.5546875" bestFit="1" customWidth="1"/>
    <col min="4989" max="4989" width="33.44140625" bestFit="1" customWidth="1"/>
    <col min="4990" max="4990" width="19.109375" bestFit="1" customWidth="1"/>
    <col min="4991" max="4991" width="15.5546875" bestFit="1" customWidth="1"/>
    <col min="4992" max="4992" width="16.5546875" bestFit="1" customWidth="1"/>
    <col min="4993" max="4993" width="31" bestFit="1" customWidth="1"/>
    <col min="4994" max="4994" width="9.5546875" bestFit="1" customWidth="1"/>
    <col min="4995" max="4995" width="7.33203125" bestFit="1" customWidth="1"/>
    <col min="4996" max="4996" width="6.6640625" bestFit="1" customWidth="1"/>
    <col min="4997" max="4997" width="32" bestFit="1" customWidth="1"/>
    <col min="4998" max="4998" width="9.5546875" bestFit="1" customWidth="1"/>
    <col min="4999" max="4999" width="33.44140625" bestFit="1" customWidth="1"/>
    <col min="5000" max="5000" width="19.109375" bestFit="1" customWidth="1"/>
    <col min="5001" max="5001" width="15.5546875" bestFit="1" customWidth="1"/>
    <col min="5002" max="5002" width="16.5546875" bestFit="1" customWidth="1"/>
    <col min="5003" max="5003" width="31" bestFit="1" customWidth="1"/>
    <col min="5004" max="5004" width="9.5546875" bestFit="1" customWidth="1"/>
    <col min="5005" max="5005" width="7.33203125" bestFit="1" customWidth="1"/>
    <col min="5006" max="5006" width="6.6640625" bestFit="1" customWidth="1"/>
    <col min="5007" max="5007" width="32" bestFit="1" customWidth="1"/>
    <col min="5008" max="5008" width="9.5546875" bestFit="1" customWidth="1"/>
    <col min="5009" max="5009" width="34.5546875" bestFit="1" customWidth="1"/>
    <col min="5010" max="5010" width="19.109375" bestFit="1" customWidth="1"/>
    <col min="5011" max="5011" width="15.5546875" bestFit="1" customWidth="1"/>
    <col min="5012" max="5012" width="16.5546875" bestFit="1" customWidth="1"/>
    <col min="5013" max="5013" width="35.6640625" bestFit="1" customWidth="1"/>
    <col min="5014" max="5014" width="9.5546875" bestFit="1" customWidth="1"/>
    <col min="5015" max="5015" width="7.33203125" bestFit="1" customWidth="1"/>
    <col min="5016" max="5016" width="6.6640625" bestFit="1" customWidth="1"/>
    <col min="5017" max="5017" width="33.44140625" bestFit="1" customWidth="1"/>
    <col min="5018" max="5018" width="21.88671875" bestFit="1" customWidth="1"/>
    <col min="5019" max="5019" width="9.5546875" bestFit="1" customWidth="1"/>
    <col min="5020" max="5020" width="28.109375" bestFit="1" customWidth="1"/>
    <col min="5021" max="5021" width="19.109375" bestFit="1" customWidth="1"/>
    <col min="5022" max="5022" width="15.5546875" bestFit="1" customWidth="1"/>
    <col min="5023" max="5023" width="16.5546875" bestFit="1" customWidth="1"/>
    <col min="5024" max="5024" width="20.109375" bestFit="1" customWidth="1"/>
    <col min="5025" max="5025" width="9.5546875" bestFit="1" customWidth="1"/>
    <col min="5026" max="5026" width="7.33203125" bestFit="1" customWidth="1"/>
    <col min="5027" max="5027" width="7" bestFit="1" customWidth="1"/>
    <col min="5028" max="5028" width="35.6640625" bestFit="1" customWidth="1"/>
    <col min="5029" max="5029" width="9.5546875" bestFit="1" customWidth="1"/>
    <col min="5030" max="5030" width="34.5546875" bestFit="1" customWidth="1"/>
    <col min="5031" max="5031" width="19.109375" bestFit="1" customWidth="1"/>
    <col min="5032" max="5032" width="15.5546875" bestFit="1" customWidth="1"/>
    <col min="5033" max="5033" width="16.5546875" bestFit="1" customWidth="1"/>
    <col min="5034" max="5034" width="35.6640625" bestFit="1" customWidth="1"/>
    <col min="5035" max="5035" width="34.5546875" bestFit="1" customWidth="1"/>
    <col min="5036" max="5036" width="7.33203125" bestFit="1" customWidth="1"/>
    <col min="5037" max="5037" width="6.6640625" bestFit="1" customWidth="1"/>
    <col min="5038" max="5038" width="31.6640625" bestFit="1" customWidth="1"/>
    <col min="5039" max="5039" width="9.5546875" bestFit="1" customWidth="1"/>
    <col min="5040" max="5040" width="22.6640625" bestFit="1" customWidth="1"/>
    <col min="5041" max="5041" width="19.109375" bestFit="1" customWidth="1"/>
    <col min="5042" max="5042" width="15.5546875" bestFit="1" customWidth="1"/>
    <col min="5043" max="5043" width="16.5546875" bestFit="1" customWidth="1"/>
    <col min="5044" max="5044" width="33.44140625" bestFit="1" customWidth="1"/>
    <col min="5045" max="5045" width="9.5546875" bestFit="1" customWidth="1"/>
    <col min="5046" max="5046" width="7.33203125" bestFit="1" customWidth="1"/>
    <col min="5047" max="5047" width="7.44140625" bestFit="1" customWidth="1"/>
    <col min="5048" max="5048" width="32.44140625" bestFit="1" customWidth="1"/>
    <col min="5049" max="5049" width="9.5546875" bestFit="1" customWidth="1"/>
    <col min="5050" max="5050" width="25.33203125" bestFit="1" customWidth="1"/>
    <col min="5051" max="5051" width="19.109375" bestFit="1" customWidth="1"/>
    <col min="5052" max="5052" width="15.5546875" bestFit="1" customWidth="1"/>
    <col min="5053" max="5053" width="16.5546875" bestFit="1" customWidth="1"/>
    <col min="5054" max="5054" width="10" bestFit="1" customWidth="1"/>
    <col min="5055" max="5055" width="9.5546875" bestFit="1" customWidth="1"/>
    <col min="5056" max="5056" width="7.33203125" bestFit="1" customWidth="1"/>
    <col min="5057" max="5057" width="7.44140625" bestFit="1" customWidth="1"/>
    <col min="5058" max="5058" width="32.44140625" bestFit="1" customWidth="1"/>
    <col min="5059" max="5059" width="9.5546875" bestFit="1" customWidth="1"/>
    <col min="5060" max="5060" width="25.33203125" bestFit="1" customWidth="1"/>
    <col min="5061" max="5061" width="19.109375" bestFit="1" customWidth="1"/>
    <col min="5062" max="5062" width="15.5546875" bestFit="1" customWidth="1"/>
    <col min="5063" max="5063" width="16.5546875" bestFit="1" customWidth="1"/>
    <col min="5064" max="5064" width="10" bestFit="1" customWidth="1"/>
    <col min="5065" max="5065" width="9.5546875" bestFit="1" customWidth="1"/>
    <col min="5066" max="5066" width="7.33203125" bestFit="1" customWidth="1"/>
    <col min="5067" max="5067" width="6.6640625" bestFit="1" customWidth="1"/>
    <col min="5068" max="5068" width="32" bestFit="1" customWidth="1"/>
    <col min="5069" max="5069" width="9.5546875" bestFit="1" customWidth="1"/>
    <col min="5070" max="5070" width="30.88671875" bestFit="1" customWidth="1"/>
    <col min="5071" max="5071" width="19.109375" bestFit="1" customWidth="1"/>
    <col min="5072" max="5072" width="15.5546875" bestFit="1" customWidth="1"/>
    <col min="5073" max="5073" width="16.5546875" bestFit="1" customWidth="1"/>
    <col min="5074" max="5074" width="34.44140625" bestFit="1" customWidth="1"/>
    <col min="5075" max="5075" width="9.5546875" bestFit="1" customWidth="1"/>
    <col min="5076" max="5076" width="7.33203125" bestFit="1" customWidth="1"/>
    <col min="5077" max="5077" width="7" bestFit="1" customWidth="1"/>
    <col min="5078" max="5078" width="35.6640625" bestFit="1" customWidth="1"/>
    <col min="5079" max="5079" width="9.5546875" bestFit="1" customWidth="1"/>
    <col min="5080" max="5080" width="22.109375" bestFit="1" customWidth="1"/>
    <col min="5081" max="5081" width="19.109375" bestFit="1" customWidth="1"/>
    <col min="5082" max="5082" width="15.5546875" bestFit="1" customWidth="1"/>
    <col min="5083" max="5083" width="16.5546875" bestFit="1" customWidth="1"/>
    <col min="5084" max="5084" width="35.6640625" bestFit="1" customWidth="1"/>
    <col min="5085" max="5085" width="9.5546875" bestFit="1" customWidth="1"/>
    <col min="5086" max="5086" width="7.33203125" bestFit="1" customWidth="1"/>
    <col min="5087" max="5087" width="7" bestFit="1" customWidth="1"/>
    <col min="5088" max="5088" width="35.6640625" bestFit="1" customWidth="1"/>
    <col min="5089" max="5090" width="9.5546875" bestFit="1" customWidth="1"/>
    <col min="5091" max="5091" width="21.88671875" bestFit="1" customWidth="1"/>
    <col min="5092" max="5092" width="24.88671875" bestFit="1" customWidth="1"/>
    <col min="5093" max="5093" width="19.109375" bestFit="1" customWidth="1"/>
    <col min="5094" max="5094" width="15.5546875" bestFit="1" customWidth="1"/>
    <col min="5095" max="5095" width="16.5546875" bestFit="1" customWidth="1"/>
    <col min="5096" max="5096" width="27.44140625" bestFit="1" customWidth="1"/>
    <col min="5097" max="5097" width="21.88671875" bestFit="1" customWidth="1"/>
    <col min="5098" max="5098" width="7.33203125" bestFit="1" customWidth="1"/>
    <col min="5099" max="5099" width="6.6640625" bestFit="1" customWidth="1"/>
    <col min="5100" max="5100" width="33.44140625" bestFit="1" customWidth="1"/>
    <col min="5101" max="5101" width="21.88671875" bestFit="1" customWidth="1"/>
    <col min="5102" max="5102" width="24.88671875" bestFit="1" customWidth="1"/>
    <col min="5103" max="5103" width="19.109375" bestFit="1" customWidth="1"/>
    <col min="5104" max="5104" width="15.5546875" bestFit="1" customWidth="1"/>
    <col min="5105" max="5105" width="16.5546875" bestFit="1" customWidth="1"/>
    <col min="5106" max="5106" width="27.44140625" bestFit="1" customWidth="1"/>
    <col min="5107" max="5107" width="21.88671875" bestFit="1" customWidth="1"/>
    <col min="5108" max="5108" width="7.33203125" bestFit="1" customWidth="1"/>
    <col min="5109" max="5109" width="7" bestFit="1" customWidth="1"/>
    <col min="5110" max="5110" width="35.6640625" bestFit="1" customWidth="1"/>
    <col min="5111" max="5111" width="9.5546875" bestFit="1" customWidth="1"/>
    <col min="5112" max="5112" width="24" bestFit="1" customWidth="1"/>
    <col min="5113" max="5113" width="19.109375" bestFit="1" customWidth="1"/>
    <col min="5114" max="5114" width="15.5546875" bestFit="1" customWidth="1"/>
    <col min="5115" max="5115" width="16.5546875" bestFit="1" customWidth="1"/>
    <col min="5116" max="5116" width="35.6640625" bestFit="1" customWidth="1"/>
    <col min="5117" max="5117" width="34.5546875" bestFit="1" customWidth="1"/>
    <col min="5118" max="5118" width="7.33203125" bestFit="1" customWidth="1"/>
    <col min="5119" max="5119" width="6.6640625" bestFit="1" customWidth="1"/>
    <col min="5120" max="5120" width="33.88671875" bestFit="1" customWidth="1"/>
    <col min="5121" max="5121" width="9.5546875" bestFit="1" customWidth="1"/>
    <col min="5122" max="5122" width="12.6640625" bestFit="1" customWidth="1"/>
    <col min="5123" max="5123" width="19.109375" bestFit="1" customWidth="1"/>
    <col min="5124" max="5124" width="15.5546875" bestFit="1" customWidth="1"/>
    <col min="5125" max="5125" width="16.5546875" bestFit="1" customWidth="1"/>
    <col min="5126" max="5126" width="10" bestFit="1" customWidth="1"/>
    <col min="5127" max="5127" width="9.5546875" bestFit="1" customWidth="1"/>
    <col min="5128" max="5128" width="7.109375" bestFit="1" customWidth="1"/>
    <col min="5129" max="5129" width="6.6640625" bestFit="1" customWidth="1"/>
    <col min="5130" max="5130" width="10" bestFit="1" customWidth="1"/>
    <col min="5131" max="5131" width="9.5546875" bestFit="1" customWidth="1"/>
    <col min="5132" max="5132" width="27.44140625" bestFit="1" customWidth="1"/>
    <col min="5133" max="5133" width="19.109375" bestFit="1" customWidth="1"/>
    <col min="5134" max="5134" width="15.5546875" bestFit="1" customWidth="1"/>
    <col min="5135" max="5135" width="16.5546875" bestFit="1" customWidth="1"/>
    <col min="5136" max="5136" width="35.6640625" bestFit="1" customWidth="1"/>
    <col min="5137" max="5137" width="9.5546875" bestFit="1" customWidth="1"/>
    <col min="5138" max="5138" width="7.33203125" bestFit="1" customWidth="1"/>
    <col min="5139" max="5139" width="7" bestFit="1" customWidth="1"/>
    <col min="5140" max="5140" width="35.6640625" bestFit="1" customWidth="1"/>
    <col min="5141" max="5142" width="34.5546875" bestFit="1" customWidth="1"/>
    <col min="5143" max="5143" width="27.44140625" bestFit="1" customWidth="1"/>
    <col min="5144" max="5144" width="19.109375" bestFit="1" customWidth="1"/>
    <col min="5145" max="5145" width="15.5546875" bestFit="1" customWidth="1"/>
    <col min="5146" max="5146" width="16.5546875" bestFit="1" customWidth="1"/>
    <col min="5147" max="5147" width="35.6640625" bestFit="1" customWidth="1"/>
    <col min="5148" max="5148" width="9.5546875" bestFit="1" customWidth="1"/>
    <col min="5149" max="5149" width="7.33203125" bestFit="1" customWidth="1"/>
    <col min="5150" max="5150" width="6.6640625" bestFit="1" customWidth="1"/>
    <col min="5151" max="5151" width="33.44140625" bestFit="1" customWidth="1"/>
    <col min="5152" max="5152" width="21.88671875" bestFit="1" customWidth="1"/>
    <col min="5153" max="5153" width="37.33203125" bestFit="1" customWidth="1"/>
    <col min="5154" max="5154" width="19.109375" bestFit="1" customWidth="1"/>
    <col min="5155" max="5155" width="15.5546875" bestFit="1" customWidth="1"/>
    <col min="5156" max="5156" width="16.5546875" bestFit="1" customWidth="1"/>
    <col min="5157" max="5157" width="18.88671875" bestFit="1" customWidth="1"/>
    <col min="5158" max="5158" width="9.5546875" bestFit="1" customWidth="1"/>
    <col min="5159" max="5159" width="7.33203125" bestFit="1" customWidth="1"/>
    <col min="5160" max="5160" width="6.6640625" bestFit="1" customWidth="1"/>
    <col min="5161" max="5161" width="33.88671875" bestFit="1" customWidth="1"/>
    <col min="5162" max="5162" width="21.88671875" bestFit="1" customWidth="1"/>
    <col min="5163" max="5163" width="32.109375" bestFit="1" customWidth="1"/>
    <col min="5164" max="5164" width="19.109375" bestFit="1" customWidth="1"/>
    <col min="5165" max="5165" width="15.5546875" bestFit="1" customWidth="1"/>
    <col min="5166" max="5166" width="16.5546875" bestFit="1" customWidth="1"/>
    <col min="5167" max="5167" width="27.44140625" bestFit="1" customWidth="1"/>
    <col min="5168" max="5168" width="9.5546875" bestFit="1" customWidth="1"/>
    <col min="5169" max="5169" width="38.5546875" bestFit="1" customWidth="1"/>
    <col min="5170" max="5170" width="7.5546875" bestFit="1" customWidth="1"/>
    <col min="5171" max="5171" width="16" bestFit="1" customWidth="1"/>
    <col min="5172" max="5172" width="31.6640625" bestFit="1" customWidth="1"/>
    <col min="5173" max="5173" width="9.5546875" bestFit="1" customWidth="1"/>
    <col min="5174" max="5174" width="15.5546875" bestFit="1" customWidth="1"/>
    <col min="5175" max="5175" width="16.5546875" bestFit="1" customWidth="1"/>
    <col min="5176" max="5176" width="27.44140625" bestFit="1" customWidth="1"/>
    <col min="5177" max="5177" width="9.5546875" bestFit="1" customWidth="1"/>
    <col min="5178" max="5178" width="10" bestFit="1" customWidth="1"/>
    <col min="5179" max="5179" width="9.5546875" bestFit="1" customWidth="1"/>
    <col min="5180" max="5180" width="7.109375" bestFit="1" customWidth="1"/>
    <col min="5181" max="5181" width="6.6640625" bestFit="1" customWidth="1"/>
    <col min="5182" max="5182" width="10" bestFit="1" customWidth="1"/>
    <col min="5183" max="5183" width="9.5546875" bestFit="1" customWidth="1"/>
    <col min="5184" max="5184" width="29.6640625" bestFit="1" customWidth="1"/>
    <col min="5185" max="5185" width="34.5546875" bestFit="1" customWidth="1"/>
    <col min="5186" max="5186" width="38.44140625" bestFit="1" customWidth="1"/>
    <col min="5187" max="5187" width="10" bestFit="1" customWidth="1"/>
    <col min="5188" max="5188" width="9.5546875" bestFit="1" customWidth="1"/>
    <col min="5189" max="5189" width="6.44140625" bestFit="1" customWidth="1"/>
    <col min="5190" max="5190" width="9.5546875" bestFit="1" customWidth="1"/>
    <col min="5191" max="5191" width="9.109375" bestFit="1" customWidth="1"/>
    <col min="5192" max="5192" width="27.44140625" bestFit="1" customWidth="1"/>
    <col min="5193" max="5193" width="32.109375" bestFit="1" customWidth="1"/>
    <col min="5194" max="5194" width="6.44140625" bestFit="1" customWidth="1"/>
    <col min="5195" max="5195" width="27.44140625" customWidth="1"/>
    <col min="5196" max="5196" width="9.109375" bestFit="1" customWidth="1"/>
    <col min="5197" max="5197" width="32.109375" bestFit="1" customWidth="1"/>
    <col min="5198" max="5198" width="6.109375" bestFit="1" customWidth="1"/>
    <col min="5199" max="5199" width="14.109375" bestFit="1" customWidth="1"/>
    <col min="5200" max="5200" width="7.109375" bestFit="1" customWidth="1"/>
    <col min="5201" max="5201" width="15.33203125" bestFit="1" customWidth="1"/>
    <col min="5202" max="5202" width="9.5546875" bestFit="1" customWidth="1"/>
    <col min="5203" max="5203" width="9.109375" bestFit="1" customWidth="1"/>
    <col min="5204" max="5204" width="6.44140625" bestFit="1" customWidth="1"/>
    <col min="5205" max="5205" width="27.44140625" bestFit="1" customWidth="1"/>
    <col min="5206" max="5207" width="9.109375" bestFit="1" customWidth="1"/>
    <col min="5208" max="5208" width="25.88671875" bestFit="1" customWidth="1"/>
    <col min="5209" max="5209" width="18.33203125" bestFit="1" customWidth="1"/>
    <col min="5210" max="5210" width="14.6640625" bestFit="1" customWidth="1"/>
    <col min="5211" max="5211" width="15.6640625" bestFit="1" customWidth="1"/>
    <col min="5212" max="5212" width="27.44140625" bestFit="1" customWidth="1"/>
    <col min="5213" max="5213" width="9.109375" bestFit="1" customWidth="1"/>
    <col min="5214" max="5214" width="6.6640625" bestFit="1" customWidth="1"/>
    <col min="5215" max="5215" width="6.5546875" bestFit="1" customWidth="1"/>
    <col min="5216" max="5216" width="21.109375" bestFit="1" customWidth="1"/>
    <col min="5217" max="5217" width="9.109375" bestFit="1" customWidth="1"/>
    <col min="5218" max="5218" width="27.44140625" bestFit="1" customWidth="1"/>
    <col min="5219" max="5219" width="19.109375" bestFit="1" customWidth="1"/>
    <col min="5220" max="5220" width="15.5546875" bestFit="1" customWidth="1"/>
    <col min="5221" max="5221" width="16.5546875" bestFit="1" customWidth="1"/>
    <col min="5222" max="5222" width="35.6640625" bestFit="1" customWidth="1"/>
    <col min="5223" max="5223" width="34.5546875" bestFit="1" customWidth="1"/>
    <col min="5224" max="5224" width="10" bestFit="1" customWidth="1"/>
    <col min="5225" max="5225" width="9.5546875" bestFit="1" customWidth="1"/>
    <col min="5226" max="5226" width="6.44140625" bestFit="1" customWidth="1"/>
    <col min="5227" max="5227" width="14.6640625" bestFit="1" customWidth="1"/>
    <col min="5228" max="5228" width="7.5546875" bestFit="1" customWidth="1"/>
    <col min="5229" max="5229" width="16" bestFit="1" customWidth="1"/>
    <col min="5230" max="5230" width="10" bestFit="1" customWidth="1"/>
    <col min="5231" max="5231" width="9.5546875" bestFit="1" customWidth="1"/>
    <col min="5232" max="5233" width="7.109375" bestFit="1" customWidth="1"/>
    <col min="5234" max="5234" width="22.88671875" bestFit="1" customWidth="1"/>
    <col min="5235" max="5235" width="9.5546875" bestFit="1" customWidth="1"/>
    <col min="5236" max="5236" width="27.33203125" bestFit="1" customWidth="1"/>
    <col min="5237" max="5237" width="19.109375" bestFit="1" customWidth="1"/>
    <col min="5238" max="5238" width="15.5546875" bestFit="1" customWidth="1"/>
    <col min="5239" max="5239" width="16.5546875" bestFit="1" customWidth="1"/>
    <col min="5240" max="5240" width="29.6640625" bestFit="1" customWidth="1"/>
    <col min="5241" max="5241" width="9.5546875" bestFit="1" customWidth="1"/>
    <col min="5242" max="5243" width="7.109375" bestFit="1" customWidth="1"/>
    <col min="5244" max="5244" width="22.88671875" bestFit="1" customWidth="1"/>
    <col min="5245" max="5245" width="9.5546875" bestFit="1" customWidth="1"/>
    <col min="5246" max="5246" width="27.33203125" bestFit="1" customWidth="1"/>
    <col min="5247" max="5247" width="19.109375" bestFit="1" customWidth="1"/>
    <col min="5248" max="5248" width="15.5546875" bestFit="1" customWidth="1"/>
    <col min="5249" max="5249" width="16.5546875" bestFit="1" customWidth="1"/>
    <col min="5250" max="5250" width="29.6640625" bestFit="1" customWidth="1"/>
    <col min="5251" max="5251" width="9.5546875" bestFit="1" customWidth="1"/>
    <col min="5252" max="5252" width="10" bestFit="1" customWidth="1"/>
    <col min="5253" max="5253" width="9.5546875" bestFit="1" customWidth="1"/>
    <col min="5254" max="5254" width="38.44140625" customWidth="1"/>
    <col min="5255" max="5255" width="19.109375" bestFit="1" customWidth="1"/>
    <col min="5256" max="5256" width="15.5546875" bestFit="1" customWidth="1"/>
    <col min="5257" max="5257" width="16.5546875" bestFit="1" customWidth="1"/>
    <col min="5258" max="5258" width="31" bestFit="1" customWidth="1"/>
    <col min="5259" max="5259" width="9.5546875" bestFit="1" customWidth="1"/>
    <col min="5260" max="5260" width="10" bestFit="1" customWidth="1"/>
    <col min="5261" max="5261" width="9.5546875" bestFit="1" customWidth="1"/>
    <col min="5262" max="5262" width="38.44140625" bestFit="1" customWidth="1"/>
    <col min="5263" max="5263" width="19.109375" bestFit="1" customWidth="1"/>
    <col min="5264" max="5264" width="15.5546875" bestFit="1" customWidth="1"/>
    <col min="5265" max="5265" width="16.5546875" bestFit="1" customWidth="1"/>
    <col min="5266" max="5266" width="31" bestFit="1" customWidth="1"/>
    <col min="5267" max="5267" width="9.5546875" bestFit="1" customWidth="1"/>
    <col min="5268" max="5268" width="7.33203125" bestFit="1" customWidth="1"/>
    <col min="5269" max="5269" width="7.109375" bestFit="1" customWidth="1"/>
    <col min="5270" max="5270" width="31" bestFit="1" customWidth="1"/>
    <col min="5271" max="5271" width="9.5546875" bestFit="1" customWidth="1"/>
    <col min="5272" max="5272" width="10" bestFit="1" customWidth="1"/>
    <col min="5273" max="5274" width="9.5546875" bestFit="1" customWidth="1"/>
    <col min="5275" max="5275" width="7.44140625" bestFit="1" customWidth="1"/>
    <col min="5276" max="5276" width="33.44140625" bestFit="1" customWidth="1"/>
    <col min="5277" max="5277" width="34.5546875" bestFit="1" customWidth="1"/>
    <col min="5278" max="5278" width="27.33203125" bestFit="1" customWidth="1"/>
    <col min="5279" max="5279" width="19.109375" bestFit="1" customWidth="1"/>
    <col min="5280" max="5280" width="15.5546875" bestFit="1" customWidth="1"/>
    <col min="5281" max="5281" width="16.5546875" bestFit="1" customWidth="1"/>
    <col min="5282" max="5282" width="29.6640625" bestFit="1" customWidth="1"/>
    <col min="5283" max="5283" width="9.5546875" bestFit="1" customWidth="1"/>
    <col min="5284" max="5284" width="7.33203125" bestFit="1" customWidth="1"/>
    <col min="5285" max="5285" width="7.109375" bestFit="1" customWidth="1"/>
    <col min="5286" max="5286" width="31" bestFit="1" customWidth="1"/>
    <col min="5287" max="5287" width="9.5546875" bestFit="1" customWidth="1"/>
    <col min="5288" max="5288" width="10" bestFit="1" customWidth="1"/>
    <col min="5289" max="5289" width="9.5546875" bestFit="1" customWidth="1"/>
    <col min="5290" max="5290" width="7.44140625" bestFit="1" customWidth="1"/>
    <col min="5291" max="5291" width="33.44140625" bestFit="1" customWidth="1"/>
    <col min="5292" max="5292" width="34.5546875" bestFit="1" customWidth="1"/>
    <col min="5293" max="5293" width="27.33203125" bestFit="1" customWidth="1"/>
    <col min="5294" max="5294" width="19.109375" bestFit="1" customWidth="1"/>
    <col min="5295" max="5295" width="15.5546875" bestFit="1" customWidth="1"/>
    <col min="5296" max="5296" width="16.5546875" bestFit="1" customWidth="1"/>
    <col min="5297" max="5297" width="29.6640625" bestFit="1" customWidth="1"/>
    <col min="5298" max="5298" width="9.5546875" bestFit="1" customWidth="1"/>
    <col min="5299" max="5299" width="7.33203125" bestFit="1" customWidth="1"/>
    <col min="5300" max="5300" width="7.109375" bestFit="1" customWidth="1"/>
    <col min="5301" max="5301" width="33.44140625" bestFit="1" customWidth="1"/>
    <col min="5302" max="5302" width="9.5546875" bestFit="1" customWidth="1"/>
    <col min="5303" max="5304" width="34.5546875" bestFit="1" customWidth="1"/>
    <col min="5305" max="5305" width="30.88671875" bestFit="1" customWidth="1"/>
    <col min="5306" max="5306" width="19.109375" bestFit="1" customWidth="1"/>
    <col min="5307" max="5307" width="15.5546875" bestFit="1" customWidth="1"/>
    <col min="5308" max="5308" width="16.5546875" bestFit="1" customWidth="1"/>
    <col min="5309" max="5309" width="33.44140625" bestFit="1" customWidth="1"/>
    <col min="5310" max="5310" width="9.5546875" bestFit="1" customWidth="1"/>
    <col min="5311" max="5311" width="10" bestFit="1" customWidth="1"/>
    <col min="5312" max="5312" width="9.5546875" bestFit="1" customWidth="1"/>
    <col min="5313" max="5313" width="38.44140625" bestFit="1" customWidth="1"/>
    <col min="5314" max="5314" width="19.109375" bestFit="1" customWidth="1"/>
    <col min="5315" max="5315" width="15.5546875" bestFit="1" customWidth="1"/>
    <col min="5316" max="5316" width="16.5546875" bestFit="1" customWidth="1"/>
    <col min="5317" max="5317" width="31" bestFit="1" customWidth="1"/>
    <col min="5318" max="5318" width="9.5546875" bestFit="1" customWidth="1"/>
    <col min="5319" max="5319" width="7.109375" bestFit="1" customWidth="1"/>
    <col min="5320" max="5320" width="6.6640625" bestFit="1" customWidth="1"/>
    <col min="5321" max="5321" width="10" bestFit="1" customWidth="1"/>
    <col min="5322" max="5322" width="9.5546875" bestFit="1" customWidth="1"/>
    <col min="5323" max="5323" width="27.44140625" bestFit="1" customWidth="1"/>
    <col min="5324" max="5324" width="9.5546875" bestFit="1" customWidth="1"/>
    <col min="5325" max="5325" width="38.44140625" bestFit="1" customWidth="1"/>
    <col min="5326" max="5326" width="19.109375" bestFit="1" customWidth="1"/>
    <col min="5327" max="5327" width="15.5546875" bestFit="1" customWidth="1"/>
    <col min="5328" max="5328" width="16.5546875" bestFit="1" customWidth="1"/>
    <col min="5329" max="5329" width="31" bestFit="1" customWidth="1"/>
    <col min="5330" max="5330" width="9.5546875" bestFit="1" customWidth="1"/>
    <col min="5331" max="5331" width="7.109375" bestFit="1" customWidth="1"/>
    <col min="5332" max="5332" width="6.6640625" bestFit="1" customWidth="1"/>
    <col min="5333" max="5333" width="31" bestFit="1" customWidth="1"/>
    <col min="5334" max="5334" width="9.5546875" bestFit="1" customWidth="1"/>
    <col min="5335" max="5335" width="38.44140625" bestFit="1" customWidth="1"/>
    <col min="5336" max="5336" width="19.109375" bestFit="1" customWidth="1"/>
    <col min="5337" max="5337" width="15.5546875" bestFit="1" customWidth="1"/>
    <col min="5338" max="5338" width="16.5546875" bestFit="1" customWidth="1"/>
    <col min="5339" max="5339" width="31" bestFit="1" customWidth="1"/>
    <col min="5340" max="5340" width="9.5546875" bestFit="1" customWidth="1"/>
    <col min="5341" max="5341" width="7.109375" bestFit="1" customWidth="1"/>
    <col min="5342" max="5342" width="6.6640625" bestFit="1" customWidth="1"/>
    <col min="5343" max="5343" width="31" bestFit="1" customWidth="1"/>
    <col min="5344" max="5344" width="9.5546875" bestFit="1" customWidth="1"/>
    <col min="5345" max="5345" width="38.44140625" bestFit="1" customWidth="1"/>
    <col min="5346" max="5346" width="19.109375" bestFit="1" customWidth="1"/>
    <col min="5347" max="5347" width="15.5546875" bestFit="1" customWidth="1"/>
    <col min="5348" max="5348" width="16.5546875" bestFit="1" customWidth="1"/>
    <col min="5349" max="5349" width="31" bestFit="1" customWidth="1"/>
    <col min="5350" max="5350" width="9.5546875" bestFit="1" customWidth="1"/>
    <col min="5351" max="5351" width="7.33203125" bestFit="1" customWidth="1"/>
    <col min="5352" max="5352" width="6.6640625" bestFit="1" customWidth="1"/>
    <col min="5353" max="5353" width="31" bestFit="1" customWidth="1"/>
    <col min="5354" max="5354" width="9.5546875" bestFit="1" customWidth="1"/>
    <col min="5355" max="5355" width="38.44140625" bestFit="1" customWidth="1"/>
    <col min="5356" max="5356" width="19.109375" bestFit="1" customWidth="1"/>
    <col min="5357" max="5357" width="15.5546875" bestFit="1" customWidth="1"/>
    <col min="5358" max="5358" width="16.5546875" bestFit="1" customWidth="1"/>
    <col min="5359" max="5359" width="31" bestFit="1" customWidth="1"/>
    <col min="5360" max="5360" width="9.5546875" bestFit="1" customWidth="1"/>
    <col min="5361" max="5361" width="7.33203125" bestFit="1" customWidth="1"/>
    <col min="5362" max="5362" width="6.6640625" bestFit="1" customWidth="1"/>
    <col min="5363" max="5363" width="31" bestFit="1" customWidth="1"/>
    <col min="5364" max="5365" width="9.5546875" bestFit="1" customWidth="1"/>
    <col min="5366" max="5366" width="12.6640625" bestFit="1" customWidth="1"/>
    <col min="5367" max="5367" width="19.109375" bestFit="1" customWidth="1"/>
    <col min="5368" max="5368" width="15.5546875" bestFit="1" customWidth="1"/>
    <col min="5369" max="5369" width="16.5546875" bestFit="1" customWidth="1"/>
    <col min="5370" max="5370" width="10" bestFit="1" customWidth="1"/>
    <col min="5371" max="5371" width="9.5546875" bestFit="1" customWidth="1"/>
    <col min="5372" max="5372" width="7.33203125" bestFit="1" customWidth="1"/>
    <col min="5373" max="5373" width="6.6640625" bestFit="1" customWidth="1"/>
    <col min="5374" max="5374" width="31" bestFit="1" customWidth="1"/>
    <col min="5375" max="5375" width="9.5546875" bestFit="1" customWidth="1"/>
    <col min="5376" max="5376" width="10.6640625" bestFit="1" customWidth="1"/>
    <col min="5377" max="5377" width="6.44140625" bestFit="1" customWidth="1"/>
    <col min="5378" max="5378" width="14.6640625" bestFit="1" customWidth="1"/>
    <col min="5379" max="5379" width="7.5546875" bestFit="1" customWidth="1"/>
    <col min="5380" max="5380" width="16" bestFit="1" customWidth="1"/>
    <col min="5381" max="5381" width="10" bestFit="1" customWidth="1"/>
    <col min="5382" max="5382" width="9.5546875" bestFit="1" customWidth="1"/>
    <col min="5383" max="5383" width="6.6640625" bestFit="1" customWidth="1"/>
    <col min="5384" max="5384" width="31" bestFit="1" customWidth="1"/>
    <col min="5385" max="5386" width="9.5546875" bestFit="1" customWidth="1"/>
    <col min="5387" max="5387" width="38.44140625" bestFit="1" customWidth="1"/>
    <col min="5388" max="5388" width="19.109375" bestFit="1" customWidth="1"/>
    <col min="5389" max="5389" width="15.5546875" bestFit="1" customWidth="1"/>
    <col min="5390" max="5390" width="16.5546875" bestFit="1" customWidth="1"/>
    <col min="5391" max="5391" width="31" bestFit="1" customWidth="1"/>
    <col min="5392" max="5392" width="9.5546875" bestFit="1" customWidth="1"/>
    <col min="5393" max="5393" width="7.33203125" bestFit="1" customWidth="1"/>
    <col min="5394" max="5394" width="7.44140625" bestFit="1" customWidth="1"/>
    <col min="5395" max="5395" width="33.44140625" bestFit="1" customWidth="1"/>
    <col min="5396" max="5396" width="34.5546875" bestFit="1" customWidth="1"/>
    <col min="5397" max="5397" width="27.44140625" bestFit="1" customWidth="1"/>
    <col min="5398" max="5398" width="19.109375" bestFit="1" customWidth="1"/>
    <col min="5399" max="5399" width="15.5546875" bestFit="1" customWidth="1"/>
    <col min="5400" max="5400" width="16.5546875" bestFit="1" customWidth="1"/>
    <col min="5401" max="5401" width="32.44140625" bestFit="1" customWidth="1"/>
    <col min="5402" max="5402" width="9.5546875" bestFit="1" customWidth="1"/>
    <col min="5403" max="5403" width="7.33203125" bestFit="1" customWidth="1"/>
    <col min="5404" max="5404" width="7.44140625" bestFit="1" customWidth="1"/>
    <col min="5405" max="5405" width="33.44140625" bestFit="1" customWidth="1"/>
    <col min="5406" max="5406" width="34.5546875" bestFit="1" customWidth="1"/>
    <col min="5407" max="5407" width="27.44140625" bestFit="1" customWidth="1"/>
    <col min="5408" max="5408" width="19.109375" bestFit="1" customWidth="1"/>
    <col min="5409" max="5409" width="15.5546875" bestFit="1" customWidth="1"/>
    <col min="5410" max="5410" width="16.5546875" bestFit="1" customWidth="1"/>
    <col min="5411" max="5411" width="32.44140625" bestFit="1" customWidth="1"/>
    <col min="5412" max="5412" width="9.5546875" bestFit="1" customWidth="1"/>
    <col min="5413" max="5413" width="7.33203125" bestFit="1" customWidth="1"/>
    <col min="5414" max="5414" width="7.44140625" bestFit="1" customWidth="1"/>
    <col min="5415" max="5415" width="33.44140625" bestFit="1" customWidth="1"/>
    <col min="5416" max="5416" width="34.5546875" bestFit="1" customWidth="1"/>
    <col min="5417" max="5417" width="9.5546875" bestFit="1" customWidth="1"/>
    <col min="5418" max="5418" width="38.44140625" bestFit="1" customWidth="1"/>
    <col min="5419" max="5419" width="19.109375" bestFit="1" customWidth="1"/>
    <col min="5420" max="5420" width="15.5546875" bestFit="1" customWidth="1"/>
    <col min="5421" max="5421" width="16.5546875" bestFit="1" customWidth="1"/>
    <col min="5422" max="5422" width="22" bestFit="1" customWidth="1"/>
    <col min="5423" max="5423" width="9.5546875" bestFit="1" customWidth="1"/>
    <col min="5424" max="5424" width="7.33203125" bestFit="1" customWidth="1"/>
    <col min="5425" max="5425" width="7.44140625" bestFit="1" customWidth="1"/>
    <col min="5426" max="5426" width="33.44140625" bestFit="1" customWidth="1"/>
    <col min="5427" max="5427" width="34.5546875" bestFit="1" customWidth="1"/>
    <col min="5428" max="5428" width="38.44140625" bestFit="1" customWidth="1"/>
    <col min="5429" max="5429" width="19.109375" bestFit="1" customWidth="1"/>
    <col min="5430" max="5430" width="15.5546875" bestFit="1" customWidth="1"/>
    <col min="5431" max="5431" width="16.5546875" bestFit="1" customWidth="1"/>
    <col min="5432" max="5432" width="22" bestFit="1" customWidth="1"/>
    <col min="5433" max="5433" width="9.5546875" bestFit="1" customWidth="1"/>
    <col min="5434" max="5434" width="7.33203125" bestFit="1" customWidth="1"/>
    <col min="5435" max="5435" width="6.6640625" bestFit="1" customWidth="1"/>
    <col min="5436" max="5436" width="32" bestFit="1" customWidth="1"/>
    <col min="5437" max="5437" width="9.5546875" bestFit="1" customWidth="1"/>
    <col min="5438" max="5438" width="38.44140625" bestFit="1" customWidth="1"/>
    <col min="5439" max="5439" width="19.109375" bestFit="1" customWidth="1"/>
    <col min="5440" max="5440" width="15.5546875" bestFit="1" customWidth="1"/>
    <col min="5441" max="5441" width="16.5546875" bestFit="1" customWidth="1"/>
    <col min="5442" max="5442" width="22" bestFit="1" customWidth="1"/>
    <col min="5443" max="5443" width="9.5546875" bestFit="1" customWidth="1"/>
    <col min="5444" max="5444" width="7.33203125" bestFit="1" customWidth="1"/>
    <col min="5445" max="5445" width="7" bestFit="1" customWidth="1"/>
    <col min="5446" max="5446" width="34.44140625" bestFit="1" customWidth="1"/>
    <col min="5447" max="5447" width="34.5546875" bestFit="1" customWidth="1"/>
    <col min="5448" max="5448" width="9.5546875" bestFit="1" customWidth="1"/>
    <col min="5449" max="5449" width="24" bestFit="1" customWidth="1"/>
    <col min="5450" max="5450" width="19.109375" bestFit="1" customWidth="1"/>
    <col min="5451" max="5451" width="15.5546875" bestFit="1" customWidth="1"/>
    <col min="5452" max="5452" width="16.5546875" bestFit="1" customWidth="1"/>
    <col min="5453" max="5453" width="34.44140625" bestFit="1" customWidth="1"/>
    <col min="5454" max="5454" width="34.5546875" bestFit="1" customWidth="1"/>
    <col min="5455" max="5455" width="7.33203125" bestFit="1" customWidth="1"/>
    <col min="5456" max="5456" width="7" bestFit="1" customWidth="1"/>
    <col min="5457" max="5457" width="34.44140625" bestFit="1" customWidth="1"/>
    <col min="5458" max="5458" width="34.5546875" bestFit="1" customWidth="1"/>
    <col min="5459" max="5459" width="22.88671875" bestFit="1" customWidth="1"/>
    <col min="5460" max="5460" width="9.5546875" bestFit="1" customWidth="1"/>
    <col min="5461" max="5461" width="7" bestFit="1" customWidth="1"/>
    <col min="5462" max="5462" width="35.6640625" bestFit="1" customWidth="1"/>
    <col min="5463" max="5463" width="34.5546875" bestFit="1" customWidth="1"/>
    <col min="5464" max="5464" width="24" bestFit="1" customWidth="1"/>
    <col min="5465" max="5465" width="19.109375" bestFit="1" customWidth="1"/>
    <col min="5466" max="5466" width="15.5546875" bestFit="1" customWidth="1"/>
    <col min="5467" max="5467" width="16.5546875" bestFit="1" customWidth="1"/>
    <col min="5468" max="5468" width="34.44140625" bestFit="1" customWidth="1"/>
    <col min="5469" max="5469" width="34.5546875" bestFit="1" customWidth="1"/>
    <col min="5470" max="5470" width="7.33203125" bestFit="1" customWidth="1"/>
    <col min="5471" max="5471" width="7" bestFit="1" customWidth="1"/>
    <col min="5472" max="5472" width="35.6640625" bestFit="1" customWidth="1"/>
    <col min="5473" max="5474" width="34.5546875" bestFit="1" customWidth="1"/>
    <col min="5475" max="5475" width="29.6640625" bestFit="1" customWidth="1"/>
    <col min="5476" max="5476" width="9.5546875" bestFit="1" customWidth="1"/>
    <col min="5477" max="5477" width="7.44140625" bestFit="1" customWidth="1"/>
    <col min="5478" max="5478" width="29.6640625" bestFit="1" customWidth="1"/>
    <col min="5479" max="5479" width="9.5546875" bestFit="1" customWidth="1"/>
    <col min="5480" max="5480" width="31.109375" bestFit="1" customWidth="1"/>
    <col min="5481" max="5481" width="19.109375" bestFit="1" customWidth="1"/>
    <col min="5482" max="5482" width="15.5546875" bestFit="1" customWidth="1"/>
    <col min="5483" max="5483" width="16.5546875" bestFit="1" customWidth="1"/>
    <col min="5484" max="5484" width="31.6640625" bestFit="1" customWidth="1"/>
    <col min="5485" max="5485" width="34.5546875" bestFit="1" customWidth="1"/>
    <col min="5486" max="5486" width="7.33203125" bestFit="1" customWidth="1"/>
    <col min="5487" max="5487" width="7.44140625" bestFit="1" customWidth="1"/>
    <col min="5488" max="5488" width="29.6640625" bestFit="1" customWidth="1"/>
    <col min="5489" max="5489" width="9.5546875" bestFit="1" customWidth="1"/>
    <col min="5490" max="5496" width="34.5546875" bestFit="1" customWidth="1"/>
    <col min="5497" max="5497" width="10.6640625" bestFit="1" customWidth="1"/>
    <col min="5498" max="5498" width="6.44140625" bestFit="1" customWidth="1"/>
    <col min="5499" max="5499" width="14.6640625" bestFit="1" customWidth="1"/>
    <col min="5500" max="5500" width="7.5546875" bestFit="1" customWidth="1"/>
    <col min="5501" max="5501" width="16" bestFit="1" customWidth="1"/>
    <col min="5502" max="5502" width="10" bestFit="1" customWidth="1"/>
    <col min="5503" max="5503" width="9.5546875" bestFit="1" customWidth="1"/>
    <col min="5504" max="5504" width="7.33203125" bestFit="1" customWidth="1"/>
    <col min="5505" max="5505" width="7" bestFit="1" customWidth="1"/>
    <col min="5506" max="5506" width="34.44140625" bestFit="1" customWidth="1"/>
    <col min="5507" max="5507" width="34.5546875" bestFit="1" customWidth="1"/>
    <col min="5508" max="5508" width="24" bestFit="1" customWidth="1"/>
    <col min="5509" max="5509" width="19.109375" bestFit="1" customWidth="1"/>
    <col min="5510" max="5510" width="15.5546875" bestFit="1" customWidth="1"/>
    <col min="5511" max="5511" width="16.5546875" bestFit="1" customWidth="1"/>
    <col min="5512" max="5512" width="35.6640625" bestFit="1" customWidth="1"/>
    <col min="5513" max="5513" width="34.5546875" bestFit="1" customWidth="1"/>
    <col min="5514" max="5514" width="7.33203125" bestFit="1" customWidth="1"/>
    <col min="5515" max="5515" width="6.6640625" bestFit="1" customWidth="1"/>
    <col min="5516" max="5516" width="32" bestFit="1" customWidth="1"/>
    <col min="5517" max="5517" width="9.5546875" bestFit="1" customWidth="1"/>
    <col min="5518" max="5518" width="38.44140625" bestFit="1" customWidth="1"/>
    <col min="5519" max="5519" width="19.109375" bestFit="1" customWidth="1"/>
    <col min="5520" max="5520" width="15.5546875" bestFit="1" customWidth="1"/>
    <col min="5521" max="5521" width="16.5546875" bestFit="1" customWidth="1"/>
    <col min="5522" max="5522" width="22" bestFit="1" customWidth="1"/>
    <col min="5523" max="5523" width="9.5546875" bestFit="1" customWidth="1"/>
    <col min="5524" max="5524" width="7.33203125" bestFit="1" customWidth="1"/>
    <col min="5525" max="5525" width="6.6640625" bestFit="1" customWidth="1"/>
    <col min="5526" max="5526" width="32" bestFit="1" customWidth="1"/>
    <col min="5527" max="5527" width="9.5546875" bestFit="1" customWidth="1"/>
    <col min="5528" max="5528" width="38.44140625" bestFit="1" customWidth="1"/>
    <col min="5529" max="5529" width="19.109375" bestFit="1" customWidth="1"/>
    <col min="5530" max="5530" width="15.5546875" bestFit="1" customWidth="1"/>
    <col min="5531" max="5531" width="16.5546875" bestFit="1" customWidth="1"/>
    <col min="5532" max="5532" width="32" bestFit="1" customWidth="1"/>
    <col min="5533" max="5533" width="9.5546875" bestFit="1" customWidth="1"/>
    <col min="5534" max="5534" width="7.33203125" bestFit="1" customWidth="1"/>
    <col min="5535" max="5535" width="6.6640625" bestFit="1" customWidth="1"/>
    <col min="5536" max="5536" width="32" bestFit="1" customWidth="1"/>
    <col min="5537" max="5537" width="9.5546875" bestFit="1" customWidth="1"/>
    <col min="5538" max="5538" width="38.44140625" bestFit="1" customWidth="1"/>
    <col min="5539" max="5539" width="19.109375" bestFit="1" customWidth="1"/>
    <col min="5540" max="5540" width="15.5546875" bestFit="1" customWidth="1"/>
    <col min="5541" max="5541" width="16.5546875" bestFit="1" customWidth="1"/>
    <col min="5542" max="5542" width="33.44140625" bestFit="1" customWidth="1"/>
    <col min="5543" max="5543" width="34.5546875" bestFit="1" customWidth="1"/>
    <col min="5544" max="5544" width="31" bestFit="1" customWidth="1"/>
    <col min="5545" max="5545" width="9.5546875" bestFit="1" customWidth="1"/>
    <col min="5546" max="5546" width="6.44140625" bestFit="1" customWidth="1"/>
    <col min="5547" max="5547" width="77.88671875" bestFit="1" customWidth="1"/>
    <col min="5548" max="5548" width="7.5546875" bestFit="1" customWidth="1"/>
    <col min="5549" max="5549" width="16" bestFit="1" customWidth="1"/>
    <col min="5550" max="5550" width="28.6640625" bestFit="1" customWidth="1"/>
    <col min="5551" max="5551" width="9.5546875" bestFit="1" customWidth="1"/>
    <col min="5552" max="5552" width="15.5546875" bestFit="1" customWidth="1"/>
    <col min="5553" max="5553" width="16.5546875" bestFit="1" customWidth="1"/>
    <col min="5554" max="5554" width="31.6640625" bestFit="1" customWidth="1"/>
    <col min="5555" max="5555" width="9.5546875" bestFit="1" customWidth="1"/>
    <col min="5556" max="5556" width="7.33203125" bestFit="1" customWidth="1"/>
    <col min="5557" max="5557" width="7.44140625" bestFit="1" customWidth="1"/>
    <col min="5558" max="5558" width="29.6640625" bestFit="1" customWidth="1"/>
    <col min="5559" max="5559" width="9.5546875" bestFit="1" customWidth="1"/>
    <col min="5560" max="5560" width="31.109375" bestFit="1" customWidth="1"/>
    <col min="5561" max="5561" width="19.109375" bestFit="1" customWidth="1"/>
    <col min="5562" max="5562" width="15.5546875" bestFit="1" customWidth="1"/>
    <col min="5563" max="5563" width="16.5546875" bestFit="1" customWidth="1"/>
    <col min="5564" max="5564" width="31.6640625" bestFit="1" customWidth="1"/>
    <col min="5565" max="5565" width="9.5546875" bestFit="1" customWidth="1"/>
    <col min="5566" max="5566" width="7.33203125" bestFit="1" customWidth="1"/>
    <col min="5567" max="5567" width="7.44140625" bestFit="1" customWidth="1"/>
    <col min="5568" max="5568" width="29.6640625" bestFit="1" customWidth="1"/>
    <col min="5569" max="5569" width="9.5546875" bestFit="1" customWidth="1"/>
    <col min="5570" max="5570" width="34.5546875" bestFit="1" customWidth="1"/>
    <col min="5571" max="5571" width="31.109375" bestFit="1" customWidth="1"/>
    <col min="5572" max="5572" width="19.109375" bestFit="1" customWidth="1"/>
    <col min="5573" max="5573" width="15.5546875" bestFit="1" customWidth="1"/>
    <col min="5574" max="5574" width="16.5546875" bestFit="1" customWidth="1"/>
    <col min="5575" max="5575" width="31.6640625" bestFit="1" customWidth="1"/>
    <col min="5576" max="5576" width="9.5546875" bestFit="1" customWidth="1"/>
    <col min="5577" max="5577" width="7.109375" bestFit="1" customWidth="1"/>
    <col min="5578" max="5578" width="6.6640625" bestFit="1" customWidth="1"/>
    <col min="5579" max="5579" width="28.6640625" bestFit="1" customWidth="1"/>
    <col min="5580" max="5580" width="34.5546875" bestFit="1" customWidth="1"/>
    <col min="5581" max="5581" width="31.109375" bestFit="1" customWidth="1"/>
    <col min="5582" max="5582" width="19.109375" bestFit="1" customWidth="1"/>
    <col min="5583" max="5583" width="15.5546875" bestFit="1" customWidth="1"/>
    <col min="5584" max="5584" width="16.5546875" bestFit="1" customWidth="1"/>
    <col min="5585" max="5585" width="31.6640625" bestFit="1" customWidth="1"/>
    <col min="5586" max="5586" width="9.5546875" bestFit="1" customWidth="1"/>
    <col min="5587" max="5587" width="7.109375" bestFit="1" customWidth="1"/>
    <col min="5588" max="5588" width="6.6640625" bestFit="1" customWidth="1"/>
    <col min="5589" max="5589" width="28.6640625" bestFit="1" customWidth="1"/>
    <col min="5590" max="5590" width="34.5546875" bestFit="1" customWidth="1"/>
    <col min="5591" max="5591" width="33.44140625" bestFit="1" customWidth="1"/>
    <col min="5592" max="5592" width="19.109375" bestFit="1" customWidth="1"/>
    <col min="5593" max="5593" width="15.5546875" bestFit="1" customWidth="1"/>
    <col min="5594" max="5594" width="16.5546875" bestFit="1" customWidth="1"/>
    <col min="5595" max="5595" width="31.6640625" bestFit="1" customWidth="1"/>
    <col min="5596" max="5596" width="9.5546875" bestFit="1" customWidth="1"/>
    <col min="5597" max="5597" width="7.33203125" bestFit="1" customWidth="1"/>
    <col min="5598" max="5598" width="7.109375" bestFit="1" customWidth="1"/>
    <col min="5599" max="5599" width="31" bestFit="1" customWidth="1"/>
    <col min="5600" max="5600" width="9.5546875" bestFit="1" customWidth="1"/>
    <col min="5601" max="5601" width="31.109375" bestFit="1" customWidth="1"/>
    <col min="5602" max="5602" width="19.109375" bestFit="1" customWidth="1"/>
    <col min="5603" max="5603" width="15.5546875" bestFit="1" customWidth="1"/>
    <col min="5604" max="5604" width="16.5546875" bestFit="1" customWidth="1"/>
    <col min="5605" max="5605" width="31.6640625" bestFit="1" customWidth="1"/>
    <col min="5606" max="5606" width="9.5546875" bestFit="1" customWidth="1"/>
    <col min="5607" max="5607" width="7.33203125" bestFit="1" customWidth="1"/>
    <col min="5608" max="5608" width="7.44140625" bestFit="1" customWidth="1"/>
    <col min="5609" max="5609" width="33.44140625" bestFit="1" customWidth="1"/>
    <col min="5610" max="5610" width="34.5546875" bestFit="1" customWidth="1"/>
    <col min="5611" max="5611" width="28.109375" bestFit="1" customWidth="1"/>
    <col min="5612" max="5612" width="19.109375" bestFit="1" customWidth="1"/>
    <col min="5613" max="5613" width="15.5546875" bestFit="1" customWidth="1"/>
    <col min="5614" max="5614" width="16.5546875" bestFit="1" customWidth="1"/>
    <col min="5615" max="5615" width="22.88671875" bestFit="1" customWidth="1"/>
    <col min="5616" max="5616" width="9.5546875" bestFit="1" customWidth="1"/>
    <col min="5617" max="5617" width="7.33203125" bestFit="1" customWidth="1"/>
    <col min="5618" max="5618" width="7.44140625" bestFit="1" customWidth="1"/>
    <col min="5619" max="5619" width="33.44140625" bestFit="1" customWidth="1"/>
    <col min="5620" max="5620" width="34.5546875" bestFit="1" customWidth="1"/>
    <col min="5621" max="5621" width="28.109375" bestFit="1" customWidth="1"/>
    <col min="5622" max="5622" width="19.109375" bestFit="1" customWidth="1"/>
    <col min="5623" max="5623" width="15.5546875" bestFit="1" customWidth="1"/>
    <col min="5624" max="5624" width="16.5546875" bestFit="1" customWidth="1"/>
    <col min="5625" max="5625" width="22.88671875" bestFit="1" customWidth="1"/>
    <col min="5626" max="5626" width="9.5546875" bestFit="1" customWidth="1"/>
    <col min="5627" max="5627" width="7.33203125" bestFit="1" customWidth="1"/>
    <col min="5628" max="5628" width="6.6640625" bestFit="1" customWidth="1"/>
    <col min="5629" max="5629" width="33.88671875" bestFit="1" customWidth="1"/>
    <col min="5630" max="5630" width="9.5546875" bestFit="1" customWidth="1"/>
    <col min="5631" max="5631" width="38.44140625" bestFit="1" customWidth="1"/>
    <col min="5632" max="5632" width="19.109375" bestFit="1" customWidth="1"/>
    <col min="5633" max="5633" width="15.5546875" bestFit="1" customWidth="1"/>
    <col min="5634" max="5634" width="16.5546875" bestFit="1" customWidth="1"/>
    <col min="5635" max="5635" width="22" bestFit="1" customWidth="1"/>
    <col min="5636" max="5636" width="9.5546875" bestFit="1" customWidth="1"/>
    <col min="5637" max="5637" width="7.33203125" bestFit="1" customWidth="1"/>
    <col min="5638" max="5638" width="6.6640625" bestFit="1" customWidth="1"/>
    <col min="5639" max="5639" width="33.88671875" bestFit="1" customWidth="1"/>
    <col min="5640" max="5640" width="9.5546875" bestFit="1" customWidth="1"/>
    <col min="5641" max="5641" width="38.44140625" bestFit="1" customWidth="1"/>
    <col min="5642" max="5642" width="19.109375" bestFit="1" customWidth="1"/>
    <col min="5643" max="5643" width="15.5546875" bestFit="1" customWidth="1"/>
    <col min="5644" max="5644" width="16.5546875" bestFit="1" customWidth="1"/>
    <col min="5645" max="5645" width="22" bestFit="1" customWidth="1"/>
    <col min="5646" max="5646" width="9.5546875" bestFit="1" customWidth="1"/>
    <col min="5647" max="5647" width="10" bestFit="1" customWidth="1"/>
    <col min="5648" max="5648" width="9.5546875" bestFit="1" customWidth="1"/>
    <col min="5649" max="5649" width="6.44140625" bestFit="1" customWidth="1"/>
    <col min="5650" max="5650" width="81.109375" bestFit="1" customWidth="1"/>
    <col min="5651" max="5651" width="7.5546875" bestFit="1" customWidth="1"/>
    <col min="5652" max="5652" width="16" bestFit="1" customWidth="1"/>
    <col min="5653" max="5653" width="31.6640625" bestFit="1" customWidth="1"/>
    <col min="5654" max="5654" width="9.5546875" bestFit="1" customWidth="1"/>
    <col min="5655" max="5655" width="7.33203125" bestFit="1" customWidth="1"/>
    <col min="5656" max="5656" width="6.6640625" bestFit="1" customWidth="1"/>
    <col min="5657" max="5657" width="33.88671875" bestFit="1" customWidth="1"/>
    <col min="5658" max="5658" width="9.5546875" bestFit="1" customWidth="1"/>
    <col min="5659" max="5659" width="10.6640625" bestFit="1" customWidth="1"/>
    <col min="5660" max="5660" width="6.44140625" bestFit="1" customWidth="1"/>
    <col min="5661" max="5661" width="81.109375" bestFit="1" customWidth="1"/>
    <col min="5662" max="5662" width="7.5546875" bestFit="1" customWidth="1"/>
    <col min="5663" max="5663" width="16" bestFit="1" customWidth="1"/>
    <col min="5664" max="5664" width="31.6640625" bestFit="1" customWidth="1"/>
    <col min="5665" max="5665" width="9.5546875" bestFit="1" customWidth="1"/>
    <col min="5666" max="5666" width="15.5546875" bestFit="1" customWidth="1"/>
    <col min="5667" max="5667" width="16.5546875" bestFit="1" customWidth="1"/>
    <col min="5668" max="5668" width="27.44140625" bestFit="1" customWidth="1"/>
    <col min="5669" max="5669" width="9.5546875" bestFit="1" customWidth="1"/>
    <col min="5670" max="5670" width="7.33203125" bestFit="1" customWidth="1"/>
    <col min="5671" max="5671" width="6.6640625" bestFit="1" customWidth="1"/>
    <col min="5672" max="5672" width="33.88671875" bestFit="1" customWidth="1"/>
    <col min="5673" max="5673" width="21.88671875" bestFit="1" customWidth="1"/>
    <col min="5674" max="5674" width="10.6640625" bestFit="1" customWidth="1"/>
    <col min="5675" max="5675" width="6.44140625" bestFit="1" customWidth="1"/>
    <col min="5676" max="5676" width="81.109375" bestFit="1" customWidth="1"/>
    <col min="5677" max="5677" width="7.5546875" bestFit="1" customWidth="1"/>
    <col min="5678" max="5678" width="16" bestFit="1" customWidth="1"/>
    <col min="5679" max="5679" width="31.6640625" bestFit="1" customWidth="1"/>
    <col min="5680" max="5680" width="9.5546875" bestFit="1" customWidth="1"/>
    <col min="5681" max="5681" width="7.5546875" bestFit="1" customWidth="1"/>
    <col min="5682" max="5682" width="16" bestFit="1" customWidth="1"/>
    <col min="5683" max="5683" width="11.44140625" bestFit="1" customWidth="1"/>
    <col min="5684" max="5684" width="20" bestFit="1" customWidth="1"/>
    <col min="5685" max="5685" width="10" bestFit="1" customWidth="1"/>
    <col min="5686" max="5686" width="9.5546875" bestFit="1" customWidth="1"/>
    <col min="5687" max="5687" width="6.6640625" bestFit="1" customWidth="1"/>
    <col min="5688" max="5688" width="33.88671875" bestFit="1" customWidth="1"/>
    <col min="5689" max="5689" width="21.88671875" bestFit="1" customWidth="1"/>
    <col min="5690" max="5690" width="24.88671875" bestFit="1" customWidth="1"/>
    <col min="5691" max="5691" width="19.109375" bestFit="1" customWidth="1"/>
    <col min="5692" max="5692" width="15.5546875" bestFit="1" customWidth="1"/>
    <col min="5693" max="5693" width="16.5546875" bestFit="1" customWidth="1"/>
    <col min="5694" max="5694" width="27.44140625" bestFit="1" customWidth="1"/>
    <col min="5695" max="5695" width="9.5546875" bestFit="1" customWidth="1"/>
    <col min="5696" max="5696" width="7.33203125" bestFit="1" customWidth="1"/>
    <col min="5697" max="5697" width="6.6640625" bestFit="1" customWidth="1"/>
    <col min="5698" max="5698" width="33.88671875" bestFit="1" customWidth="1"/>
    <col min="5699" max="5699" width="21.88671875" bestFit="1" customWidth="1"/>
    <col min="5700" max="5700" width="24.88671875" bestFit="1" customWidth="1"/>
    <col min="5701" max="5701" width="19.109375" bestFit="1" customWidth="1"/>
    <col min="5702" max="5702" width="15.5546875" bestFit="1" customWidth="1"/>
    <col min="5703" max="5703" width="16.5546875" bestFit="1" customWidth="1"/>
    <col min="5704" max="5704" width="27.44140625" bestFit="1" customWidth="1"/>
    <col min="5705" max="5705" width="9.5546875" bestFit="1" customWidth="1"/>
    <col min="5706" max="5706" width="7.33203125" bestFit="1" customWidth="1"/>
    <col min="5707" max="5707" width="6.6640625" bestFit="1" customWidth="1"/>
    <col min="5708" max="5708" width="33.88671875" bestFit="1" customWidth="1"/>
    <col min="5709" max="5709" width="21.88671875" bestFit="1" customWidth="1"/>
    <col min="5710" max="5710" width="9.5546875" bestFit="1" customWidth="1"/>
    <col min="5711" max="5711" width="21.88671875" bestFit="1" customWidth="1"/>
    <col min="5712" max="5712" width="32.33203125" bestFit="1" customWidth="1"/>
    <col min="5713" max="5713" width="19.109375" bestFit="1" customWidth="1"/>
    <col min="5714" max="5714" width="15.5546875" bestFit="1" customWidth="1"/>
    <col min="5715" max="5715" width="16.5546875" bestFit="1" customWidth="1"/>
    <col min="5716" max="5716" width="31.6640625" bestFit="1" customWidth="1"/>
    <col min="5717" max="5717" width="9.5546875" bestFit="1" customWidth="1"/>
    <col min="5718" max="5718" width="7.109375" bestFit="1" customWidth="1"/>
    <col min="5719" max="5719" width="6.6640625" bestFit="1" customWidth="1"/>
    <col min="5720" max="5720" width="33.88671875" bestFit="1" customWidth="1"/>
    <col min="5721" max="5721" width="21.88671875" bestFit="1" customWidth="1"/>
    <col min="5722" max="5722" width="33.44140625" bestFit="1" customWidth="1"/>
    <col min="5723" max="5723" width="19.109375" bestFit="1" customWidth="1"/>
    <col min="5724" max="5724" width="15.5546875" bestFit="1" customWidth="1"/>
    <col min="5725" max="5725" width="16.5546875" bestFit="1" customWidth="1"/>
    <col min="5726" max="5726" width="33.44140625" bestFit="1" customWidth="1"/>
    <col min="5727" max="5727" width="9.5546875" bestFit="1" customWidth="1"/>
    <col min="5728" max="5729" width="7.109375" bestFit="1" customWidth="1"/>
    <col min="5730" max="5730" width="31" bestFit="1" customWidth="1"/>
    <col min="5731" max="5731" width="34.5546875" bestFit="1" customWidth="1"/>
    <col min="5732" max="5732" width="33.44140625" bestFit="1" customWidth="1"/>
    <col min="5733" max="5733" width="19.109375" bestFit="1" customWidth="1"/>
    <col min="5734" max="5734" width="15.5546875" bestFit="1" customWidth="1"/>
    <col min="5735" max="5735" width="16.5546875" bestFit="1" customWidth="1"/>
    <col min="5736" max="5736" width="31.6640625" bestFit="1" customWidth="1"/>
    <col min="5737" max="5737" width="9.5546875" bestFit="1" customWidth="1"/>
    <col min="5738" max="5738" width="14.6640625" bestFit="1" customWidth="1"/>
    <col min="5739" max="5739" width="7.5546875" bestFit="1" customWidth="1"/>
    <col min="5740" max="5740" width="16" bestFit="1" customWidth="1"/>
    <col min="5741" max="5741" width="31.6640625" bestFit="1" customWidth="1"/>
    <col min="5742" max="5742" width="21.88671875" bestFit="1" customWidth="1"/>
    <col min="5743" max="5743" width="7.109375" bestFit="1" customWidth="1"/>
    <col min="5744" max="5744" width="6.6640625" bestFit="1" customWidth="1"/>
    <col min="5745" max="5745" width="33.88671875" bestFit="1" customWidth="1"/>
    <col min="5746" max="5746" width="9.5546875" bestFit="1" customWidth="1"/>
    <col min="5747" max="5747" width="38.44140625" bestFit="1" customWidth="1"/>
    <col min="5748" max="5748" width="19.109375" bestFit="1" customWidth="1"/>
    <col min="5749" max="5749" width="15.5546875" bestFit="1" customWidth="1"/>
    <col min="5750" max="5750" width="16.5546875" bestFit="1" customWidth="1"/>
    <col min="5751" max="5751" width="22.88671875" bestFit="1" customWidth="1"/>
    <col min="5752" max="5752" width="9.5546875" bestFit="1" customWidth="1"/>
    <col min="5753" max="5753" width="7.33203125" bestFit="1" customWidth="1"/>
    <col min="5754" max="5754" width="7.44140625" bestFit="1" customWidth="1"/>
    <col min="5755" max="5755" width="33.44140625" bestFit="1" customWidth="1"/>
    <col min="5756" max="5756" width="34.5546875" bestFit="1" customWidth="1"/>
    <col min="5757" max="5757" width="31.109375" bestFit="1" customWidth="1"/>
    <col min="5758" max="5758" width="19.109375" bestFit="1" customWidth="1"/>
    <col min="5759" max="5759" width="15.5546875" bestFit="1" customWidth="1"/>
    <col min="5760" max="5760" width="16.5546875" bestFit="1" customWidth="1"/>
    <col min="5761" max="5761" width="31.6640625" bestFit="1" customWidth="1"/>
    <col min="5762" max="5762" width="9.5546875" bestFit="1" customWidth="1"/>
    <col min="5763" max="5763" width="7.33203125" bestFit="1" customWidth="1"/>
    <col min="5764" max="5764" width="7.44140625" bestFit="1" customWidth="1"/>
    <col min="5765" max="5765" width="33.44140625" bestFit="1" customWidth="1"/>
    <col min="5766" max="5766" width="34.5546875" bestFit="1" customWidth="1"/>
    <col min="5767" max="5767" width="28.6640625" bestFit="1" customWidth="1"/>
    <col min="5768" max="5768" width="19.109375" bestFit="1" customWidth="1"/>
    <col min="5769" max="5769" width="15.5546875" bestFit="1" customWidth="1"/>
    <col min="5770" max="5770" width="16.5546875" bestFit="1" customWidth="1"/>
    <col min="5771" max="5771" width="24.109375" bestFit="1" customWidth="1"/>
    <col min="5772" max="5772" width="9.5546875" bestFit="1" customWidth="1"/>
    <col min="5773" max="5773" width="7.109375" bestFit="1" customWidth="1"/>
    <col min="5774" max="5774" width="6.6640625" bestFit="1" customWidth="1"/>
    <col min="5775" max="5775" width="50.88671875" bestFit="1" customWidth="1"/>
    <col min="5776" max="5776" width="9.5546875" bestFit="1" customWidth="1"/>
    <col min="5777" max="5777" width="28.6640625" bestFit="1" customWidth="1"/>
    <col min="5778" max="5778" width="19.109375" bestFit="1" customWidth="1"/>
    <col min="5779" max="5779" width="15.5546875" bestFit="1" customWidth="1"/>
    <col min="5780" max="5780" width="16.5546875" bestFit="1" customWidth="1"/>
    <col min="5781" max="5781" width="24.109375" bestFit="1" customWidth="1"/>
    <col min="5782" max="5782" width="9.5546875" bestFit="1" customWidth="1"/>
    <col min="5783" max="5783" width="10" bestFit="1" customWidth="1"/>
    <col min="5784" max="5784" width="9.5546875" bestFit="1" customWidth="1"/>
    <col min="5785" max="5785" width="6.44140625" bestFit="1" customWidth="1"/>
    <col min="5786" max="5786" width="81.109375" bestFit="1" customWidth="1"/>
    <col min="5787" max="5787" width="7.5546875" bestFit="1" customWidth="1"/>
    <col min="5788" max="5788" width="16" bestFit="1" customWidth="1"/>
    <col min="5789" max="5789" width="31.6640625" bestFit="1" customWidth="1"/>
    <col min="5790" max="5790" width="21.88671875" bestFit="1" customWidth="1"/>
    <col min="5791" max="5791" width="6.6640625" bestFit="1" customWidth="1"/>
    <col min="5792" max="5792" width="31.6640625" bestFit="1" customWidth="1"/>
    <col min="5793" max="5794" width="9.5546875" bestFit="1" customWidth="1"/>
    <col min="5795" max="5795" width="10.6640625" bestFit="1" customWidth="1"/>
    <col min="5796" max="5796" width="6.44140625" bestFit="1" customWidth="1"/>
    <col min="5797" max="5797" width="81.109375" bestFit="1" customWidth="1"/>
    <col min="5798" max="5798" width="7.5546875" bestFit="1" customWidth="1"/>
    <col min="5799" max="5799" width="16" bestFit="1" customWidth="1"/>
    <col min="5800" max="5800" width="31.6640625" bestFit="1" customWidth="1"/>
    <col min="5801" max="5801" width="21.88671875" bestFit="1" customWidth="1"/>
    <col min="5802" max="5802" width="9.5546875" bestFit="1" customWidth="1"/>
    <col min="5803" max="5803" width="6.44140625" bestFit="1" customWidth="1"/>
    <col min="5804" max="5804" width="81.109375" bestFit="1" customWidth="1"/>
    <col min="5805" max="5805" width="7.5546875" bestFit="1" customWidth="1"/>
    <col min="5806" max="5806" width="16" bestFit="1" customWidth="1"/>
    <col min="5807" max="5807" width="31.6640625" bestFit="1" customWidth="1"/>
    <col min="5808" max="5808" width="21.88671875" bestFit="1" customWidth="1"/>
    <col min="5809" max="5809" width="6.6640625" bestFit="1" customWidth="1"/>
    <col min="5810" max="5810" width="31.6640625" bestFit="1" customWidth="1"/>
    <col min="5811" max="5811" width="9.5546875" bestFit="1" customWidth="1"/>
    <col min="5812" max="5812" width="21.88671875" bestFit="1" customWidth="1"/>
    <col min="5813" max="5813" width="23.109375" bestFit="1" customWidth="1"/>
    <col min="5814" max="5814" width="19.109375" bestFit="1" customWidth="1"/>
    <col min="5815" max="5815" width="15.5546875" bestFit="1" customWidth="1"/>
    <col min="5816" max="5816" width="16.5546875" bestFit="1" customWidth="1"/>
    <col min="5817" max="5817" width="21.6640625" bestFit="1" customWidth="1"/>
    <col min="5818" max="5818" width="21.88671875" bestFit="1" customWidth="1"/>
    <col min="5819" max="5819" width="7.109375" bestFit="1" customWidth="1"/>
    <col min="5820" max="5820" width="6.6640625" bestFit="1" customWidth="1"/>
    <col min="5821" max="5821" width="50.88671875" bestFit="1" customWidth="1"/>
    <col min="5822" max="5822" width="9.5546875" bestFit="1" customWidth="1"/>
    <col min="5823" max="5823" width="28.6640625" bestFit="1" customWidth="1"/>
    <col min="5824" max="5824" width="19.109375" bestFit="1" customWidth="1"/>
    <col min="5825" max="5825" width="15.5546875" bestFit="1" customWidth="1"/>
    <col min="5826" max="5826" width="16.5546875" bestFit="1" customWidth="1"/>
    <col min="5827" max="5827" width="24.109375" bestFit="1" customWidth="1"/>
    <col min="5828" max="5828" width="9.5546875" bestFit="1" customWidth="1"/>
    <col min="5829" max="5829" width="10" bestFit="1" customWidth="1"/>
    <col min="5830" max="5830" width="9.5546875" bestFit="1" customWidth="1"/>
    <col min="5831" max="5831" width="6.44140625" bestFit="1" customWidth="1"/>
    <col min="5832" max="5832" width="68.6640625" bestFit="1" customWidth="1"/>
    <col min="5833" max="5833" width="7.5546875" bestFit="1" customWidth="1"/>
    <col min="5834" max="5834" width="16" bestFit="1" customWidth="1"/>
    <col min="5835" max="5835" width="31.6640625" bestFit="1" customWidth="1"/>
    <col min="5836" max="5836" width="21.88671875" bestFit="1" customWidth="1"/>
    <col min="5837" max="5837" width="6.6640625" bestFit="1" customWidth="1"/>
    <col min="5838" max="5838" width="31.6640625" bestFit="1" customWidth="1"/>
    <col min="5839" max="5839" width="9.5546875" bestFit="1" customWidth="1"/>
    <col min="5840" max="5840" width="21.88671875" bestFit="1" customWidth="1"/>
    <col min="5841" max="5841" width="9.5546875" bestFit="1" customWidth="1"/>
    <col min="5842" max="5842" width="21.88671875" bestFit="1" customWidth="1"/>
    <col min="5843" max="5843" width="10" bestFit="1" customWidth="1"/>
    <col min="5844" max="5844" width="9.5546875" bestFit="1" customWidth="1"/>
    <col min="5845" max="5845" width="34.5546875" bestFit="1" customWidth="1"/>
    <col min="5846" max="5846" width="10" bestFit="1" customWidth="1"/>
    <col min="5847" max="5847" width="9.5546875" bestFit="1" customWidth="1"/>
    <col min="5848" max="5848" width="6.6640625" bestFit="1" customWidth="1"/>
    <col min="5849" max="5849" width="10" bestFit="1" customWidth="1"/>
    <col min="5850" max="5850" width="9.5546875" bestFit="1" customWidth="1"/>
    <col min="5851" max="5851" width="10" bestFit="1" customWidth="1"/>
    <col min="5852" max="5852" width="9.5546875" bestFit="1" customWidth="1"/>
    <col min="5853" max="5853" width="7" bestFit="1" customWidth="1"/>
    <col min="5854" max="5854" width="35.6640625" bestFit="1" customWidth="1"/>
    <col min="5855" max="5855" width="34.5546875" bestFit="1" customWidth="1"/>
    <col min="5856" max="5856" width="9.5546875" bestFit="1" customWidth="1"/>
    <col min="5857" max="5857" width="34.5546875" bestFit="1" customWidth="1"/>
    <col min="5858" max="5858" width="27.44140625" bestFit="1" customWidth="1"/>
    <col min="5859" max="5859" width="19.109375" bestFit="1" customWidth="1"/>
    <col min="5860" max="5860" width="15.5546875" bestFit="1" customWidth="1"/>
    <col min="5861" max="5861" width="16.5546875" bestFit="1" customWidth="1"/>
    <col min="5862" max="5862" width="22.88671875" bestFit="1" customWidth="1"/>
    <col min="5863" max="5863" width="9.5546875" bestFit="1" customWidth="1"/>
    <col min="5864" max="5864" width="7.109375" bestFit="1" customWidth="1"/>
    <col min="5865" max="5865" width="6.6640625" bestFit="1" customWidth="1"/>
    <col min="5866" max="5866" width="33.88671875" bestFit="1" customWidth="1"/>
    <col min="5867" max="5867" width="21.88671875" bestFit="1" customWidth="1"/>
    <col min="5868" max="5868" width="22.6640625" bestFit="1" customWidth="1"/>
    <col min="5869" max="5869" width="19.109375" bestFit="1" customWidth="1"/>
    <col min="5870" max="5870" width="15.5546875" bestFit="1" customWidth="1"/>
    <col min="5871" max="5871" width="16.5546875" bestFit="1" customWidth="1"/>
    <col min="5872" max="5872" width="10" bestFit="1" customWidth="1"/>
    <col min="5873" max="5873" width="9.5546875" bestFit="1" customWidth="1"/>
    <col min="5874" max="5874" width="7.33203125" bestFit="1" customWidth="1"/>
    <col min="5875" max="5875" width="6.6640625" bestFit="1" customWidth="1"/>
    <col min="5876" max="5876" width="33.88671875" bestFit="1" customWidth="1"/>
    <col min="5877" max="5877" width="21.88671875" bestFit="1" customWidth="1"/>
    <col min="5878" max="5878" width="31.6640625" bestFit="1" customWidth="1"/>
    <col min="5879" max="5879" width="9.5546875" bestFit="1" customWidth="1"/>
    <col min="5880" max="5880" width="6.44140625" bestFit="1" customWidth="1"/>
    <col min="5881" max="5881" width="68.6640625" bestFit="1" customWidth="1"/>
    <col min="5882" max="5882" width="7.5546875" bestFit="1" customWidth="1"/>
    <col min="5883" max="5883" width="16" bestFit="1" customWidth="1"/>
    <col min="5884" max="5884" width="31.6640625" bestFit="1" customWidth="1"/>
    <col min="5885" max="5885" width="21.88671875" bestFit="1" customWidth="1"/>
    <col min="5886" max="5886" width="9.5546875" bestFit="1" customWidth="1"/>
    <col min="5887" max="5887" width="6.44140625" bestFit="1" customWidth="1"/>
    <col min="5888" max="5888" width="14.6640625" bestFit="1" customWidth="1"/>
    <col min="5889" max="5889" width="7.5546875" bestFit="1" customWidth="1"/>
    <col min="5890" max="5890" width="16" bestFit="1" customWidth="1"/>
    <col min="5891" max="5891" width="10" bestFit="1" customWidth="1"/>
    <col min="5892" max="5892" width="9.5546875" bestFit="1" customWidth="1"/>
    <col min="5893" max="5893" width="7.33203125" bestFit="1" customWidth="1"/>
    <col min="5894" max="5894" width="6.6640625" bestFit="1" customWidth="1"/>
    <col min="5895" max="5895" width="33.88671875" bestFit="1" customWidth="1"/>
    <col min="5896" max="5896" width="21.88671875" bestFit="1" customWidth="1"/>
    <col min="5897" max="5897" width="23.109375" bestFit="1" customWidth="1"/>
    <col min="5898" max="5898" width="19.109375" bestFit="1" customWidth="1"/>
    <col min="5899" max="5899" width="15.5546875" bestFit="1" customWidth="1"/>
    <col min="5900" max="5900" width="16.5546875" bestFit="1" customWidth="1"/>
    <col min="5901" max="5901" width="21.6640625" bestFit="1" customWidth="1"/>
    <col min="5902" max="5902" width="21.88671875" bestFit="1" customWidth="1"/>
    <col min="5903" max="5903" width="7.33203125" bestFit="1" customWidth="1"/>
    <col min="5904" max="5904" width="6.6640625" bestFit="1" customWidth="1"/>
    <col min="5905" max="5905" width="10" bestFit="1" customWidth="1"/>
    <col min="5906" max="5906" width="9.5546875" bestFit="1" customWidth="1"/>
    <col min="5907" max="5907" width="21.88671875" bestFit="1" customWidth="1"/>
    <col min="5908" max="5908" width="23.109375" bestFit="1" customWidth="1"/>
    <col min="5909" max="5909" width="19.109375" bestFit="1" customWidth="1"/>
    <col min="5910" max="5910" width="15.5546875" bestFit="1" customWidth="1"/>
    <col min="5911" max="5911" width="16.5546875" bestFit="1" customWidth="1"/>
    <col min="5912" max="5912" width="21.6640625" bestFit="1" customWidth="1"/>
    <col min="5913" max="5913" width="21.88671875" bestFit="1" customWidth="1"/>
    <col min="5914" max="5914" width="29.6640625" bestFit="1" customWidth="1"/>
    <col min="5915" max="5915" width="34.5546875" bestFit="1" customWidth="1"/>
    <col min="5916" max="5916" width="7.33203125" bestFit="1" customWidth="1"/>
    <col min="5917" max="5917" width="7" bestFit="1" customWidth="1"/>
    <col min="5918" max="5918" width="28.6640625" bestFit="1" customWidth="1"/>
    <col min="5919" max="5919" width="34.5546875" bestFit="1" customWidth="1"/>
    <col min="5920" max="5920" width="10.6640625" bestFit="1" customWidth="1"/>
    <col min="5921" max="5921" width="6.44140625" bestFit="1" customWidth="1"/>
    <col min="5922" max="5922" width="14.6640625" bestFit="1" customWidth="1"/>
    <col min="5923" max="5923" width="7.5546875" bestFit="1" customWidth="1"/>
    <col min="5924" max="5924" width="16" bestFit="1" customWidth="1"/>
    <col min="5925" max="5925" width="10" bestFit="1" customWidth="1"/>
    <col min="5926" max="5926" width="9.5546875" bestFit="1" customWidth="1"/>
    <col min="5927" max="5927" width="7" bestFit="1" customWidth="1"/>
    <col min="5928" max="5928" width="35.6640625" bestFit="1" customWidth="1"/>
    <col min="5929" max="5930" width="34.5546875" bestFit="1" customWidth="1"/>
    <col min="5931" max="5931" width="27.44140625" bestFit="1" customWidth="1"/>
    <col min="5932" max="5932" width="19.109375" bestFit="1" customWidth="1"/>
    <col min="5933" max="5933" width="15.5546875" bestFit="1" customWidth="1"/>
    <col min="5934" max="5934" width="16.5546875" bestFit="1" customWidth="1"/>
    <col min="5935" max="5935" width="22.88671875" bestFit="1" customWidth="1"/>
    <col min="5936" max="5936" width="9.5546875" bestFit="1" customWidth="1"/>
    <col min="5937" max="5937" width="10" bestFit="1" customWidth="1"/>
    <col min="5938" max="5938" width="9.5546875" bestFit="1" customWidth="1"/>
    <col min="5939" max="5939" width="6.6640625" bestFit="1" customWidth="1"/>
    <col min="5940" max="5940" width="23" bestFit="1" customWidth="1"/>
    <col min="5941" max="5941" width="9.5546875" bestFit="1" customWidth="1"/>
    <col min="5942" max="5942" width="36.6640625" bestFit="1" customWidth="1"/>
    <col min="5943" max="5943" width="19.109375" bestFit="1" customWidth="1"/>
    <col min="5944" max="5944" width="15.5546875" bestFit="1" customWidth="1"/>
    <col min="5945" max="5945" width="16.5546875" bestFit="1" customWidth="1"/>
    <col min="5946" max="5946" width="50.88671875" bestFit="1" customWidth="1"/>
    <col min="5947" max="5947" width="9.5546875" bestFit="1" customWidth="1"/>
    <col min="5948" max="5948" width="7.44140625" bestFit="1" customWidth="1"/>
    <col min="5949" max="5949" width="6.6640625" bestFit="1" customWidth="1"/>
    <col min="5950" max="5950" width="50.88671875" bestFit="1" customWidth="1"/>
    <col min="5951" max="5951" width="9.5546875" bestFit="1" customWidth="1"/>
    <col min="5952" max="5952" width="36.6640625" bestFit="1" customWidth="1"/>
    <col min="5953" max="5953" width="19.109375" bestFit="1" customWidth="1"/>
    <col min="5954" max="5954" width="15.5546875" bestFit="1" customWidth="1"/>
    <col min="5955" max="5955" width="16.5546875" bestFit="1" customWidth="1"/>
    <col min="5956" max="5956" width="22.88671875" bestFit="1" customWidth="1"/>
    <col min="5957" max="5957" width="9.5546875" bestFit="1" customWidth="1"/>
    <col min="5958" max="5958" width="14.6640625" bestFit="1" customWidth="1"/>
    <col min="5959" max="5959" width="7.5546875" bestFit="1" customWidth="1"/>
    <col min="5960" max="5960" width="16" bestFit="1" customWidth="1"/>
    <col min="5961" max="5961" width="31.6640625" bestFit="1" customWidth="1"/>
    <col min="5962" max="5962" width="21.88671875" bestFit="1" customWidth="1"/>
    <col min="5963" max="5963" width="6.6640625" bestFit="1" customWidth="1"/>
    <col min="5964" max="5964" width="10" bestFit="1" customWidth="1"/>
    <col min="5965" max="5966" width="9.5546875" bestFit="1" customWidth="1"/>
    <col min="5967" max="5967" width="33.44140625" bestFit="1" customWidth="1"/>
    <col min="5968" max="5968" width="19.109375" bestFit="1" customWidth="1"/>
    <col min="5969" max="5969" width="15.5546875" bestFit="1" customWidth="1"/>
    <col min="5970" max="5970" width="16.5546875" bestFit="1" customWidth="1"/>
    <col min="5971" max="5971" width="10" bestFit="1" customWidth="1"/>
    <col min="5972" max="5972" width="9.5546875" bestFit="1" customWidth="1"/>
    <col min="5973" max="5973" width="10" bestFit="1" customWidth="1"/>
    <col min="5974" max="5974" width="9.5546875" bestFit="1" customWidth="1"/>
    <col min="5975" max="5975" width="7" bestFit="1" customWidth="1"/>
    <col min="5976" max="5976" width="35.6640625" bestFit="1" customWidth="1"/>
    <col min="5977" max="5977" width="34.5546875" bestFit="1" customWidth="1"/>
    <col min="5978" max="5978" width="10" bestFit="1" customWidth="1"/>
    <col min="5979" max="5979" width="9.5546875" bestFit="1" customWidth="1"/>
    <col min="5980" max="5980" width="7" bestFit="1" customWidth="1"/>
    <col min="5981" max="5981" width="35.6640625" bestFit="1" customWidth="1"/>
    <col min="5982" max="5982" width="34.5546875" bestFit="1" customWidth="1"/>
    <col min="5983" max="5983" width="30.6640625" bestFit="1" customWidth="1"/>
    <col min="5984" max="5984" width="19.109375" bestFit="1" customWidth="1"/>
    <col min="5985" max="5985" width="15.5546875" bestFit="1" customWidth="1"/>
    <col min="5986" max="5986" width="16.5546875" bestFit="1" customWidth="1"/>
    <col min="5987" max="5987" width="22.88671875" bestFit="1" customWidth="1"/>
    <col min="5988" max="5988" width="9.5546875" bestFit="1" customWidth="1"/>
    <col min="5989" max="5989" width="7.33203125" bestFit="1" customWidth="1"/>
    <col min="5990" max="5990" width="7" bestFit="1" customWidth="1"/>
    <col min="5991" max="5991" width="28.6640625" bestFit="1" customWidth="1"/>
    <col min="5992" max="5992" width="9.5546875" bestFit="1" customWidth="1"/>
    <col min="5993" max="5993" width="29.6640625" bestFit="1" customWidth="1"/>
    <col min="5994" max="5994" width="9.5546875" bestFit="1" customWidth="1"/>
    <col min="5995" max="5995" width="7" bestFit="1" customWidth="1"/>
    <col min="5996" max="5996" width="28.6640625" bestFit="1" customWidth="1"/>
    <col min="5997" max="5997" width="9.5546875" bestFit="1" customWidth="1"/>
    <col min="5998" max="5998" width="6.44140625" bestFit="1" customWidth="1"/>
    <col min="5999" max="5999" width="14.6640625" bestFit="1" customWidth="1"/>
    <col min="6000" max="6000" width="7.5546875" bestFit="1" customWidth="1"/>
    <col min="6001" max="6001" width="16" bestFit="1" customWidth="1"/>
    <col min="6002" max="6002" width="10" bestFit="1" customWidth="1"/>
    <col min="6003" max="6003" width="9.5546875" bestFit="1" customWidth="1"/>
    <col min="6004" max="6004" width="7.33203125" bestFit="1" customWidth="1"/>
    <col min="6005" max="6005" width="7" bestFit="1" customWidth="1"/>
    <col min="6006" max="6006" width="28.6640625" bestFit="1" customWidth="1"/>
    <col min="6007" max="6007" width="9.5546875" bestFit="1" customWidth="1"/>
    <col min="6008" max="6008" width="30.6640625" bestFit="1" customWidth="1"/>
    <col min="6009" max="6009" width="19.109375" bestFit="1" customWidth="1"/>
    <col min="6010" max="6010" width="15.5546875" bestFit="1" customWidth="1"/>
    <col min="6011" max="6011" width="16.5546875" bestFit="1" customWidth="1"/>
    <col min="6012" max="6012" width="22.88671875" bestFit="1" customWidth="1"/>
    <col min="6013" max="6013" width="9.5546875" bestFit="1" customWidth="1"/>
    <col min="6014" max="6014" width="10" bestFit="1" customWidth="1"/>
    <col min="6015" max="6015" width="9.5546875" bestFit="1" customWidth="1"/>
    <col min="6016" max="6016" width="6.6640625" bestFit="1" customWidth="1"/>
    <col min="6017" max="6017" width="23" bestFit="1" customWidth="1"/>
    <col min="6018" max="6018" width="9.5546875" bestFit="1" customWidth="1"/>
    <col min="6019" max="6019" width="34.5546875" bestFit="1" customWidth="1"/>
    <col min="6020" max="6020" width="19.109375" bestFit="1" customWidth="1"/>
    <col min="6021" max="6021" width="15.5546875" bestFit="1" customWidth="1"/>
    <col min="6022" max="6022" width="16.5546875" bestFit="1" customWidth="1"/>
    <col min="6023" max="6023" width="10" bestFit="1" customWidth="1"/>
    <col min="6024" max="6024" width="9.5546875" bestFit="1" customWidth="1"/>
    <col min="6025" max="6025" width="7.109375" bestFit="1" customWidth="1"/>
    <col min="6026" max="6026" width="6.6640625" bestFit="1" customWidth="1"/>
    <col min="6027" max="6027" width="31" bestFit="1" customWidth="1"/>
    <col min="6028" max="6028" width="9.5546875" bestFit="1" customWidth="1"/>
    <col min="6029" max="6029" width="10" bestFit="1" customWidth="1"/>
    <col min="6030" max="6030" width="9.5546875" bestFit="1" customWidth="1"/>
    <col min="6031" max="6031" width="7.33203125" bestFit="1" customWidth="1"/>
    <col min="6032" max="6032" width="22.88671875" bestFit="1" customWidth="1"/>
    <col min="6033" max="6035" width="9.5546875" bestFit="1" customWidth="1"/>
    <col min="6036" max="6036" width="27.33203125" bestFit="1" customWidth="1"/>
    <col min="6037" max="6037" width="19.109375" bestFit="1" customWidth="1"/>
    <col min="6038" max="6038" width="15.5546875" bestFit="1" customWidth="1"/>
    <col min="6039" max="6039" width="16.5546875" bestFit="1" customWidth="1"/>
    <col min="6040" max="6040" width="29.6640625" bestFit="1" customWidth="1"/>
    <col min="6041" max="6041" width="9.5546875" bestFit="1" customWidth="1"/>
    <col min="6042" max="6042" width="10" bestFit="1" customWidth="1"/>
    <col min="6043" max="6043" width="9.5546875" bestFit="1" customWidth="1"/>
    <col min="6044" max="6044" width="6.6640625" bestFit="1" customWidth="1"/>
    <col min="6045" max="6045" width="50.88671875" bestFit="1" customWidth="1"/>
    <col min="6046" max="6046" width="9.5546875" bestFit="1" customWidth="1"/>
    <col min="6047" max="6047" width="6.44140625" bestFit="1" customWidth="1"/>
    <col min="6048" max="6048" width="14.6640625" bestFit="1" customWidth="1"/>
    <col min="6049" max="6049" width="7.5546875" bestFit="1" customWidth="1"/>
    <col min="6050" max="6050" width="16" bestFit="1" customWidth="1"/>
    <col min="6051" max="6051" width="10" bestFit="1" customWidth="1"/>
    <col min="6052" max="6052" width="9.5546875" bestFit="1" customWidth="1"/>
    <col min="6053" max="6053" width="15.5546875" bestFit="1" customWidth="1"/>
    <col min="6054" max="6054" width="16.5546875" bestFit="1" customWidth="1"/>
    <col min="6055" max="6055" width="23" bestFit="1" customWidth="1"/>
    <col min="6056" max="6056" width="9.5546875" bestFit="1" customWidth="1"/>
    <col min="6057" max="6057" width="7.109375" bestFit="1" customWidth="1"/>
    <col min="6058" max="6058" width="6.6640625" bestFit="1" customWidth="1"/>
    <col min="6059" max="6059" width="50.88671875" bestFit="1" customWidth="1"/>
    <col min="6060" max="6060" width="9.5546875" bestFit="1" customWidth="1"/>
    <col min="6061" max="6061" width="10" bestFit="1" customWidth="1"/>
    <col min="6062" max="6062" width="9.5546875" bestFit="1" customWidth="1"/>
    <col min="6063" max="6063" width="7.44140625" bestFit="1" customWidth="1"/>
    <col min="6064" max="6064" width="29.6640625" bestFit="1" customWidth="1"/>
    <col min="6065" max="6066" width="9.5546875" bestFit="1" customWidth="1"/>
    <col min="6067" max="6067" width="7.44140625" bestFit="1" customWidth="1"/>
    <col min="6068" max="6068" width="29.6640625" bestFit="1" customWidth="1"/>
    <col min="6069" max="6069" width="9.5546875" bestFit="1" customWidth="1"/>
    <col min="6070" max="6070" width="27.33203125" bestFit="1" customWidth="1"/>
    <col min="6071" max="6071" width="19.109375" bestFit="1" customWidth="1"/>
    <col min="6072" max="6072" width="15.5546875" bestFit="1" customWidth="1"/>
    <col min="6073" max="6073" width="16.5546875" bestFit="1" customWidth="1"/>
    <col min="6074" max="6074" width="29.6640625" bestFit="1" customWidth="1"/>
    <col min="6075" max="6075" width="9.5546875" bestFit="1" customWidth="1"/>
    <col min="6076" max="6076" width="7.109375" bestFit="1" customWidth="1"/>
    <col min="6077" max="6077" width="6.6640625" bestFit="1" customWidth="1"/>
    <col min="6078" max="6078" width="10" bestFit="1" customWidth="1"/>
    <col min="6079" max="6079" width="9.5546875" bestFit="1" customWidth="1"/>
    <col min="6080" max="6080" width="10" bestFit="1" customWidth="1"/>
    <col min="6081" max="6081" width="9.5546875" bestFit="1" customWidth="1"/>
    <col min="6082" max="6082" width="7.109375" bestFit="1" customWidth="1"/>
    <col min="6083" max="6083" width="6.6640625" bestFit="1" customWidth="1"/>
    <col min="6084" max="6084" width="50.88671875" bestFit="1" customWidth="1"/>
    <col min="6085" max="6089" width="9.5546875" bestFit="1" customWidth="1"/>
    <col min="6090" max="6090" width="34.5546875" bestFit="1" customWidth="1"/>
    <col min="6091" max="6091" width="19.109375" bestFit="1" customWidth="1"/>
    <col min="6092" max="6092" width="15.5546875" bestFit="1" customWidth="1"/>
    <col min="6093" max="6093" width="16.5546875" bestFit="1" customWidth="1"/>
    <col min="6094" max="6094" width="10" bestFit="1" customWidth="1"/>
    <col min="6095" max="6095" width="9.5546875" bestFit="1" customWidth="1"/>
    <col min="6096" max="6096" width="7.109375" bestFit="1" customWidth="1"/>
    <col min="6097" max="6097" width="6.6640625" bestFit="1" customWidth="1"/>
    <col min="6098" max="6098" width="22.88671875" bestFit="1" customWidth="1"/>
    <col min="6099" max="6099" width="9.5546875" bestFit="1" customWidth="1"/>
    <col min="6100" max="6100" width="31.6640625" bestFit="1" customWidth="1"/>
    <col min="6101" max="6101" width="9.5546875" bestFit="1" customWidth="1"/>
    <col min="6102" max="6102" width="27.33203125" bestFit="1" customWidth="1"/>
    <col min="6103" max="6103" width="19.109375" bestFit="1" customWidth="1"/>
    <col min="6104" max="6104" width="15.5546875" bestFit="1" customWidth="1"/>
    <col min="6105" max="6105" width="16.5546875" bestFit="1" customWidth="1"/>
    <col min="6106" max="6106" width="29.6640625" bestFit="1" customWidth="1"/>
    <col min="6107" max="6107" width="9.5546875" bestFit="1" customWidth="1"/>
    <col min="6108" max="6108" width="14.6640625" bestFit="1" customWidth="1"/>
    <col min="6109" max="6109" width="7.5546875" bestFit="1" customWidth="1"/>
    <col min="6110" max="6110" width="16" bestFit="1" customWidth="1"/>
    <col min="6111" max="6111" width="10" bestFit="1" customWidth="1"/>
    <col min="6112" max="6112" width="9.5546875" bestFit="1" customWidth="1"/>
    <col min="6113" max="6113" width="7.44140625" bestFit="1" customWidth="1"/>
    <col min="6114" max="6114" width="29.6640625" bestFit="1" customWidth="1"/>
    <col min="6115" max="6115" width="26.109375" bestFit="1" customWidth="1"/>
    <col min="6116" max="6116" width="9.5546875" bestFit="1" customWidth="1"/>
    <col min="6117" max="6117" width="6.44140625" bestFit="1" customWidth="1"/>
    <col min="6118" max="6118" width="14.6640625" bestFit="1" customWidth="1"/>
    <col min="6119" max="6119" width="7.5546875" bestFit="1" customWidth="1"/>
    <col min="6120" max="6120" width="16" bestFit="1" customWidth="1"/>
    <col min="6121" max="6121" width="10" bestFit="1" customWidth="1"/>
    <col min="6122" max="6122" width="9.5546875" bestFit="1" customWidth="1"/>
    <col min="6123" max="6123" width="7.109375" bestFit="1" customWidth="1"/>
    <col min="6124" max="6124" width="6.6640625" bestFit="1" customWidth="1"/>
    <col min="6125" max="6125" width="22.88671875" bestFit="1" customWidth="1"/>
    <col min="6126" max="6126" width="9.5546875" bestFit="1" customWidth="1"/>
    <col min="6127" max="6127" width="26.109375" bestFit="1" customWidth="1"/>
    <col min="6128" max="6128" width="9.5546875" bestFit="1" customWidth="1"/>
    <col min="6129" max="6129" width="27.44140625" bestFit="1" customWidth="1"/>
    <col min="6130" max="6130" width="19.109375" bestFit="1" customWidth="1"/>
    <col min="6131" max="6131" width="15.5546875" bestFit="1" customWidth="1"/>
    <col min="6132" max="6132" width="16.5546875" bestFit="1" customWidth="1"/>
    <col min="6133" max="6133" width="29.6640625" bestFit="1" customWidth="1"/>
    <col min="6134" max="6134" width="9.5546875" bestFit="1" customWidth="1"/>
    <col min="6135" max="6135" width="7.109375" bestFit="1" customWidth="1"/>
    <col min="6136" max="6136" width="6.6640625" bestFit="1" customWidth="1"/>
    <col min="6137" max="6137" width="50.88671875" bestFit="1" customWidth="1"/>
    <col min="6138" max="6138" width="9.5546875" bestFit="1" customWidth="1"/>
    <col min="6139" max="6139" width="34.5546875" bestFit="1" customWidth="1"/>
    <col min="6140" max="6140" width="19.109375" bestFit="1" customWidth="1"/>
    <col min="6141" max="6141" width="15.5546875" bestFit="1" customWidth="1"/>
    <col min="6142" max="6142" width="16.5546875" bestFit="1" customWidth="1"/>
    <col min="6143" max="6143" width="23" bestFit="1" customWidth="1"/>
    <col min="6144" max="6144" width="9.5546875" bestFit="1" customWidth="1"/>
    <col min="6145" max="6145" width="7.33203125" bestFit="1" customWidth="1"/>
    <col min="6146" max="6146" width="7.109375" bestFit="1" customWidth="1"/>
    <col min="6147" max="6147" width="31.6640625" bestFit="1" customWidth="1"/>
    <col min="6148" max="6148" width="9.5546875" bestFit="1" customWidth="1"/>
    <col min="6149" max="6149" width="27.33203125" bestFit="1" customWidth="1"/>
    <col min="6150" max="6150" width="19.109375" bestFit="1" customWidth="1"/>
    <col min="6151" max="6151" width="15.5546875" bestFit="1" customWidth="1"/>
    <col min="6152" max="6152" width="16.5546875" bestFit="1" customWidth="1"/>
    <col min="6153" max="6153" width="29.6640625" bestFit="1" customWidth="1"/>
    <col min="6154" max="6154" width="9.5546875" bestFit="1" customWidth="1"/>
    <col min="6155" max="6155" width="7.33203125" bestFit="1" customWidth="1"/>
    <col min="6156" max="6156" width="7.109375" bestFit="1" customWidth="1"/>
    <col min="6157" max="6157" width="31.6640625" bestFit="1" customWidth="1"/>
    <col min="6158" max="6158" width="9.5546875" bestFit="1" customWidth="1"/>
    <col min="6159" max="6159" width="26.109375" bestFit="1" customWidth="1"/>
    <col min="6160" max="6160" width="9.5546875" bestFit="1" customWidth="1"/>
    <col min="6161" max="6161" width="10.6640625" bestFit="1" customWidth="1"/>
    <col min="6162" max="6162" width="6.44140625" bestFit="1" customWidth="1"/>
    <col min="6163" max="6163" width="14.6640625" bestFit="1" customWidth="1"/>
    <col min="6164" max="6164" width="7.5546875" bestFit="1" customWidth="1"/>
    <col min="6165" max="6165" width="16" bestFit="1" customWidth="1"/>
    <col min="6166" max="6166" width="28.6640625" bestFit="1" customWidth="1"/>
    <col min="6167" max="6167" width="9.5546875" bestFit="1" customWidth="1"/>
    <col min="6168" max="6168" width="7.5546875" bestFit="1" customWidth="1"/>
    <col min="6169" max="6169" width="16" bestFit="1" customWidth="1"/>
    <col min="6170" max="6170" width="11.44140625" bestFit="1" customWidth="1"/>
    <col min="6171" max="6171" width="20" bestFit="1" customWidth="1"/>
    <col min="6172" max="6172" width="10" bestFit="1" customWidth="1"/>
    <col min="6173" max="6173" width="9.5546875" bestFit="1" customWidth="1"/>
    <col min="6174" max="6174" width="27.33203125" bestFit="1" customWidth="1"/>
    <col min="6175" max="6175" width="19.109375" bestFit="1" customWidth="1"/>
    <col min="6176" max="6176" width="15.5546875" bestFit="1" customWidth="1"/>
    <col min="6177" max="6177" width="16.5546875" bestFit="1" customWidth="1"/>
    <col min="6178" max="6178" width="29.6640625" bestFit="1" customWidth="1"/>
    <col min="6179" max="6179" width="9.5546875" bestFit="1" customWidth="1"/>
    <col min="6180" max="6180" width="7.33203125" bestFit="1" customWidth="1"/>
    <col min="6181" max="6181" width="7.109375" bestFit="1" customWidth="1"/>
    <col min="6182" max="6182" width="31.6640625" bestFit="1" customWidth="1"/>
    <col min="6183" max="6183" width="9.5546875" bestFit="1" customWidth="1"/>
    <col min="6184" max="6184" width="26.109375" bestFit="1" customWidth="1"/>
    <col min="6185" max="6185" width="9.5546875" bestFit="1" customWidth="1"/>
    <col min="6186" max="6186" width="34.5546875" bestFit="1" customWidth="1"/>
    <col min="6187" max="6187" width="19.109375" bestFit="1" customWidth="1"/>
    <col min="6188" max="6188" width="15.5546875" bestFit="1" customWidth="1"/>
    <col min="6189" max="6189" width="16.5546875" bestFit="1" customWidth="1"/>
    <col min="6190" max="6190" width="31" bestFit="1" customWidth="1"/>
    <col min="6191" max="6191" width="9.5546875" bestFit="1" customWidth="1"/>
    <col min="6192" max="6192" width="10" bestFit="1" customWidth="1"/>
    <col min="6193" max="6193" width="9.5546875" bestFit="1" customWidth="1"/>
    <col min="6194" max="6194" width="34.5546875" bestFit="1" customWidth="1"/>
    <col min="6195" max="6195" width="19.109375" bestFit="1" customWidth="1"/>
    <col min="6196" max="6196" width="15.5546875" bestFit="1" customWidth="1"/>
    <col min="6197" max="6197" width="16.5546875" bestFit="1" customWidth="1"/>
    <col min="6198" max="6198" width="31" bestFit="1" customWidth="1"/>
    <col min="6199" max="6199" width="9.5546875" bestFit="1" customWidth="1"/>
    <col min="6200" max="6200" width="7.109375" bestFit="1" customWidth="1"/>
    <col min="6201" max="6201" width="6.6640625" bestFit="1" customWidth="1"/>
    <col min="6202" max="6202" width="10" bestFit="1" customWidth="1"/>
    <col min="6203" max="6203" width="9.5546875" bestFit="1" customWidth="1"/>
    <col min="6204" max="6204" width="34.5546875" bestFit="1" customWidth="1"/>
    <col min="6205" max="6205" width="19.109375" bestFit="1" customWidth="1"/>
    <col min="6206" max="6206" width="15.5546875" bestFit="1" customWidth="1"/>
    <col min="6207" max="6207" width="16.5546875" bestFit="1" customWidth="1"/>
    <col min="6208" max="6208" width="31" bestFit="1" customWidth="1"/>
    <col min="6209" max="6209" width="9.5546875" bestFit="1" customWidth="1"/>
    <col min="6210" max="6210" width="14.6640625" bestFit="1" customWidth="1"/>
    <col min="6211" max="6211" width="7.5546875" bestFit="1" customWidth="1"/>
    <col min="6212" max="6212" width="16" bestFit="1" customWidth="1"/>
    <col min="6213" max="6213" width="10" bestFit="1" customWidth="1"/>
    <col min="6214" max="6214" width="9.5546875" bestFit="1" customWidth="1"/>
    <col min="6215" max="6215" width="6.6640625" bestFit="1" customWidth="1"/>
    <col min="6216" max="6216" width="22" bestFit="1" customWidth="1"/>
    <col min="6217" max="6218" width="9.5546875" bestFit="1" customWidth="1"/>
    <col min="6219" max="6219" width="34.5546875" bestFit="1" customWidth="1"/>
    <col min="6220" max="6220" width="19.109375" bestFit="1" customWidth="1"/>
    <col min="6221" max="6221" width="15.5546875" bestFit="1" customWidth="1"/>
    <col min="6222" max="6222" width="16.5546875" bestFit="1" customWidth="1"/>
    <col min="6223" max="6223" width="31" bestFit="1" customWidth="1"/>
    <col min="6224" max="6224" width="9.5546875" bestFit="1" customWidth="1"/>
    <col min="6225" max="6225" width="7.33203125" bestFit="1" customWidth="1"/>
    <col min="6226" max="6226" width="6.6640625" bestFit="1" customWidth="1"/>
    <col min="6227" max="6227" width="31" bestFit="1" customWidth="1"/>
    <col min="6228" max="6228" width="9.5546875" bestFit="1" customWidth="1"/>
    <col min="6229" max="6229" width="34.5546875" bestFit="1" customWidth="1"/>
    <col min="6230" max="6230" width="19.109375" bestFit="1" customWidth="1"/>
    <col min="6231" max="6231" width="15.5546875" bestFit="1" customWidth="1"/>
    <col min="6232" max="6232" width="16.5546875" bestFit="1" customWidth="1"/>
    <col min="6233" max="6233" width="31" bestFit="1" customWidth="1"/>
    <col min="6234" max="6235" width="9.5546875" bestFit="1" customWidth="1"/>
    <col min="6236" max="6236" width="10.6640625" bestFit="1" customWidth="1"/>
    <col min="6237" max="6237" width="6.44140625" bestFit="1" customWidth="1"/>
    <col min="6238" max="6238" width="14.6640625" bestFit="1" customWidth="1"/>
    <col min="6239" max="6239" width="7.5546875" bestFit="1" customWidth="1"/>
    <col min="6240" max="6240" width="16" bestFit="1" customWidth="1"/>
    <col min="6241" max="6241" width="10" bestFit="1" customWidth="1"/>
    <col min="6242" max="6242" width="9.5546875" bestFit="1" customWidth="1"/>
    <col min="6243" max="6243" width="15.5546875" bestFit="1" customWidth="1"/>
    <col min="6244" max="6244" width="16.5546875" bestFit="1" customWidth="1"/>
    <col min="6245" max="6245" width="31" bestFit="1" customWidth="1"/>
    <col min="6246" max="6247" width="9.5546875" bestFit="1" customWidth="1"/>
    <col min="6248" max="6248" width="15.5546875" bestFit="1" customWidth="1"/>
    <col min="6249" max="6249" width="16.5546875" bestFit="1" customWidth="1"/>
    <col min="6250" max="6250" width="31" bestFit="1" customWidth="1"/>
    <col min="6251" max="6252" width="9.5546875" bestFit="1" customWidth="1"/>
    <col min="6253" max="6253" width="6.6640625" bestFit="1" customWidth="1"/>
    <col min="6254" max="6254" width="50.88671875" bestFit="1" customWidth="1"/>
    <col min="6255" max="6255" width="9.5546875" bestFit="1" customWidth="1"/>
    <col min="6256" max="6256" width="34.5546875" bestFit="1" customWidth="1"/>
    <col min="6257" max="6257" width="19.109375" bestFit="1" customWidth="1"/>
    <col min="6258" max="6258" width="15.5546875" bestFit="1" customWidth="1"/>
    <col min="6259" max="6259" width="16.5546875" bestFit="1" customWidth="1"/>
    <col min="6260" max="6260" width="10" bestFit="1" customWidth="1"/>
    <col min="6261" max="6261" width="9.5546875" bestFit="1" customWidth="1"/>
    <col min="6262" max="6262" width="7.109375" bestFit="1" customWidth="1"/>
    <col min="6263" max="6263" width="6.6640625" bestFit="1" customWidth="1"/>
    <col min="6264" max="6264" width="50.88671875" bestFit="1" customWidth="1"/>
    <col min="6265" max="6265" width="9.5546875" bestFit="1" customWidth="1"/>
    <col min="6266" max="6266" width="34.5546875" bestFit="1" customWidth="1"/>
    <col min="6267" max="6267" width="19.109375" bestFit="1" customWidth="1"/>
    <col min="6268" max="6268" width="15.5546875" bestFit="1" customWidth="1"/>
    <col min="6269" max="6269" width="16.5546875" bestFit="1" customWidth="1"/>
    <col min="6270" max="6270" width="50.88671875" bestFit="1" customWidth="1"/>
    <col min="6271" max="6271" width="9.5546875" bestFit="1" customWidth="1"/>
    <col min="6272" max="6272" width="50.88671875" bestFit="1" customWidth="1"/>
    <col min="6273" max="6273" width="9.5546875" bestFit="1" customWidth="1"/>
    <col min="6274" max="6274" width="7.44140625" bestFit="1" customWidth="1"/>
    <col min="6275" max="6275" width="33.44140625" bestFit="1" customWidth="1"/>
    <col min="6276" max="6276" width="26.109375" bestFit="1" customWidth="1"/>
    <col min="6277" max="6277" width="9.5546875" bestFit="1" customWidth="1"/>
    <col min="6278" max="6278" width="27.33203125" bestFit="1" customWidth="1"/>
    <col min="6279" max="6279" width="19.109375" bestFit="1" customWidth="1"/>
    <col min="6280" max="6280" width="15.5546875" bestFit="1" customWidth="1"/>
    <col min="6281" max="6281" width="16.5546875" bestFit="1" customWidth="1"/>
    <col min="6282" max="6282" width="29.6640625" bestFit="1" customWidth="1"/>
    <col min="6283" max="6283" width="9.5546875" bestFit="1" customWidth="1"/>
    <col min="6284" max="6284" width="7.33203125" bestFit="1" customWidth="1"/>
    <col min="6285" max="6285" width="7.44140625" bestFit="1" customWidth="1"/>
    <col min="6286" max="6286" width="29.6640625" bestFit="1" customWidth="1"/>
    <col min="6287" max="6287" width="9.5546875" bestFit="1" customWidth="1"/>
    <col min="6288" max="6288" width="26.109375" bestFit="1" customWidth="1"/>
    <col min="6289" max="6289" width="9.5546875" bestFit="1" customWidth="1"/>
    <col min="6290" max="6290" width="10.6640625" bestFit="1" customWidth="1"/>
    <col min="6291" max="6291" width="6.44140625" bestFit="1" customWidth="1"/>
    <col min="6292" max="6292" width="14.6640625" bestFit="1" customWidth="1"/>
    <col min="6293" max="6293" width="7.5546875" bestFit="1" customWidth="1"/>
    <col min="6294" max="6294" width="16" bestFit="1" customWidth="1"/>
    <col min="6295" max="6295" width="28.6640625" bestFit="1" customWidth="1"/>
    <col min="6296" max="6296" width="9.5546875" bestFit="1" customWidth="1"/>
    <col min="6297" max="6297" width="7.33203125" bestFit="1" customWidth="1"/>
    <col min="6298" max="6298" width="7.44140625" bestFit="1" customWidth="1"/>
    <col min="6299" max="6299" width="29.6640625" bestFit="1" customWidth="1"/>
    <col min="6300" max="6300" width="9.5546875" bestFit="1" customWidth="1"/>
    <col min="6301" max="6301" width="28.109375" bestFit="1" customWidth="1"/>
    <col min="6302" max="6302" width="19.109375" bestFit="1" customWidth="1"/>
    <col min="6303" max="6303" width="15.5546875" bestFit="1" customWidth="1"/>
    <col min="6304" max="6304" width="16.5546875" bestFit="1" customWidth="1"/>
    <col min="6305" max="6305" width="29.6640625" bestFit="1" customWidth="1"/>
    <col min="6306" max="6306" width="9.5546875" bestFit="1" customWidth="1"/>
    <col min="6307" max="6307" width="7.33203125" bestFit="1" customWidth="1"/>
    <col min="6308" max="6308" width="6.6640625" bestFit="1" customWidth="1"/>
    <col min="6309" max="6309" width="32" bestFit="1" customWidth="1"/>
    <col min="6310" max="6310" width="9.5546875" bestFit="1" customWidth="1"/>
    <col min="6311" max="6311" width="34.5546875" bestFit="1" customWidth="1"/>
    <col min="6312" max="6312" width="19.109375" bestFit="1" customWidth="1"/>
    <col min="6313" max="6313" width="15.5546875" bestFit="1" customWidth="1"/>
    <col min="6314" max="6314" width="16.5546875" bestFit="1" customWidth="1"/>
    <col min="6315" max="6315" width="31" bestFit="1" customWidth="1"/>
    <col min="6316" max="6316" width="9.5546875" bestFit="1" customWidth="1"/>
    <col min="6317" max="6317" width="31" bestFit="1" customWidth="1"/>
    <col min="6318" max="6318" width="9.5546875" bestFit="1" customWidth="1"/>
    <col min="6319" max="6319" width="7.5546875" bestFit="1" customWidth="1"/>
    <col min="6320" max="6320" width="16" bestFit="1" customWidth="1"/>
    <col min="6321" max="6321" width="11.44140625" bestFit="1" customWidth="1"/>
    <col min="6322" max="6322" width="20" bestFit="1" customWidth="1"/>
    <col min="6323" max="6323" width="10" bestFit="1" customWidth="1"/>
    <col min="6324" max="6324" width="9.5546875" bestFit="1" customWidth="1"/>
    <col min="6325" max="6325" width="22" bestFit="1" customWidth="1"/>
    <col min="6326" max="6327" width="9.5546875" bestFit="1" customWidth="1"/>
    <col min="6328" max="6328" width="7.5546875" bestFit="1" customWidth="1"/>
    <col min="6329" max="6329" width="16" bestFit="1" customWidth="1"/>
    <col min="6330" max="6330" width="11.44140625" bestFit="1" customWidth="1"/>
    <col min="6331" max="6331" width="20" bestFit="1" customWidth="1"/>
    <col min="6332" max="6332" width="10" bestFit="1" customWidth="1"/>
    <col min="6333" max="6333" width="9.5546875" bestFit="1" customWidth="1"/>
    <col min="6334" max="6334" width="33.44140625" bestFit="1" customWidth="1"/>
    <col min="6335" max="6335" width="10" bestFit="1" customWidth="1"/>
    <col min="6336" max="6336" width="9.5546875" bestFit="1" customWidth="1"/>
    <col min="6337" max="6337" width="12.5546875" bestFit="1" customWidth="1"/>
    <col min="6338" max="6338" width="7.5546875" bestFit="1" customWidth="1"/>
    <col min="6339" max="6339" width="16" bestFit="1" customWidth="1"/>
    <col min="6340" max="6340" width="11.44140625" bestFit="1" customWidth="1"/>
    <col min="6341" max="6341" width="20" bestFit="1" customWidth="1"/>
    <col min="6342" max="6342" width="10" bestFit="1" customWidth="1"/>
    <col min="6343" max="6343" width="9.5546875" bestFit="1" customWidth="1"/>
    <col min="6344" max="6344" width="6.6640625" bestFit="1" customWidth="1"/>
    <col min="6345" max="6345" width="31" bestFit="1" customWidth="1"/>
    <col min="6346" max="6346" width="9.5546875" bestFit="1" customWidth="1"/>
    <col min="6347" max="6347" width="34.5546875" bestFit="1" customWidth="1"/>
    <col min="6348" max="6348" width="19.109375" bestFit="1" customWidth="1"/>
    <col min="6349" max="6349" width="15.5546875" bestFit="1" customWidth="1"/>
    <col min="6350" max="6350" width="16.5546875" bestFit="1" customWidth="1"/>
    <col min="6351" max="6351" width="31" bestFit="1" customWidth="1"/>
    <col min="6352" max="6352" width="9.5546875" bestFit="1" customWidth="1"/>
    <col min="6353" max="6353" width="7.33203125" bestFit="1" customWidth="1"/>
    <col min="6354" max="6354" width="6.6640625" bestFit="1" customWidth="1"/>
    <col min="6355" max="6355" width="22" bestFit="1" customWidth="1"/>
    <col min="6356" max="6357" width="9.5546875" bestFit="1" customWidth="1"/>
    <col min="6358" max="6358" width="27.33203125" bestFit="1" customWidth="1"/>
    <col min="6359" max="6359" width="19.109375" bestFit="1" customWidth="1"/>
    <col min="6360" max="6360" width="15.5546875" bestFit="1" customWidth="1"/>
    <col min="6361" max="6361" width="16.5546875" bestFit="1" customWidth="1"/>
    <col min="6362" max="6362" width="29.6640625" bestFit="1" customWidth="1"/>
    <col min="6363" max="6363" width="9.5546875" bestFit="1" customWidth="1"/>
    <col min="6364" max="6364" width="7.33203125" bestFit="1" customWidth="1"/>
    <col min="6365" max="6365" width="7.44140625" bestFit="1" customWidth="1"/>
    <col min="6366" max="6366" width="33.44140625" bestFit="1" customWidth="1"/>
    <col min="6367" max="6367" width="9.5546875" bestFit="1" customWidth="1"/>
    <col min="6368" max="6368" width="27.33203125" bestFit="1" customWidth="1"/>
    <col min="6369" max="6369" width="19.109375" bestFit="1" customWidth="1"/>
    <col min="6370" max="6370" width="15.5546875" bestFit="1" customWidth="1"/>
    <col min="6371" max="6371" width="16.5546875" bestFit="1" customWidth="1"/>
    <col min="6372" max="6372" width="29.6640625" bestFit="1" customWidth="1"/>
    <col min="6373" max="6373" width="9.5546875" bestFit="1" customWidth="1"/>
    <col min="6374" max="6374" width="7.33203125" bestFit="1" customWidth="1"/>
    <col min="6375" max="6375" width="6.6640625" bestFit="1" customWidth="1"/>
    <col min="6376" max="6376" width="32" bestFit="1" customWidth="1"/>
    <col min="6377" max="6378" width="9.5546875" bestFit="1" customWidth="1"/>
    <col min="6379" max="6379" width="33.44140625" bestFit="1" customWidth="1"/>
    <col min="6380" max="6380" width="19.109375" bestFit="1" customWidth="1"/>
    <col min="6381" max="6381" width="15.5546875" bestFit="1" customWidth="1"/>
    <col min="6382" max="6382" width="16.5546875" bestFit="1" customWidth="1"/>
    <col min="6383" max="6383" width="10" bestFit="1" customWidth="1"/>
    <col min="6384" max="6384" width="9.5546875" bestFit="1" customWidth="1"/>
    <col min="6385" max="6385" width="7.33203125" bestFit="1" customWidth="1"/>
    <col min="6386" max="6386" width="6.6640625" bestFit="1" customWidth="1"/>
    <col min="6387" max="6387" width="10" bestFit="1" customWidth="1"/>
    <col min="6388" max="6389" width="9.5546875" bestFit="1" customWidth="1"/>
    <col min="6390" max="6390" width="33.44140625" bestFit="1" customWidth="1"/>
    <col min="6391" max="6391" width="19.109375" bestFit="1" customWidth="1"/>
    <col min="6392" max="6392" width="15.5546875" bestFit="1" customWidth="1"/>
    <col min="6393" max="6393" width="16.5546875" bestFit="1" customWidth="1"/>
    <col min="6394" max="6394" width="10" bestFit="1" customWidth="1"/>
    <col min="6395" max="6395" width="9.5546875" bestFit="1" customWidth="1"/>
    <col min="6396" max="6396" width="7.33203125" bestFit="1" customWidth="1"/>
    <col min="6397" max="6397" width="7.44140625" bestFit="1" customWidth="1"/>
    <col min="6398" max="6398" width="33.44140625" bestFit="1" customWidth="1"/>
    <col min="6399" max="6399" width="9.5546875" bestFit="1" customWidth="1"/>
    <col min="6400" max="6400" width="34.5546875" bestFit="1" customWidth="1"/>
    <col min="6401" max="6401" width="19.109375" bestFit="1" customWidth="1"/>
    <col min="6402" max="6402" width="15.5546875" bestFit="1" customWidth="1"/>
    <col min="6403" max="6403" width="16.5546875" bestFit="1" customWidth="1"/>
    <col min="6404" max="6404" width="23" bestFit="1" customWidth="1"/>
    <col min="6405" max="6405" width="9.5546875" bestFit="1" customWidth="1"/>
    <col min="6406" max="6406" width="7.109375" bestFit="1" customWidth="1"/>
    <col min="6407" max="6407" width="6.6640625" bestFit="1" customWidth="1"/>
    <col min="6408" max="6408" width="50.88671875" bestFit="1" customWidth="1"/>
    <col min="6409" max="6409" width="9.5546875" bestFit="1" customWidth="1"/>
    <col min="6410" max="6410" width="10" bestFit="1" customWidth="1"/>
    <col min="6411" max="6411" width="9.5546875" bestFit="1" customWidth="1"/>
    <col min="6412" max="6412" width="7.109375" bestFit="1" customWidth="1"/>
    <col min="6413" max="6413" width="6.6640625" bestFit="1" customWidth="1"/>
    <col min="6414" max="6414" width="50.88671875" bestFit="1" customWidth="1"/>
    <col min="6415" max="6416" width="26.109375" bestFit="1" customWidth="1"/>
    <col min="6417" max="6417" width="9.5546875" bestFit="1" customWidth="1"/>
    <col min="6418" max="6418" width="30.88671875" bestFit="1" customWidth="1"/>
    <col min="6419" max="6419" width="19.109375" bestFit="1" customWidth="1"/>
    <col min="6420" max="6420" width="15.5546875" bestFit="1" customWidth="1"/>
    <col min="6421" max="6421" width="16.5546875" bestFit="1" customWidth="1"/>
    <col min="6422" max="6422" width="10" bestFit="1" customWidth="1"/>
    <col min="6423" max="6423" width="9.5546875" bestFit="1" customWidth="1"/>
    <col min="6424" max="6424" width="7.109375" bestFit="1" customWidth="1"/>
    <col min="6425" max="6425" width="7.44140625" bestFit="1" customWidth="1"/>
    <col min="6426" max="6426" width="31.6640625" bestFit="1" customWidth="1"/>
    <col min="6427" max="6427" width="9.5546875" bestFit="1" customWidth="1"/>
    <col min="6428" max="6428" width="30.88671875" bestFit="1" customWidth="1"/>
    <col min="6429" max="6429" width="19.109375" bestFit="1" customWidth="1"/>
    <col min="6430" max="6430" width="15.5546875" bestFit="1" customWidth="1"/>
    <col min="6431" max="6431" width="16.5546875" bestFit="1" customWidth="1"/>
    <col min="6432" max="6432" width="22.88671875" bestFit="1" customWidth="1"/>
    <col min="6433" max="6433" width="9.5546875" bestFit="1" customWidth="1"/>
    <col min="6434" max="6434" width="7.109375" bestFit="1" customWidth="1"/>
    <col min="6435" max="6435" width="6.6640625" bestFit="1" customWidth="1"/>
    <col min="6436" max="6436" width="50.88671875" bestFit="1" customWidth="1"/>
    <col min="6437" max="6437" width="26.109375" bestFit="1" customWidth="1"/>
    <col min="6438" max="6438" width="10.6640625" bestFit="1" customWidth="1"/>
    <col min="6439" max="6439" width="6.44140625" bestFit="1" customWidth="1"/>
    <col min="6440" max="6440" width="14.6640625" bestFit="1" customWidth="1"/>
    <col min="6441" max="6441" width="7.5546875" bestFit="1" customWidth="1"/>
    <col min="6442" max="6442" width="16" bestFit="1" customWidth="1"/>
    <col min="6443" max="6443" width="10" bestFit="1" customWidth="1"/>
    <col min="6444" max="6444" width="9.5546875" bestFit="1" customWidth="1"/>
    <col min="6445" max="6445" width="7.109375" bestFit="1" customWidth="1"/>
    <col min="6446" max="6446" width="6.6640625" bestFit="1" customWidth="1"/>
    <col min="6447" max="6447" width="50.88671875" bestFit="1" customWidth="1"/>
    <col min="6448" max="6448" width="26.109375" bestFit="1" customWidth="1"/>
    <col min="6449" max="6449" width="10.6640625" bestFit="1" customWidth="1"/>
    <col min="6450" max="6450" width="6.44140625" bestFit="1" customWidth="1"/>
    <col min="6451" max="6451" width="14.6640625" bestFit="1" customWidth="1"/>
    <col min="6452" max="6452" width="7.5546875" bestFit="1" customWidth="1"/>
    <col min="6453" max="6453" width="16" bestFit="1" customWidth="1"/>
    <col min="6454" max="6454" width="10" bestFit="1" customWidth="1"/>
    <col min="6455" max="6455" width="9.5546875" bestFit="1" customWidth="1"/>
    <col min="6456" max="6456" width="7.109375" bestFit="1" customWidth="1"/>
    <col min="6457" max="6457" width="6.6640625" bestFit="1" customWidth="1"/>
    <col min="6458" max="6458" width="50.88671875" bestFit="1" customWidth="1"/>
    <col min="6459" max="6459" width="26.109375" bestFit="1" customWidth="1"/>
    <col min="6460" max="6460" width="34.5546875" bestFit="1" customWidth="1"/>
    <col min="6461" max="6461" width="19.109375" bestFit="1" customWidth="1"/>
    <col min="6462" max="6462" width="15.5546875" bestFit="1" customWidth="1"/>
    <col min="6463" max="6463" width="16.5546875" bestFit="1" customWidth="1"/>
    <col min="6464" max="6464" width="23" bestFit="1" customWidth="1"/>
    <col min="6465" max="6465" width="9.5546875" bestFit="1" customWidth="1"/>
    <col min="6466" max="6466" width="7.5546875" bestFit="1" customWidth="1"/>
    <col min="6467" max="6467" width="6.6640625" bestFit="1" customWidth="1"/>
    <col min="6468" max="6468" width="50.88671875" bestFit="1" customWidth="1"/>
    <col min="6469" max="6469" width="26.109375" bestFit="1" customWidth="1"/>
    <col min="6470" max="6470" width="9.5546875" bestFit="1" customWidth="1"/>
    <col min="6471" max="6471" width="10" bestFit="1" customWidth="1"/>
    <col min="6472" max="6473" width="9.5546875" bestFit="1" customWidth="1"/>
    <col min="6474" max="6474" width="10" bestFit="1" customWidth="1"/>
    <col min="6475" max="6476" width="9.5546875" bestFit="1" customWidth="1"/>
    <col min="6477" max="6477" width="10" bestFit="1" customWidth="1"/>
    <col min="6478" max="6478" width="9.5546875" bestFit="1" customWidth="1"/>
    <col min="6479" max="6479" width="6.6640625" bestFit="1" customWidth="1"/>
    <col min="6480" max="6480" width="10" bestFit="1" customWidth="1"/>
    <col min="6481" max="6483" width="9.5546875" bestFit="1" customWidth="1"/>
    <col min="6484" max="6484" width="25.109375" bestFit="1" customWidth="1"/>
    <col min="6485" max="6485" width="9.5546875" bestFit="1" customWidth="1"/>
    <col min="6486" max="6486" width="6.6640625" bestFit="1" customWidth="1"/>
    <col min="6487" max="6487" width="24.109375" bestFit="1" customWidth="1"/>
    <col min="6488" max="6491" width="9.5546875" bestFit="1" customWidth="1"/>
    <col min="6492" max="6492" width="30.33203125" bestFit="1" customWidth="1"/>
    <col min="6493" max="6493" width="9.5546875" bestFit="1" customWidth="1"/>
    <col min="6494" max="6494" width="7.5546875" bestFit="1" customWidth="1"/>
    <col min="6495" max="6495" width="16" bestFit="1" customWidth="1"/>
    <col min="6496" max="6496" width="11.44140625" bestFit="1" customWidth="1"/>
    <col min="6497" max="6497" width="20" bestFit="1" customWidth="1"/>
    <col min="6498" max="6498" width="10" bestFit="1" customWidth="1"/>
    <col min="6499" max="6499" width="9.5546875" bestFit="1" customWidth="1"/>
    <col min="6500" max="6500" width="24.109375" bestFit="1" customWidth="1"/>
    <col min="6501" max="6502" width="9.5546875" bestFit="1" customWidth="1"/>
    <col min="6503" max="6503" width="7.5546875" bestFit="1" customWidth="1"/>
    <col min="6504" max="6504" width="16" bestFit="1" customWidth="1"/>
    <col min="6505" max="6505" width="11.44140625" bestFit="1" customWidth="1"/>
    <col min="6506" max="6506" width="20" bestFit="1" customWidth="1"/>
    <col min="6507" max="6507" width="10" bestFit="1" customWidth="1"/>
    <col min="6508" max="6508" width="9.5546875" bestFit="1" customWidth="1"/>
    <col min="6509" max="6509" width="12.6640625" bestFit="1" customWidth="1"/>
    <col min="6510" max="6510" width="10" bestFit="1" customWidth="1"/>
    <col min="6511" max="6511" width="9.5546875" bestFit="1" customWidth="1"/>
    <col min="6512" max="6512" width="15.5546875" bestFit="1" customWidth="1"/>
    <col min="6513" max="6513" width="16.5546875" bestFit="1" customWidth="1"/>
    <col min="6514" max="6514" width="22.88671875" bestFit="1" customWidth="1"/>
    <col min="6515" max="6515" width="9.5546875" bestFit="1" customWidth="1"/>
    <col min="6516" max="6516" width="7.33203125" bestFit="1" customWidth="1"/>
    <col min="6517" max="6517" width="7.44140625" bestFit="1" customWidth="1"/>
    <col min="6518" max="6518" width="28.6640625" bestFit="1" customWidth="1"/>
    <col min="6519" max="6519" width="26.109375" bestFit="1" customWidth="1"/>
    <col min="6520" max="6520" width="9.5546875" bestFit="1" customWidth="1"/>
    <col min="6521" max="6521" width="22.88671875" bestFit="1" customWidth="1"/>
    <col min="6522" max="6522" width="9.5546875" bestFit="1" customWidth="1"/>
    <col min="6523" max="6523" width="13.33203125" bestFit="1" customWidth="1"/>
    <col min="6524" max="6524" width="9.109375" bestFit="1" customWidth="1"/>
  </cols>
  <sheetData>
    <row r="1" spans="1:8" x14ac:dyDescent="0.3">
      <c r="A1" t="s">
        <v>128</v>
      </c>
      <c r="B1" t="s">
        <v>133</v>
      </c>
      <c r="C1" t="s">
        <v>94</v>
      </c>
      <c r="D1" t="s">
        <v>6</v>
      </c>
      <c r="E1" t="s">
        <v>275</v>
      </c>
      <c r="F1" t="s">
        <v>274</v>
      </c>
      <c r="G1" t="s">
        <v>382</v>
      </c>
      <c r="H1" t="s">
        <v>383</v>
      </c>
    </row>
    <row r="2" spans="1:8" x14ac:dyDescent="0.3">
      <c r="A2" s="68"/>
      <c r="B2" s="69"/>
      <c r="E2" s="69"/>
      <c r="F2" s="69"/>
      <c r="G2" s="70"/>
      <c r="H2" s="71"/>
    </row>
    <row r="3" spans="1:8" x14ac:dyDescent="0.3">
      <c r="A3" s="68"/>
      <c r="B3" s="69"/>
      <c r="E3" s="69"/>
      <c r="F3" s="69"/>
      <c r="G3" s="69"/>
      <c r="H3" s="71"/>
    </row>
    <row r="4" spans="1:8" x14ac:dyDescent="0.3">
      <c r="A4" s="68"/>
      <c r="B4" s="69"/>
      <c r="E4" s="69"/>
      <c r="F4" s="69"/>
      <c r="G4" s="69"/>
      <c r="H4" s="71"/>
    </row>
    <row r="5" spans="1:8" x14ac:dyDescent="0.3">
      <c r="A5" s="68"/>
      <c r="B5" s="69"/>
      <c r="E5" s="69"/>
      <c r="F5" s="69"/>
      <c r="G5" s="69"/>
      <c r="H5" s="71"/>
    </row>
    <row r="6" spans="1:8" x14ac:dyDescent="0.3">
      <c r="A6" s="68"/>
      <c r="B6" s="69"/>
      <c r="E6" s="69"/>
      <c r="F6" s="69"/>
      <c r="G6" s="69"/>
      <c r="H6" s="71"/>
    </row>
    <row r="7" spans="1:8" x14ac:dyDescent="0.3">
      <c r="A7" s="68"/>
      <c r="B7" s="69"/>
      <c r="E7" s="69"/>
      <c r="F7" s="69"/>
      <c r="G7" s="69"/>
      <c r="H7" s="71"/>
    </row>
    <row r="8" spans="1:8" x14ac:dyDescent="0.3">
      <c r="A8" s="68"/>
      <c r="B8" s="69"/>
      <c r="E8" s="69"/>
      <c r="F8" s="69"/>
      <c r="G8" s="69"/>
      <c r="H8" s="71"/>
    </row>
    <row r="9" spans="1:8" x14ac:dyDescent="0.3">
      <c r="A9" s="68"/>
      <c r="B9" s="69"/>
      <c r="E9" s="69"/>
      <c r="F9" s="69"/>
      <c r="G9" s="69"/>
      <c r="H9" s="71"/>
    </row>
    <row r="10" spans="1:8" x14ac:dyDescent="0.3">
      <c r="A10" s="68"/>
      <c r="B10" s="69"/>
      <c r="E10" s="69"/>
      <c r="F10" s="69"/>
      <c r="G10" s="69"/>
      <c r="H10" s="71"/>
    </row>
    <row r="11" spans="1:8" x14ac:dyDescent="0.3">
      <c r="A11" s="68"/>
      <c r="B11" s="69"/>
      <c r="E11" s="69"/>
      <c r="F11" s="69"/>
      <c r="G11" s="69"/>
      <c r="H11" s="71"/>
    </row>
    <row r="12" spans="1:8" x14ac:dyDescent="0.3">
      <c r="A12" s="68"/>
      <c r="B12" s="69"/>
      <c r="E12" s="69"/>
      <c r="F12" s="69"/>
      <c r="G12" s="69"/>
      <c r="H12" s="71"/>
    </row>
    <row r="13" spans="1:8" x14ac:dyDescent="0.3">
      <c r="A13" s="68"/>
      <c r="B13" s="69"/>
      <c r="E13" s="69"/>
      <c r="F13" s="69"/>
      <c r="G13" s="69"/>
      <c r="H13" s="71"/>
    </row>
    <row r="14" spans="1:8" x14ac:dyDescent="0.3">
      <c r="A14" s="68"/>
      <c r="B14" s="69"/>
      <c r="E14" s="69"/>
      <c r="F14" s="69"/>
      <c r="G14" s="69"/>
      <c r="H14" s="71"/>
    </row>
    <row r="15" spans="1:8" x14ac:dyDescent="0.3">
      <c r="A15" s="68"/>
      <c r="B15" s="69"/>
      <c r="E15" s="69"/>
      <c r="F15" s="69"/>
      <c r="G15" s="69"/>
      <c r="H15" s="71"/>
    </row>
    <row r="16" spans="1:8" x14ac:dyDescent="0.3">
      <c r="A16" s="68"/>
      <c r="B16" s="69"/>
      <c r="E16" s="69"/>
      <c r="F16" s="69"/>
      <c r="G16" s="69"/>
      <c r="H16" s="71"/>
    </row>
    <row r="17" spans="1:8" x14ac:dyDescent="0.3">
      <c r="A17" s="68"/>
      <c r="B17" s="69"/>
      <c r="E17" s="69"/>
      <c r="F17" s="69"/>
      <c r="G17" s="69"/>
      <c r="H17" s="71"/>
    </row>
    <row r="18" spans="1:8" x14ac:dyDescent="0.3">
      <c r="A18" s="68"/>
      <c r="B18" s="69"/>
      <c r="E18" s="69"/>
      <c r="F18" s="69"/>
      <c r="G18" s="69"/>
      <c r="H18" s="71"/>
    </row>
    <row r="19" spans="1:8" x14ac:dyDescent="0.3">
      <c r="A19" s="68"/>
      <c r="B19" s="69"/>
      <c r="E19" s="69"/>
      <c r="F19" s="69"/>
      <c r="G19" s="69"/>
      <c r="H19" s="71"/>
    </row>
    <row r="20" spans="1:8" x14ac:dyDescent="0.3">
      <c r="A20" s="68"/>
      <c r="B20" s="69"/>
      <c r="E20" s="69"/>
      <c r="F20" s="69"/>
      <c r="G20" s="69"/>
      <c r="H20" s="71"/>
    </row>
    <row r="21" spans="1:8" x14ac:dyDescent="0.3">
      <c r="A21" s="68"/>
      <c r="B21" s="69"/>
      <c r="E21" s="69"/>
      <c r="F21" s="69"/>
      <c r="G21" s="69"/>
      <c r="H21" s="71"/>
    </row>
    <row r="22" spans="1:8" x14ac:dyDescent="0.3">
      <c r="A22" s="68"/>
      <c r="B22" s="69"/>
      <c r="E22" s="69"/>
      <c r="F22" s="69"/>
      <c r="G22" s="69"/>
      <c r="H22" s="71"/>
    </row>
    <row r="23" spans="1:8" x14ac:dyDescent="0.3">
      <c r="A23" s="68"/>
      <c r="B23" s="69"/>
      <c r="E23" s="69"/>
      <c r="F23" s="69"/>
      <c r="G23" s="69"/>
      <c r="H23" s="71"/>
    </row>
    <row r="24" spans="1:8" x14ac:dyDescent="0.3">
      <c r="A24" s="68"/>
      <c r="B24" s="69"/>
      <c r="E24" s="69"/>
      <c r="F24" s="69"/>
      <c r="G24" s="69"/>
      <c r="H24" s="71"/>
    </row>
    <row r="25" spans="1:8" x14ac:dyDescent="0.3">
      <c r="A25" s="68"/>
      <c r="B25" s="69"/>
      <c r="E25" s="69"/>
      <c r="F25" s="69"/>
      <c r="G25" s="69"/>
      <c r="H25" s="71"/>
    </row>
    <row r="26" spans="1:8" x14ac:dyDescent="0.3">
      <c r="A26" s="68"/>
      <c r="B26" s="69"/>
      <c r="E26" s="69"/>
      <c r="F26" s="69"/>
      <c r="G26" s="69"/>
      <c r="H26" s="71"/>
    </row>
    <row r="27" spans="1:8" x14ac:dyDescent="0.3">
      <c r="A27" s="68"/>
      <c r="B27" s="69"/>
      <c r="E27" s="69"/>
      <c r="F27" s="69"/>
      <c r="G27" s="69"/>
      <c r="H27" s="71"/>
    </row>
    <row r="28" spans="1:8" x14ac:dyDescent="0.3">
      <c r="A28" s="68"/>
      <c r="B28" s="69"/>
      <c r="E28" s="69"/>
      <c r="F28" s="69"/>
      <c r="G28" s="69"/>
      <c r="H28" s="71"/>
    </row>
    <row r="29" spans="1:8" x14ac:dyDescent="0.3">
      <c r="A29" s="68"/>
      <c r="B29" s="69"/>
      <c r="E29" s="69"/>
      <c r="F29" s="69"/>
      <c r="G29" s="69"/>
      <c r="H29" s="71"/>
    </row>
    <row r="30" spans="1:8" x14ac:dyDescent="0.3">
      <c r="A30" s="68"/>
      <c r="B30" s="69"/>
      <c r="E30" s="69"/>
      <c r="F30" s="69"/>
      <c r="G30" s="69"/>
      <c r="H30" s="71"/>
    </row>
    <row r="31" spans="1:8" x14ac:dyDescent="0.3">
      <c r="A31" s="68"/>
      <c r="B31" s="69"/>
      <c r="E31" s="69"/>
      <c r="F31" s="69"/>
      <c r="G31" s="69"/>
      <c r="H31" s="71"/>
    </row>
    <row r="32" spans="1:8" x14ac:dyDescent="0.3">
      <c r="A32" s="68"/>
      <c r="B32" s="69"/>
      <c r="E32" s="69"/>
      <c r="F32" s="69"/>
      <c r="G32" s="69"/>
      <c r="H32" s="71"/>
    </row>
    <row r="33" spans="1:8" x14ac:dyDescent="0.3">
      <c r="A33" s="68"/>
      <c r="B33" s="69"/>
      <c r="E33" s="69"/>
      <c r="F33" s="69"/>
      <c r="G33" s="69"/>
      <c r="H33" s="71"/>
    </row>
    <row r="34" spans="1:8" x14ac:dyDescent="0.3">
      <c r="A34" s="68"/>
      <c r="B34" s="69"/>
      <c r="E34" s="69"/>
      <c r="F34" s="69"/>
      <c r="G34" s="69"/>
      <c r="H34" s="71"/>
    </row>
    <row r="35" spans="1:8" x14ac:dyDescent="0.3">
      <c r="A35" s="68"/>
      <c r="B35" s="69"/>
      <c r="E35" s="69"/>
      <c r="F35" s="69"/>
      <c r="G35" s="69"/>
      <c r="H35" s="71"/>
    </row>
    <row r="36" spans="1:8" x14ac:dyDescent="0.3">
      <c r="A36" s="68"/>
      <c r="B36" s="69"/>
      <c r="E36" s="69"/>
      <c r="F36" s="69"/>
      <c r="G36" s="69"/>
      <c r="H36" s="71"/>
    </row>
    <row r="37" spans="1:8" x14ac:dyDescent="0.3">
      <c r="A37" s="68"/>
      <c r="B37" s="69"/>
      <c r="E37" s="69"/>
      <c r="F37" s="69"/>
      <c r="G37" s="69"/>
      <c r="H37" s="71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D85DB-24C2-4A7D-BCD5-D95F76787869}">
  <sheetPr codeName="Sheet8">
    <tabColor theme="5" tint="-0.249977111117893"/>
  </sheetPr>
  <dimension ref="A1:K1"/>
  <sheetViews>
    <sheetView workbookViewId="0">
      <selection activeCell="A2" sqref="A2:K244"/>
    </sheetView>
  </sheetViews>
  <sheetFormatPr defaultRowHeight="14.4" x14ac:dyDescent="0.3"/>
  <cols>
    <col min="1" max="1" width="13.5546875" bestFit="1" customWidth="1"/>
    <col min="2" max="2" width="11" bestFit="1" customWidth="1"/>
    <col min="3" max="3" width="6.109375" bestFit="1" customWidth="1"/>
    <col min="4" max="4" width="4.21875" bestFit="1" customWidth="1"/>
    <col min="5" max="5" width="7.33203125" bestFit="1" customWidth="1"/>
    <col min="6" max="6" width="11.109375" bestFit="1" customWidth="1"/>
    <col min="7" max="7" width="61.77734375" bestFit="1" customWidth="1"/>
    <col min="8" max="8" width="7.33203125" bestFit="1" customWidth="1"/>
    <col min="9" max="9" width="11.44140625" bestFit="1" customWidth="1"/>
    <col min="10" max="10" width="9" bestFit="1" customWidth="1"/>
    <col min="11" max="11" width="7.109375" bestFit="1" customWidth="1"/>
    <col min="12" max="12" width="7.5546875" bestFit="1" customWidth="1"/>
    <col min="13" max="13" width="9" bestFit="1" customWidth="1"/>
    <col min="14" max="14" width="8.33203125" bestFit="1" customWidth="1"/>
    <col min="15" max="15" width="13.109375" bestFit="1" customWidth="1"/>
    <col min="16" max="16" width="8.44140625" bestFit="1" customWidth="1"/>
    <col min="17" max="17" width="20.5546875" bestFit="1" customWidth="1"/>
    <col min="18" max="19" width="24.33203125" bestFit="1" customWidth="1"/>
    <col min="20" max="20" width="27.5546875" bestFit="1" customWidth="1"/>
    <col min="21" max="21" width="21.33203125" bestFit="1" customWidth="1"/>
    <col min="22" max="22" width="4.6640625" bestFit="1" customWidth="1"/>
    <col min="23" max="23" width="7.33203125" bestFit="1" customWidth="1"/>
    <col min="24" max="24" width="10.88671875" bestFit="1" customWidth="1"/>
    <col min="25" max="25" width="12" bestFit="1" customWidth="1"/>
    <col min="26" max="26" width="13.109375" bestFit="1" customWidth="1"/>
    <col min="27" max="27" width="17.44140625" bestFit="1" customWidth="1"/>
    <col min="28" max="28" width="22.33203125" bestFit="1" customWidth="1"/>
    <col min="29" max="29" width="19.109375" bestFit="1" customWidth="1"/>
    <col min="30" max="30" width="20.5546875" bestFit="1" customWidth="1"/>
    <col min="31" max="31" width="80.88671875" bestFit="1" customWidth="1"/>
    <col min="32" max="32" width="15.6640625" bestFit="1" customWidth="1"/>
    <col min="33" max="33" width="23.6640625" bestFit="1" customWidth="1"/>
    <col min="34" max="34" width="15.6640625" bestFit="1" customWidth="1"/>
    <col min="35" max="35" width="22.33203125" bestFit="1" customWidth="1"/>
    <col min="36" max="36" width="25.109375" bestFit="1" customWidth="1"/>
    <col min="37" max="37" width="24.44140625" bestFit="1" customWidth="1"/>
    <col min="38" max="38" width="33.5546875" bestFit="1" customWidth="1"/>
    <col min="39" max="39" width="36.44140625" bestFit="1" customWidth="1"/>
    <col min="40" max="40" width="15.109375" bestFit="1" customWidth="1"/>
    <col min="41" max="41" width="50.44140625" bestFit="1" customWidth="1"/>
    <col min="42" max="42" width="15.6640625" bestFit="1" customWidth="1"/>
    <col min="43" max="43" width="17.88671875" bestFit="1" customWidth="1"/>
    <col min="44" max="44" width="21.6640625" bestFit="1" customWidth="1"/>
    <col min="45" max="45" width="17.88671875" bestFit="1" customWidth="1"/>
    <col min="46" max="46" width="11.88671875" bestFit="1" customWidth="1"/>
    <col min="47" max="47" width="10.6640625" bestFit="1" customWidth="1"/>
    <col min="48" max="48" width="20.6640625" bestFit="1" customWidth="1"/>
    <col min="49" max="49" width="12" bestFit="1" customWidth="1"/>
    <col min="50" max="50" width="23.6640625" bestFit="1" customWidth="1"/>
    <col min="51" max="51" width="20.6640625" bestFit="1" customWidth="1"/>
    <col min="52" max="53" width="16.5546875" bestFit="1" customWidth="1"/>
    <col min="54" max="54" width="22.109375" bestFit="1" customWidth="1"/>
    <col min="55" max="55" width="15.33203125" bestFit="1" customWidth="1"/>
    <col min="56" max="56" width="19.109375" bestFit="1" customWidth="1"/>
    <col min="57" max="57" width="33.6640625" bestFit="1" customWidth="1"/>
    <col min="58" max="58" width="23.5546875" bestFit="1" customWidth="1"/>
    <col min="59" max="59" width="15.6640625" bestFit="1" customWidth="1"/>
    <col min="60" max="60" width="14.5546875" bestFit="1" customWidth="1"/>
    <col min="61" max="61" width="19.33203125" bestFit="1" customWidth="1"/>
    <col min="62" max="62" width="20.6640625" bestFit="1" customWidth="1"/>
    <col min="63" max="63" width="22.33203125" bestFit="1" customWidth="1"/>
    <col min="64" max="64" width="23.6640625" bestFit="1" customWidth="1"/>
    <col min="65" max="65" width="13.44140625" bestFit="1" customWidth="1"/>
    <col min="66" max="67" width="10.6640625" bestFit="1" customWidth="1"/>
    <col min="68" max="68" width="11.44140625" bestFit="1" customWidth="1"/>
    <col min="69" max="73" width="10.6640625" bestFit="1" customWidth="1"/>
    <col min="74" max="78" width="11.6640625" bestFit="1" customWidth="1"/>
    <col min="79" max="79" width="13.5546875" bestFit="1" customWidth="1"/>
    <col min="80" max="80" width="22.109375" bestFit="1" customWidth="1"/>
    <col min="81" max="81" width="12.6640625" bestFit="1" customWidth="1"/>
    <col min="82" max="82" width="12.109375" bestFit="1" customWidth="1"/>
    <col min="83" max="83" width="11" bestFit="1" customWidth="1"/>
    <col min="84" max="84" width="11.44140625" bestFit="1" customWidth="1"/>
    <col min="85" max="85" width="9.5546875" bestFit="1" customWidth="1"/>
    <col min="86" max="86" width="20" bestFit="1" customWidth="1"/>
    <col min="87" max="87" width="33.109375" bestFit="1" customWidth="1"/>
    <col min="88" max="88" width="21" bestFit="1" customWidth="1"/>
    <col min="89" max="89" width="8.33203125" bestFit="1" customWidth="1"/>
    <col min="90" max="90" width="13.109375" bestFit="1" customWidth="1"/>
    <col min="91" max="91" width="8.44140625" bestFit="1" customWidth="1"/>
    <col min="92" max="92" width="20.5546875" bestFit="1" customWidth="1"/>
    <col min="93" max="94" width="24.33203125" bestFit="1" customWidth="1"/>
    <col min="95" max="95" width="27.5546875" bestFit="1" customWidth="1"/>
    <col min="96" max="96" width="21.33203125" bestFit="1" customWidth="1"/>
    <col min="97" max="97" width="4.6640625" bestFit="1" customWidth="1"/>
    <col min="98" max="98" width="7.33203125" bestFit="1" customWidth="1"/>
    <col min="99" max="99" width="10.88671875" bestFit="1" customWidth="1"/>
    <col min="100" max="100" width="12" bestFit="1" customWidth="1"/>
    <col min="101" max="101" width="13.109375" bestFit="1" customWidth="1"/>
    <col min="102" max="102" width="17.44140625" bestFit="1" customWidth="1"/>
    <col min="103" max="103" width="22.33203125" bestFit="1" customWidth="1"/>
    <col min="104" max="104" width="19.109375" bestFit="1" customWidth="1"/>
    <col min="105" max="105" width="20.5546875" bestFit="1" customWidth="1"/>
    <col min="106" max="106" width="80.88671875" bestFit="1" customWidth="1"/>
    <col min="107" max="107" width="15.6640625" bestFit="1" customWidth="1"/>
    <col min="108" max="108" width="23.6640625" bestFit="1" customWidth="1"/>
    <col min="109" max="109" width="15.6640625" bestFit="1" customWidth="1"/>
    <col min="110" max="110" width="22.33203125" bestFit="1" customWidth="1"/>
    <col min="111" max="111" width="25.109375" bestFit="1" customWidth="1"/>
    <col min="112" max="112" width="24.44140625" bestFit="1" customWidth="1"/>
    <col min="113" max="113" width="33.5546875" bestFit="1" customWidth="1"/>
    <col min="114" max="114" width="36.44140625" bestFit="1" customWidth="1"/>
    <col min="115" max="115" width="15.6640625" bestFit="1" customWidth="1"/>
    <col min="116" max="116" width="50.44140625" bestFit="1" customWidth="1"/>
    <col min="117" max="117" width="15.6640625" bestFit="1" customWidth="1"/>
    <col min="118" max="118" width="17.88671875" bestFit="1" customWidth="1"/>
    <col min="119" max="119" width="21.6640625" bestFit="1" customWidth="1"/>
    <col min="120" max="120" width="17.88671875" bestFit="1" customWidth="1"/>
    <col min="121" max="121" width="11.88671875" bestFit="1" customWidth="1"/>
    <col min="122" max="122" width="10.6640625" bestFit="1" customWidth="1"/>
    <col min="123" max="123" width="20.6640625" bestFit="1" customWidth="1"/>
    <col min="124" max="124" width="12" bestFit="1" customWidth="1"/>
    <col min="125" max="125" width="23.6640625" bestFit="1" customWidth="1"/>
    <col min="126" max="126" width="20.6640625" bestFit="1" customWidth="1"/>
    <col min="127" max="128" width="16.5546875" bestFit="1" customWidth="1"/>
    <col min="129" max="129" width="22.109375" bestFit="1" customWidth="1"/>
    <col min="130" max="130" width="15.33203125" bestFit="1" customWidth="1"/>
    <col min="131" max="131" width="19.109375" bestFit="1" customWidth="1"/>
    <col min="132" max="132" width="33.6640625" bestFit="1" customWidth="1"/>
    <col min="133" max="133" width="23.5546875" bestFit="1" customWidth="1"/>
    <col min="134" max="135" width="15.6640625" bestFit="1" customWidth="1"/>
    <col min="136" max="136" width="19.33203125" bestFit="1" customWidth="1"/>
    <col min="137" max="137" width="20.6640625" bestFit="1" customWidth="1"/>
    <col min="138" max="138" width="22.33203125" bestFit="1" customWidth="1"/>
    <col min="139" max="139" width="23.6640625" bestFit="1" customWidth="1"/>
  </cols>
  <sheetData>
    <row r="1" spans="1:11" x14ac:dyDescent="0.3">
      <c r="A1" t="s">
        <v>128</v>
      </c>
      <c r="B1" t="s">
        <v>6</v>
      </c>
      <c r="C1" t="s">
        <v>7</v>
      </c>
      <c r="D1" t="s">
        <v>130</v>
      </c>
      <c r="E1" t="s">
        <v>131</v>
      </c>
      <c r="F1" t="s">
        <v>15</v>
      </c>
      <c r="G1" t="s">
        <v>132</v>
      </c>
      <c r="H1" t="s">
        <v>86</v>
      </c>
      <c r="I1" t="s">
        <v>133</v>
      </c>
      <c r="J1" t="s">
        <v>94</v>
      </c>
      <c r="K1" t="s">
        <v>63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86F71-8A61-405E-BE9F-EEF21851E626}">
  <sheetPr codeName="Sheet10"/>
  <dimension ref="A1:G1"/>
  <sheetViews>
    <sheetView workbookViewId="0"/>
  </sheetViews>
  <sheetFormatPr defaultRowHeight="14.4" x14ac:dyDescent="0.3"/>
  <cols>
    <col min="1" max="1" width="11.6640625" bestFit="1" customWidth="1"/>
    <col min="2" max="2" width="10.109375" bestFit="1" customWidth="1"/>
    <col min="3" max="3" width="8.21875" bestFit="1" customWidth="1"/>
    <col min="4" max="4" width="12.33203125" bestFit="1" customWidth="1"/>
    <col min="5" max="5" width="10.44140625" bestFit="1" customWidth="1"/>
    <col min="6" max="6" width="6.109375" bestFit="1" customWidth="1"/>
    <col min="7" max="7" width="14.109375" bestFit="1" customWidth="1"/>
  </cols>
  <sheetData>
    <row r="1" spans="1:7" x14ac:dyDescent="0.3">
      <c r="A1" t="s">
        <v>128</v>
      </c>
      <c r="B1" t="s">
        <v>133</v>
      </c>
      <c r="C1" t="s">
        <v>275</v>
      </c>
      <c r="D1" t="s">
        <v>274</v>
      </c>
      <c r="E1" t="s">
        <v>6</v>
      </c>
      <c r="F1" t="s">
        <v>7</v>
      </c>
      <c r="G1" t="s">
        <v>278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6CFB4-DD0B-499B-A48A-4C9A7B4600A2}">
  <sheetPr codeName="Sheet11"/>
  <dimension ref="A1:F37"/>
  <sheetViews>
    <sheetView workbookViewId="0">
      <selection activeCell="I29" sqref="I29"/>
    </sheetView>
  </sheetViews>
  <sheetFormatPr defaultRowHeight="14.4" x14ac:dyDescent="0.3"/>
  <cols>
    <col min="1" max="1" width="13.5546875" bestFit="1" customWidth="1"/>
    <col min="2" max="2" width="11.44140625" bestFit="1" customWidth="1"/>
    <col min="3" max="3" width="7.88671875" bestFit="1" customWidth="1"/>
    <col min="4" max="4" width="11" bestFit="1" customWidth="1"/>
    <col min="5" max="5" width="11.88671875" bestFit="1" customWidth="1"/>
    <col min="6" max="6" width="26.6640625" bestFit="1" customWidth="1"/>
    <col min="7" max="7" width="16" bestFit="1" customWidth="1"/>
    <col min="8" max="8" width="18.5546875" bestFit="1" customWidth="1"/>
    <col min="9" max="9" width="22.44140625" bestFit="1" customWidth="1"/>
    <col min="10" max="10" width="37.44140625" bestFit="1" customWidth="1"/>
    <col min="11" max="11" width="10.44140625" bestFit="1" customWidth="1"/>
  </cols>
  <sheetData>
    <row r="1" spans="1:6" x14ac:dyDescent="0.3">
      <c r="A1" t="s">
        <v>128</v>
      </c>
      <c r="B1" t="s">
        <v>133</v>
      </c>
      <c r="C1" t="s">
        <v>94</v>
      </c>
      <c r="D1" t="s">
        <v>6</v>
      </c>
      <c r="E1" t="s">
        <v>275</v>
      </c>
      <c r="F1" t="s">
        <v>274</v>
      </c>
    </row>
    <row r="2" spans="1:6" x14ac:dyDescent="0.3">
      <c r="A2" t="s">
        <v>674</v>
      </c>
      <c r="B2" t="s">
        <v>617</v>
      </c>
      <c r="D2" t="s">
        <v>534</v>
      </c>
      <c r="F2" t="s">
        <v>255</v>
      </c>
    </row>
    <row r="3" spans="1:6" x14ac:dyDescent="0.3">
      <c r="A3" t="s">
        <v>613</v>
      </c>
      <c r="B3" t="s">
        <v>549</v>
      </c>
      <c r="D3" t="s">
        <v>534</v>
      </c>
      <c r="F3" t="s">
        <v>255</v>
      </c>
    </row>
    <row r="4" spans="1:6" x14ac:dyDescent="0.3">
      <c r="A4" t="s">
        <v>760</v>
      </c>
      <c r="B4" t="s">
        <v>617</v>
      </c>
      <c r="D4" t="s">
        <v>534</v>
      </c>
      <c r="F4" t="s">
        <v>255</v>
      </c>
    </row>
    <row r="5" spans="1:6" x14ac:dyDescent="0.3">
      <c r="A5" t="s">
        <v>687</v>
      </c>
      <c r="B5" t="s">
        <v>549</v>
      </c>
      <c r="D5" t="s">
        <v>534</v>
      </c>
      <c r="F5" t="s">
        <v>255</v>
      </c>
    </row>
    <row r="6" spans="1:6" x14ac:dyDescent="0.3">
      <c r="A6" t="s">
        <v>688</v>
      </c>
      <c r="B6" t="s">
        <v>617</v>
      </c>
      <c r="D6" t="s">
        <v>534</v>
      </c>
      <c r="F6" t="s">
        <v>255</v>
      </c>
    </row>
    <row r="7" spans="1:6" x14ac:dyDescent="0.3">
      <c r="A7" t="s">
        <v>619</v>
      </c>
      <c r="B7" t="s">
        <v>617</v>
      </c>
      <c r="D7" t="s">
        <v>534</v>
      </c>
      <c r="F7" t="s">
        <v>255</v>
      </c>
    </row>
    <row r="8" spans="1:6" x14ac:dyDescent="0.3">
      <c r="A8" t="s">
        <v>732</v>
      </c>
      <c r="B8" t="s">
        <v>549</v>
      </c>
      <c r="D8" t="s">
        <v>534</v>
      </c>
      <c r="F8" t="s">
        <v>255</v>
      </c>
    </row>
    <row r="9" spans="1:6" x14ac:dyDescent="0.3">
      <c r="A9" t="s">
        <v>577</v>
      </c>
      <c r="B9" t="s">
        <v>578</v>
      </c>
      <c r="D9" t="s">
        <v>534</v>
      </c>
      <c r="F9" t="s">
        <v>255</v>
      </c>
    </row>
    <row r="10" spans="1:6" x14ac:dyDescent="0.3">
      <c r="A10" t="s">
        <v>548</v>
      </c>
      <c r="B10" t="s">
        <v>549</v>
      </c>
      <c r="D10" t="s">
        <v>534</v>
      </c>
      <c r="F10" t="s">
        <v>255</v>
      </c>
    </row>
    <row r="11" spans="1:6" x14ac:dyDescent="0.3">
      <c r="A11" t="s">
        <v>733</v>
      </c>
      <c r="B11" t="s">
        <v>549</v>
      </c>
      <c r="D11" t="s">
        <v>534</v>
      </c>
      <c r="F11" t="s">
        <v>255</v>
      </c>
    </row>
    <row r="12" spans="1:6" x14ac:dyDescent="0.3">
      <c r="A12" t="s">
        <v>745</v>
      </c>
      <c r="B12" t="s">
        <v>549</v>
      </c>
      <c r="D12" t="s">
        <v>534</v>
      </c>
      <c r="F12" t="s">
        <v>255</v>
      </c>
    </row>
    <row r="13" spans="1:6" x14ac:dyDescent="0.3">
      <c r="A13" t="s">
        <v>579</v>
      </c>
      <c r="B13" t="s">
        <v>580</v>
      </c>
      <c r="D13" t="s">
        <v>534</v>
      </c>
      <c r="F13" t="s">
        <v>255</v>
      </c>
    </row>
    <row r="14" spans="1:6" x14ac:dyDescent="0.3">
      <c r="A14" t="s">
        <v>743</v>
      </c>
      <c r="B14" t="s">
        <v>580</v>
      </c>
      <c r="D14" t="s">
        <v>534</v>
      </c>
      <c r="F14" t="s">
        <v>255</v>
      </c>
    </row>
    <row r="15" spans="1:6" x14ac:dyDescent="0.3">
      <c r="A15" t="s">
        <v>616</v>
      </c>
      <c r="B15" t="s">
        <v>617</v>
      </c>
      <c r="D15" t="s">
        <v>534</v>
      </c>
      <c r="F15" t="s">
        <v>255</v>
      </c>
    </row>
    <row r="16" spans="1:6" x14ac:dyDescent="0.3">
      <c r="A16" t="s">
        <v>738</v>
      </c>
      <c r="B16" t="s">
        <v>617</v>
      </c>
      <c r="D16" t="s">
        <v>534</v>
      </c>
      <c r="F16" t="s">
        <v>255</v>
      </c>
    </row>
    <row r="17" spans="1:6" x14ac:dyDescent="0.3">
      <c r="A17" t="s">
        <v>749</v>
      </c>
      <c r="B17" t="s">
        <v>549</v>
      </c>
      <c r="D17" t="s">
        <v>534</v>
      </c>
      <c r="F17" t="s">
        <v>255</v>
      </c>
    </row>
    <row r="18" spans="1:6" x14ac:dyDescent="0.3">
      <c r="A18" t="s">
        <v>737</v>
      </c>
      <c r="B18" t="s">
        <v>580</v>
      </c>
      <c r="D18" t="s">
        <v>534</v>
      </c>
      <c r="F18" t="s">
        <v>255</v>
      </c>
    </row>
    <row r="19" spans="1:6" x14ac:dyDescent="0.3">
      <c r="A19" t="s">
        <v>612</v>
      </c>
      <c r="B19" t="s">
        <v>578</v>
      </c>
      <c r="D19" t="s">
        <v>534</v>
      </c>
      <c r="F19" t="s">
        <v>255</v>
      </c>
    </row>
    <row r="20" spans="1:6" x14ac:dyDescent="0.3">
      <c r="A20" t="s">
        <v>611</v>
      </c>
      <c r="B20" t="s">
        <v>578</v>
      </c>
      <c r="D20" t="s">
        <v>534</v>
      </c>
      <c r="F20" t="s">
        <v>255</v>
      </c>
    </row>
    <row r="21" spans="1:6" x14ac:dyDescent="0.3">
      <c r="A21" t="s">
        <v>614</v>
      </c>
      <c r="B21" t="s">
        <v>549</v>
      </c>
      <c r="D21" t="s">
        <v>534</v>
      </c>
      <c r="F21" t="s">
        <v>255</v>
      </c>
    </row>
    <row r="22" spans="1:6" x14ac:dyDescent="0.3">
      <c r="A22" t="s">
        <v>615</v>
      </c>
      <c r="B22" t="s">
        <v>549</v>
      </c>
      <c r="D22" t="s">
        <v>534</v>
      </c>
      <c r="F22" t="s">
        <v>255</v>
      </c>
    </row>
    <row r="23" spans="1:6" x14ac:dyDescent="0.3">
      <c r="A23" t="s">
        <v>618</v>
      </c>
      <c r="B23" t="s">
        <v>580</v>
      </c>
      <c r="D23" t="s">
        <v>534</v>
      </c>
      <c r="F23" t="s">
        <v>255</v>
      </c>
    </row>
    <row r="24" spans="1:6" x14ac:dyDescent="0.3">
      <c r="A24" t="s">
        <v>739</v>
      </c>
      <c r="B24" t="s">
        <v>617</v>
      </c>
      <c r="D24" t="s">
        <v>534</v>
      </c>
      <c r="F24" t="s">
        <v>255</v>
      </c>
    </row>
    <row r="25" spans="1:6" x14ac:dyDescent="0.3">
      <c r="A25" t="s">
        <v>742</v>
      </c>
      <c r="B25" t="s">
        <v>578</v>
      </c>
      <c r="D25" t="s">
        <v>534</v>
      </c>
      <c r="F25" t="s">
        <v>255</v>
      </c>
    </row>
    <row r="26" spans="1:6" x14ac:dyDescent="0.3">
      <c r="A26" t="s">
        <v>735</v>
      </c>
      <c r="B26" t="s">
        <v>549</v>
      </c>
      <c r="D26" t="s">
        <v>534</v>
      </c>
      <c r="F26" t="s">
        <v>255</v>
      </c>
    </row>
    <row r="27" spans="1:6" x14ac:dyDescent="0.3">
      <c r="A27" t="s">
        <v>746</v>
      </c>
      <c r="B27" t="s">
        <v>617</v>
      </c>
      <c r="D27" t="s">
        <v>534</v>
      </c>
      <c r="F27" t="s">
        <v>255</v>
      </c>
    </row>
    <row r="28" spans="1:6" x14ac:dyDescent="0.3">
      <c r="A28" t="s">
        <v>752</v>
      </c>
      <c r="B28" t="s">
        <v>617</v>
      </c>
      <c r="D28" t="s">
        <v>534</v>
      </c>
      <c r="F28" t="s">
        <v>255</v>
      </c>
    </row>
    <row r="29" spans="1:6" x14ac:dyDescent="0.3">
      <c r="A29" t="s">
        <v>766</v>
      </c>
      <c r="B29" t="s">
        <v>549</v>
      </c>
      <c r="D29" t="s">
        <v>534</v>
      </c>
      <c r="F29" t="s">
        <v>255</v>
      </c>
    </row>
    <row r="30" spans="1:6" x14ac:dyDescent="0.3">
      <c r="A30" t="s">
        <v>782</v>
      </c>
      <c r="B30" t="s">
        <v>617</v>
      </c>
      <c r="D30" t="s">
        <v>534</v>
      </c>
      <c r="F30" t="s">
        <v>255</v>
      </c>
    </row>
    <row r="31" spans="1:6" x14ac:dyDescent="0.3">
      <c r="A31" t="s">
        <v>783</v>
      </c>
      <c r="B31" t="s">
        <v>617</v>
      </c>
      <c r="D31" t="s">
        <v>534</v>
      </c>
      <c r="F31" t="s">
        <v>255</v>
      </c>
    </row>
    <row r="32" spans="1:6" x14ac:dyDescent="0.3">
      <c r="A32" t="s">
        <v>784</v>
      </c>
      <c r="B32" t="s">
        <v>549</v>
      </c>
      <c r="D32" t="s">
        <v>534</v>
      </c>
      <c r="F32" t="s">
        <v>255</v>
      </c>
    </row>
    <row r="33" spans="1:6" x14ac:dyDescent="0.3">
      <c r="A33" t="s">
        <v>785</v>
      </c>
      <c r="B33" t="s">
        <v>549</v>
      </c>
      <c r="D33" t="s">
        <v>534</v>
      </c>
      <c r="F33" t="s">
        <v>255</v>
      </c>
    </row>
    <row r="34" spans="1:6" x14ac:dyDescent="0.3">
      <c r="A34" t="s">
        <v>755</v>
      </c>
      <c r="B34" t="s">
        <v>642</v>
      </c>
      <c r="D34" t="s">
        <v>180</v>
      </c>
      <c r="E34" t="s">
        <v>643</v>
      </c>
      <c r="F34" t="s">
        <v>539</v>
      </c>
    </row>
    <row r="35" spans="1:6" x14ac:dyDescent="0.3">
      <c r="A35" t="s">
        <v>550</v>
      </c>
      <c r="B35" t="s">
        <v>551</v>
      </c>
      <c r="D35" t="s">
        <v>180</v>
      </c>
      <c r="E35" t="s">
        <v>682</v>
      </c>
      <c r="F35" t="s">
        <v>256</v>
      </c>
    </row>
    <row r="36" spans="1:6" x14ac:dyDescent="0.3">
      <c r="A36" t="s">
        <v>736</v>
      </c>
      <c r="B36" t="s">
        <v>673</v>
      </c>
      <c r="D36" t="s">
        <v>534</v>
      </c>
      <c r="E36" t="s">
        <v>683</v>
      </c>
      <c r="F36" t="s">
        <v>478</v>
      </c>
    </row>
    <row r="37" spans="1:6" x14ac:dyDescent="0.3">
      <c r="A37" t="s">
        <v>756</v>
      </c>
      <c r="B37" t="s">
        <v>635</v>
      </c>
      <c r="D37" t="s">
        <v>534</v>
      </c>
      <c r="E37" t="s">
        <v>636</v>
      </c>
      <c r="F37" t="s">
        <v>257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88A04-AD1E-47E7-B3BF-C0E865F0051A}">
  <sheetPr codeName="Sheet12"/>
  <dimension ref="A1:K6"/>
  <sheetViews>
    <sheetView workbookViewId="0">
      <selection activeCell="D17" sqref="D17"/>
    </sheetView>
  </sheetViews>
  <sheetFormatPr defaultRowHeight="14.4" x14ac:dyDescent="0.3"/>
  <cols>
    <col min="1" max="1" width="13.109375" bestFit="1" customWidth="1"/>
    <col min="2" max="2" width="20" bestFit="1" customWidth="1"/>
    <col min="3" max="3" width="11.44140625" bestFit="1" customWidth="1"/>
    <col min="4" max="4" width="18.33203125" bestFit="1" customWidth="1"/>
    <col min="5" max="5" width="11" bestFit="1" customWidth="1"/>
    <col min="6" max="6" width="23.21875" bestFit="1" customWidth="1"/>
    <col min="7" max="7" width="10.44140625" bestFit="1" customWidth="1"/>
    <col min="8" max="8" width="6.21875" bestFit="1" customWidth="1"/>
    <col min="9" max="9" width="61.77734375" bestFit="1" customWidth="1"/>
    <col min="10" max="10" width="7.33203125" bestFit="1" customWidth="1"/>
    <col min="11" max="11" width="15.5546875" bestFit="1" customWidth="1"/>
    <col min="12" max="12" width="7.5546875" bestFit="1" customWidth="1"/>
  </cols>
  <sheetData>
    <row r="1" spans="1:11" x14ac:dyDescent="0.3">
      <c r="A1" t="s">
        <v>128</v>
      </c>
      <c r="B1" t="s">
        <v>276</v>
      </c>
      <c r="C1" t="s">
        <v>133</v>
      </c>
      <c r="D1" t="s">
        <v>283</v>
      </c>
      <c r="E1" t="s">
        <v>275</v>
      </c>
      <c r="F1" t="s">
        <v>274</v>
      </c>
      <c r="G1" t="s">
        <v>6</v>
      </c>
      <c r="H1" t="s">
        <v>132</v>
      </c>
      <c r="I1" t="s">
        <v>282</v>
      </c>
      <c r="J1" t="s">
        <v>86</v>
      </c>
      <c r="K1" t="s">
        <v>343</v>
      </c>
    </row>
    <row r="2" spans="1:11" x14ac:dyDescent="0.3">
      <c r="A2" t="s">
        <v>572</v>
      </c>
      <c r="B2" t="s">
        <v>572</v>
      </c>
      <c r="C2" t="s">
        <v>574</v>
      </c>
      <c r="D2" t="s">
        <v>574</v>
      </c>
      <c r="F2" t="s">
        <v>671</v>
      </c>
      <c r="G2" t="s">
        <v>262</v>
      </c>
      <c r="H2" t="s">
        <v>260</v>
      </c>
      <c r="I2" t="s">
        <v>573</v>
      </c>
      <c r="J2" t="s">
        <v>87</v>
      </c>
      <c r="K2" t="s">
        <v>87</v>
      </c>
    </row>
    <row r="3" spans="1:11" x14ac:dyDescent="0.3">
      <c r="A3" t="s">
        <v>813</v>
      </c>
      <c r="C3" t="s">
        <v>675</v>
      </c>
      <c r="E3" t="s">
        <v>684</v>
      </c>
      <c r="F3" t="s">
        <v>478</v>
      </c>
      <c r="G3" t="s">
        <v>759</v>
      </c>
      <c r="H3" t="s">
        <v>260</v>
      </c>
      <c r="I3" t="s">
        <v>87</v>
      </c>
      <c r="J3" t="s">
        <v>87</v>
      </c>
      <c r="K3" t="s">
        <v>87</v>
      </c>
    </row>
    <row r="4" spans="1:11" x14ac:dyDescent="0.3">
      <c r="A4" t="s">
        <v>795</v>
      </c>
      <c r="B4" t="s">
        <v>795</v>
      </c>
      <c r="C4" t="s">
        <v>675</v>
      </c>
      <c r="D4" t="s">
        <v>675</v>
      </c>
      <c r="E4" t="s">
        <v>684</v>
      </c>
      <c r="F4" t="s">
        <v>478</v>
      </c>
      <c r="G4" t="s">
        <v>811</v>
      </c>
      <c r="H4" t="s">
        <v>260</v>
      </c>
      <c r="I4" t="s">
        <v>686</v>
      </c>
      <c r="J4" t="s">
        <v>87</v>
      </c>
      <c r="K4" t="s">
        <v>87</v>
      </c>
    </row>
    <row r="5" spans="1:11" x14ac:dyDescent="0.3">
      <c r="A5" t="s">
        <v>794</v>
      </c>
      <c r="B5" t="s">
        <v>794</v>
      </c>
      <c r="C5" t="s">
        <v>675</v>
      </c>
      <c r="D5" t="s">
        <v>675</v>
      </c>
      <c r="E5" t="s">
        <v>684</v>
      </c>
      <c r="F5" t="s">
        <v>478</v>
      </c>
      <c r="G5" t="s">
        <v>811</v>
      </c>
      <c r="H5" t="s">
        <v>260</v>
      </c>
      <c r="I5" t="s">
        <v>686</v>
      </c>
      <c r="J5" t="s">
        <v>87</v>
      </c>
      <c r="K5" t="s">
        <v>87</v>
      </c>
    </row>
    <row r="6" spans="1:11" x14ac:dyDescent="0.3">
      <c r="A6" t="s">
        <v>750</v>
      </c>
      <c r="B6" t="s">
        <v>750</v>
      </c>
      <c r="C6" t="s">
        <v>675</v>
      </c>
      <c r="D6" t="s">
        <v>675</v>
      </c>
      <c r="E6" t="s">
        <v>684</v>
      </c>
      <c r="F6" t="s">
        <v>478</v>
      </c>
      <c r="G6" t="s">
        <v>340</v>
      </c>
      <c r="H6" t="s">
        <v>260</v>
      </c>
      <c r="I6" t="s">
        <v>686</v>
      </c>
      <c r="J6" t="s">
        <v>87</v>
      </c>
      <c r="K6" t="s">
        <v>87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FE7A3-9CD2-4DA5-AD97-453422BC5B72}">
  <sheetPr codeName="Sheet13"/>
  <dimension ref="A1:K1"/>
  <sheetViews>
    <sheetView workbookViewId="0">
      <selection sqref="A1:J2"/>
    </sheetView>
  </sheetViews>
  <sheetFormatPr defaultRowHeight="14.4" x14ac:dyDescent="0.3"/>
  <cols>
    <col min="1" max="1" width="11.6640625" bestFit="1" customWidth="1"/>
    <col min="2" max="2" width="10.109375" bestFit="1" customWidth="1"/>
    <col min="3" max="3" width="8.21875" bestFit="1" customWidth="1"/>
    <col min="4" max="4" width="12.33203125" bestFit="1" customWidth="1"/>
    <col min="5" max="5" width="10.44140625" bestFit="1" customWidth="1"/>
    <col min="6" max="6" width="4.21875" bestFit="1" customWidth="1"/>
    <col min="7" max="7" width="12.21875" bestFit="1" customWidth="1"/>
    <col min="8" max="8" width="7.33203125" bestFit="1" customWidth="1"/>
    <col min="9" max="9" width="15.5546875" bestFit="1" customWidth="1"/>
    <col min="10" max="10" width="11.109375" bestFit="1" customWidth="1"/>
    <col min="11" max="11" width="19.44140625" bestFit="1" customWidth="1"/>
  </cols>
  <sheetData>
    <row r="1" spans="1:11" x14ac:dyDescent="0.3">
      <c r="A1" t="s">
        <v>128</v>
      </c>
      <c r="B1" t="s">
        <v>133</v>
      </c>
      <c r="C1" t="s">
        <v>275</v>
      </c>
      <c r="D1" t="s">
        <v>274</v>
      </c>
      <c r="E1" t="s">
        <v>6</v>
      </c>
      <c r="F1" t="s">
        <v>130</v>
      </c>
      <c r="G1" t="s">
        <v>279</v>
      </c>
      <c r="H1" t="s">
        <v>131</v>
      </c>
      <c r="I1" t="s">
        <v>280</v>
      </c>
      <c r="J1" t="s">
        <v>15</v>
      </c>
      <c r="K1" t="s">
        <v>281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470B0-9C72-4B6A-BCED-DD8DE0FDC792}">
  <sheetPr codeName="Sheet14"/>
  <dimension ref="A1:G1"/>
  <sheetViews>
    <sheetView workbookViewId="0">
      <selection sqref="A1:F2"/>
    </sheetView>
  </sheetViews>
  <sheetFormatPr defaultRowHeight="14.4" x14ac:dyDescent="0.3"/>
  <cols>
    <col min="1" max="1" width="11.6640625" bestFit="1" customWidth="1"/>
    <col min="2" max="2" width="10.109375" bestFit="1" customWidth="1"/>
    <col min="3" max="3" width="18.5546875" bestFit="1" customWidth="1"/>
    <col min="4" max="4" width="6.88671875" bestFit="1" customWidth="1"/>
    <col min="5" max="5" width="15.109375" bestFit="1" customWidth="1"/>
    <col min="6" max="6" width="8.21875" bestFit="1" customWidth="1"/>
    <col min="7" max="7" width="12.33203125" bestFit="1" customWidth="1"/>
  </cols>
  <sheetData>
    <row r="1" spans="1:7" x14ac:dyDescent="0.3">
      <c r="A1" t="s">
        <v>128</v>
      </c>
      <c r="B1" t="s">
        <v>133</v>
      </c>
      <c r="C1" t="s">
        <v>277</v>
      </c>
      <c r="D1" t="s">
        <v>63</v>
      </c>
      <c r="E1" t="s">
        <v>285</v>
      </c>
      <c r="F1" t="s">
        <v>275</v>
      </c>
      <c r="G1" t="s">
        <v>274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DBAA-6E8F-4F6B-B5B3-D10134FB35AD}">
  <sheetPr codeName="Sheet15"/>
  <dimension ref="A1:J55"/>
  <sheetViews>
    <sheetView workbookViewId="0">
      <selection activeCell="G15" sqref="G15"/>
    </sheetView>
  </sheetViews>
  <sheetFormatPr defaultRowHeight="14.4" x14ac:dyDescent="0.3"/>
  <cols>
    <col min="1" max="1" width="11.6640625" bestFit="1" customWidth="1"/>
    <col min="2" max="2" width="20" bestFit="1" customWidth="1"/>
    <col min="3" max="3" width="18.33203125" bestFit="1" customWidth="1"/>
    <col min="4" max="4" width="10.109375" bestFit="1" customWidth="1"/>
    <col min="5" max="5" width="14.109375" bestFit="1" customWidth="1"/>
    <col min="6" max="6" width="8.21875" bestFit="1" customWidth="1"/>
    <col min="7" max="7" width="33.5546875" bestFit="1" customWidth="1"/>
    <col min="8" max="8" width="18.5546875" bestFit="1" customWidth="1"/>
    <col min="9" max="9" width="15.109375" bestFit="1" customWidth="1"/>
    <col min="10" max="10" width="16.109375" bestFit="1" customWidth="1"/>
    <col min="11" max="11" width="15.5546875" bestFit="1" customWidth="1"/>
    <col min="12" max="12" width="16.5546875" customWidth="1"/>
    <col min="13" max="13" width="18.33203125" bestFit="1" customWidth="1"/>
    <col min="14" max="15" width="15.109375" bestFit="1" customWidth="1"/>
  </cols>
  <sheetData>
    <row r="1" spans="1:10" x14ac:dyDescent="0.3">
      <c r="A1" t="s">
        <v>128</v>
      </c>
      <c r="B1" t="s">
        <v>276</v>
      </c>
      <c r="C1" t="s">
        <v>283</v>
      </c>
      <c r="D1" t="s">
        <v>133</v>
      </c>
      <c r="E1" t="s">
        <v>278</v>
      </c>
      <c r="F1" t="s">
        <v>275</v>
      </c>
      <c r="G1" t="s">
        <v>274</v>
      </c>
      <c r="H1" t="s">
        <v>277</v>
      </c>
      <c r="I1" t="s">
        <v>285</v>
      </c>
      <c r="J1" t="s">
        <v>284</v>
      </c>
    </row>
    <row r="2" spans="1:10" x14ac:dyDescent="0.3">
      <c r="B2" t="s">
        <v>516</v>
      </c>
      <c r="C2" t="s">
        <v>546</v>
      </c>
      <c r="E2" t="s">
        <v>467</v>
      </c>
      <c r="G2" t="s">
        <v>341</v>
      </c>
      <c r="H2" t="s">
        <v>534</v>
      </c>
      <c r="I2" t="s">
        <v>74</v>
      </c>
    </row>
    <row r="3" spans="1:10" x14ac:dyDescent="0.3">
      <c r="B3" t="s">
        <v>515</v>
      </c>
      <c r="C3" t="s">
        <v>546</v>
      </c>
      <c r="E3" t="s">
        <v>467</v>
      </c>
      <c r="G3" t="s">
        <v>341</v>
      </c>
      <c r="H3" t="s">
        <v>534</v>
      </c>
      <c r="I3" t="s">
        <v>74</v>
      </c>
    </row>
    <row r="4" spans="1:10" x14ac:dyDescent="0.3">
      <c r="B4" t="s">
        <v>514</v>
      </c>
      <c r="C4" t="s">
        <v>546</v>
      </c>
      <c r="E4" t="s">
        <v>467</v>
      </c>
      <c r="G4" t="s">
        <v>341</v>
      </c>
      <c r="H4" t="s">
        <v>534</v>
      </c>
      <c r="I4" t="s">
        <v>74</v>
      </c>
    </row>
    <row r="5" spans="1:10" x14ac:dyDescent="0.3">
      <c r="B5" t="s">
        <v>519</v>
      </c>
      <c r="C5" t="s">
        <v>546</v>
      </c>
      <c r="E5" t="s">
        <v>467</v>
      </c>
      <c r="G5" t="s">
        <v>341</v>
      </c>
      <c r="H5" t="s">
        <v>534</v>
      </c>
      <c r="I5" t="s">
        <v>74</v>
      </c>
    </row>
    <row r="6" spans="1:10" x14ac:dyDescent="0.3">
      <c r="B6" t="s">
        <v>518</v>
      </c>
      <c r="C6" t="s">
        <v>546</v>
      </c>
      <c r="E6" t="s">
        <v>467</v>
      </c>
      <c r="G6" t="s">
        <v>341</v>
      </c>
      <c r="H6" t="s">
        <v>534</v>
      </c>
      <c r="I6" t="s">
        <v>74</v>
      </c>
    </row>
    <row r="7" spans="1:10" x14ac:dyDescent="0.3">
      <c r="B7" t="s">
        <v>517</v>
      </c>
      <c r="C7" t="s">
        <v>546</v>
      </c>
      <c r="E7" t="s">
        <v>467</v>
      </c>
      <c r="G7" t="s">
        <v>341</v>
      </c>
      <c r="H7" t="s">
        <v>534</v>
      </c>
      <c r="I7" t="s">
        <v>74</v>
      </c>
    </row>
    <row r="8" spans="1:10" x14ac:dyDescent="0.3">
      <c r="B8" t="s">
        <v>513</v>
      </c>
      <c r="C8" t="s">
        <v>546</v>
      </c>
      <c r="E8" t="s">
        <v>463</v>
      </c>
      <c r="G8" t="s">
        <v>341</v>
      </c>
      <c r="H8" t="s">
        <v>534</v>
      </c>
      <c r="I8" t="s">
        <v>74</v>
      </c>
    </row>
    <row r="9" spans="1:10" x14ac:dyDescent="0.3">
      <c r="B9" t="s">
        <v>508</v>
      </c>
      <c r="C9" t="s">
        <v>546</v>
      </c>
      <c r="E9" t="s">
        <v>467</v>
      </c>
      <c r="G9" t="s">
        <v>341</v>
      </c>
      <c r="H9" t="s">
        <v>534</v>
      </c>
      <c r="I9" t="s">
        <v>74</v>
      </c>
    </row>
    <row r="10" spans="1:10" x14ac:dyDescent="0.3">
      <c r="B10" t="s">
        <v>507</v>
      </c>
      <c r="C10" t="s">
        <v>546</v>
      </c>
      <c r="E10" t="s">
        <v>467</v>
      </c>
      <c r="G10" t="s">
        <v>341</v>
      </c>
      <c r="H10" t="s">
        <v>534</v>
      </c>
      <c r="I10" t="s">
        <v>74</v>
      </c>
    </row>
    <row r="11" spans="1:10" x14ac:dyDescent="0.3">
      <c r="B11" t="s">
        <v>506</v>
      </c>
      <c r="C11" t="s">
        <v>546</v>
      </c>
      <c r="E11" t="s">
        <v>467</v>
      </c>
      <c r="G11" t="s">
        <v>341</v>
      </c>
      <c r="H11" t="s">
        <v>534</v>
      </c>
      <c r="I11" t="s">
        <v>74</v>
      </c>
    </row>
    <row r="12" spans="1:10" x14ac:dyDescent="0.3">
      <c r="B12" t="s">
        <v>511</v>
      </c>
      <c r="C12" t="s">
        <v>546</v>
      </c>
      <c r="E12" t="s">
        <v>467</v>
      </c>
      <c r="G12" t="s">
        <v>341</v>
      </c>
      <c r="H12" t="s">
        <v>534</v>
      </c>
      <c r="I12" t="s">
        <v>74</v>
      </c>
    </row>
    <row r="13" spans="1:10" x14ac:dyDescent="0.3">
      <c r="B13" t="s">
        <v>510</v>
      </c>
      <c r="C13" t="s">
        <v>546</v>
      </c>
      <c r="E13" t="s">
        <v>467</v>
      </c>
      <c r="G13" t="s">
        <v>341</v>
      </c>
      <c r="H13" t="s">
        <v>534</v>
      </c>
      <c r="I13" t="s">
        <v>74</v>
      </c>
    </row>
    <row r="14" spans="1:10" x14ac:dyDescent="0.3">
      <c r="B14" t="s">
        <v>509</v>
      </c>
      <c r="C14" t="s">
        <v>546</v>
      </c>
      <c r="E14" t="s">
        <v>463</v>
      </c>
      <c r="G14" t="s">
        <v>341</v>
      </c>
      <c r="H14" t="s">
        <v>534</v>
      </c>
      <c r="I14" t="s">
        <v>74</v>
      </c>
    </row>
    <row r="15" spans="1:10" x14ac:dyDescent="0.3">
      <c r="B15" t="s">
        <v>529</v>
      </c>
      <c r="C15" t="s">
        <v>546</v>
      </c>
      <c r="E15" t="s">
        <v>182</v>
      </c>
      <c r="G15" t="s">
        <v>341</v>
      </c>
      <c r="H15" t="s">
        <v>534</v>
      </c>
      <c r="I15" t="s">
        <v>74</v>
      </c>
    </row>
    <row r="16" spans="1:10" x14ac:dyDescent="0.3">
      <c r="B16" t="s">
        <v>528</v>
      </c>
      <c r="C16" t="s">
        <v>546</v>
      </c>
      <c r="E16" t="s">
        <v>467</v>
      </c>
      <c r="G16" t="s">
        <v>341</v>
      </c>
      <c r="H16" t="s">
        <v>534</v>
      </c>
      <c r="I16" t="s">
        <v>74</v>
      </c>
    </row>
    <row r="17" spans="2:9" x14ac:dyDescent="0.3">
      <c r="B17" t="s">
        <v>527</v>
      </c>
      <c r="C17" t="s">
        <v>546</v>
      </c>
      <c r="E17" t="s">
        <v>467</v>
      </c>
      <c r="G17" t="s">
        <v>341</v>
      </c>
      <c r="H17" t="s">
        <v>534</v>
      </c>
      <c r="I17" t="s">
        <v>74</v>
      </c>
    </row>
    <row r="18" spans="2:9" x14ac:dyDescent="0.3">
      <c r="B18" t="s">
        <v>532</v>
      </c>
      <c r="C18" t="s">
        <v>546</v>
      </c>
      <c r="E18" t="s">
        <v>345</v>
      </c>
      <c r="G18" t="s">
        <v>341</v>
      </c>
      <c r="H18" t="s">
        <v>534</v>
      </c>
      <c r="I18" t="s">
        <v>74</v>
      </c>
    </row>
    <row r="19" spans="2:9" x14ac:dyDescent="0.3">
      <c r="B19" t="s">
        <v>531</v>
      </c>
      <c r="C19" t="s">
        <v>546</v>
      </c>
      <c r="E19" t="s">
        <v>467</v>
      </c>
      <c r="G19" t="s">
        <v>341</v>
      </c>
      <c r="H19" t="s">
        <v>534</v>
      </c>
      <c r="I19" t="s">
        <v>74</v>
      </c>
    </row>
    <row r="20" spans="2:9" x14ac:dyDescent="0.3">
      <c r="B20" t="s">
        <v>530</v>
      </c>
      <c r="C20" t="s">
        <v>546</v>
      </c>
      <c r="E20" t="s">
        <v>467</v>
      </c>
      <c r="G20" t="s">
        <v>341</v>
      </c>
      <c r="H20" t="s">
        <v>534</v>
      </c>
      <c r="I20" t="s">
        <v>74</v>
      </c>
    </row>
    <row r="21" spans="2:9" x14ac:dyDescent="0.3">
      <c r="B21" t="s">
        <v>526</v>
      </c>
      <c r="C21" t="s">
        <v>546</v>
      </c>
      <c r="E21" t="s">
        <v>467</v>
      </c>
      <c r="G21" t="s">
        <v>341</v>
      </c>
      <c r="H21" t="s">
        <v>534</v>
      </c>
      <c r="I21" t="s">
        <v>74</v>
      </c>
    </row>
    <row r="22" spans="2:9" x14ac:dyDescent="0.3">
      <c r="B22" t="s">
        <v>522</v>
      </c>
      <c r="C22" t="s">
        <v>546</v>
      </c>
      <c r="E22" t="s">
        <v>467</v>
      </c>
      <c r="G22" t="s">
        <v>341</v>
      </c>
      <c r="H22" t="s">
        <v>534</v>
      </c>
      <c r="I22" t="s">
        <v>74</v>
      </c>
    </row>
    <row r="23" spans="2:9" x14ac:dyDescent="0.3">
      <c r="B23" t="s">
        <v>521</v>
      </c>
      <c r="C23" t="s">
        <v>546</v>
      </c>
      <c r="E23" t="s">
        <v>467</v>
      </c>
      <c r="G23" t="s">
        <v>341</v>
      </c>
      <c r="H23" t="s">
        <v>534</v>
      </c>
      <c r="I23" t="s">
        <v>74</v>
      </c>
    </row>
    <row r="24" spans="2:9" x14ac:dyDescent="0.3">
      <c r="B24" t="s">
        <v>520</v>
      </c>
      <c r="C24" t="s">
        <v>546</v>
      </c>
      <c r="E24" t="s">
        <v>467</v>
      </c>
      <c r="G24" t="s">
        <v>341</v>
      </c>
      <c r="H24" t="s">
        <v>534</v>
      </c>
      <c r="I24" t="s">
        <v>74</v>
      </c>
    </row>
    <row r="25" spans="2:9" x14ac:dyDescent="0.3">
      <c r="B25" t="s">
        <v>525</v>
      </c>
      <c r="C25" t="s">
        <v>546</v>
      </c>
      <c r="E25" t="s">
        <v>467</v>
      </c>
      <c r="G25" t="s">
        <v>341</v>
      </c>
      <c r="H25" t="s">
        <v>534</v>
      </c>
      <c r="I25" t="s">
        <v>74</v>
      </c>
    </row>
    <row r="26" spans="2:9" x14ac:dyDescent="0.3">
      <c r="B26" t="s">
        <v>524</v>
      </c>
      <c r="C26" t="s">
        <v>546</v>
      </c>
      <c r="E26" t="s">
        <v>467</v>
      </c>
      <c r="G26" t="s">
        <v>341</v>
      </c>
      <c r="H26" t="s">
        <v>534</v>
      </c>
      <c r="I26" t="s">
        <v>74</v>
      </c>
    </row>
    <row r="27" spans="2:9" x14ac:dyDescent="0.3">
      <c r="B27" t="s">
        <v>523</v>
      </c>
      <c r="C27" t="s">
        <v>546</v>
      </c>
      <c r="E27" t="s">
        <v>467</v>
      </c>
      <c r="G27" t="s">
        <v>341</v>
      </c>
      <c r="H27" t="s">
        <v>534</v>
      </c>
      <c r="I27" t="s">
        <v>74</v>
      </c>
    </row>
    <row r="28" spans="2:9" x14ac:dyDescent="0.3">
      <c r="B28" t="s">
        <v>505</v>
      </c>
      <c r="C28" t="s">
        <v>546</v>
      </c>
      <c r="E28" t="s">
        <v>467</v>
      </c>
      <c r="G28" t="s">
        <v>341</v>
      </c>
      <c r="H28" t="s">
        <v>534</v>
      </c>
      <c r="I28" t="s">
        <v>74</v>
      </c>
    </row>
    <row r="29" spans="2:9" x14ac:dyDescent="0.3">
      <c r="B29" t="s">
        <v>488</v>
      </c>
      <c r="C29" t="s">
        <v>546</v>
      </c>
      <c r="E29" t="s">
        <v>467</v>
      </c>
      <c r="G29" t="s">
        <v>341</v>
      </c>
      <c r="H29" t="s">
        <v>534</v>
      </c>
      <c r="I29" t="s">
        <v>74</v>
      </c>
    </row>
    <row r="30" spans="2:9" x14ac:dyDescent="0.3">
      <c r="B30" t="s">
        <v>487</v>
      </c>
      <c r="C30" t="s">
        <v>546</v>
      </c>
      <c r="E30" t="s">
        <v>467</v>
      </c>
      <c r="G30" t="s">
        <v>341</v>
      </c>
      <c r="H30" t="s">
        <v>534</v>
      </c>
      <c r="I30" t="s">
        <v>74</v>
      </c>
    </row>
    <row r="31" spans="2:9" x14ac:dyDescent="0.3">
      <c r="B31" t="s">
        <v>486</v>
      </c>
      <c r="C31" t="s">
        <v>546</v>
      </c>
      <c r="E31" t="s">
        <v>345</v>
      </c>
      <c r="G31" t="s">
        <v>341</v>
      </c>
      <c r="H31" t="s">
        <v>534</v>
      </c>
      <c r="I31" t="s">
        <v>74</v>
      </c>
    </row>
    <row r="32" spans="2:9" x14ac:dyDescent="0.3">
      <c r="B32" t="s">
        <v>491</v>
      </c>
      <c r="C32" t="s">
        <v>546</v>
      </c>
      <c r="E32" t="s">
        <v>467</v>
      </c>
      <c r="G32" t="s">
        <v>341</v>
      </c>
      <c r="H32" t="s">
        <v>534</v>
      </c>
      <c r="I32" t="s">
        <v>74</v>
      </c>
    </row>
    <row r="33" spans="2:9" x14ac:dyDescent="0.3">
      <c r="B33" t="s">
        <v>490</v>
      </c>
      <c r="C33" t="s">
        <v>546</v>
      </c>
      <c r="E33" t="s">
        <v>467</v>
      </c>
      <c r="G33" t="s">
        <v>341</v>
      </c>
      <c r="H33" t="s">
        <v>534</v>
      </c>
      <c r="I33" t="s">
        <v>74</v>
      </c>
    </row>
    <row r="34" spans="2:9" x14ac:dyDescent="0.3">
      <c r="B34" t="s">
        <v>489</v>
      </c>
      <c r="C34" t="s">
        <v>546</v>
      </c>
      <c r="E34" t="s">
        <v>467</v>
      </c>
      <c r="G34" t="s">
        <v>341</v>
      </c>
      <c r="H34" t="s">
        <v>534</v>
      </c>
      <c r="I34" t="s">
        <v>74</v>
      </c>
    </row>
    <row r="35" spans="2:9" x14ac:dyDescent="0.3">
      <c r="B35" t="s">
        <v>485</v>
      </c>
      <c r="C35" t="s">
        <v>546</v>
      </c>
      <c r="E35" t="s">
        <v>467</v>
      </c>
      <c r="G35" t="s">
        <v>341</v>
      </c>
      <c r="H35" t="s">
        <v>534</v>
      </c>
      <c r="I35" t="s">
        <v>74</v>
      </c>
    </row>
    <row r="36" spans="2:9" x14ac:dyDescent="0.3">
      <c r="B36" t="s">
        <v>481</v>
      </c>
      <c r="C36" t="s">
        <v>546</v>
      </c>
      <c r="E36" t="s">
        <v>345</v>
      </c>
      <c r="G36" t="s">
        <v>341</v>
      </c>
      <c r="H36" t="s">
        <v>534</v>
      </c>
      <c r="I36" t="s">
        <v>74</v>
      </c>
    </row>
    <row r="37" spans="2:9" x14ac:dyDescent="0.3">
      <c r="B37" t="s">
        <v>480</v>
      </c>
      <c r="C37" t="s">
        <v>546</v>
      </c>
      <c r="E37" t="s">
        <v>467</v>
      </c>
      <c r="G37" t="s">
        <v>341</v>
      </c>
      <c r="H37" t="s">
        <v>534</v>
      </c>
      <c r="I37" t="s">
        <v>74</v>
      </c>
    </row>
    <row r="38" spans="2:9" x14ac:dyDescent="0.3">
      <c r="B38" t="s">
        <v>479</v>
      </c>
      <c r="C38" t="s">
        <v>546</v>
      </c>
      <c r="E38" t="s">
        <v>467</v>
      </c>
      <c r="G38" t="s">
        <v>341</v>
      </c>
      <c r="H38" t="s">
        <v>534</v>
      </c>
      <c r="I38" t="s">
        <v>74</v>
      </c>
    </row>
    <row r="39" spans="2:9" x14ac:dyDescent="0.3">
      <c r="B39" t="s">
        <v>484</v>
      </c>
      <c r="C39" t="s">
        <v>546</v>
      </c>
      <c r="E39" t="s">
        <v>467</v>
      </c>
      <c r="G39" t="s">
        <v>341</v>
      </c>
      <c r="H39" t="s">
        <v>534</v>
      </c>
      <c r="I39" t="s">
        <v>74</v>
      </c>
    </row>
    <row r="40" spans="2:9" x14ac:dyDescent="0.3">
      <c r="B40" t="s">
        <v>483</v>
      </c>
      <c r="C40" t="s">
        <v>546</v>
      </c>
      <c r="E40" t="s">
        <v>467</v>
      </c>
      <c r="G40" t="s">
        <v>341</v>
      </c>
      <c r="H40" t="s">
        <v>534</v>
      </c>
      <c r="I40" t="s">
        <v>74</v>
      </c>
    </row>
    <row r="41" spans="2:9" x14ac:dyDescent="0.3">
      <c r="B41" t="s">
        <v>482</v>
      </c>
      <c r="C41" t="s">
        <v>546</v>
      </c>
      <c r="E41" t="s">
        <v>467</v>
      </c>
      <c r="G41" t="s">
        <v>341</v>
      </c>
      <c r="H41" t="s">
        <v>534</v>
      </c>
      <c r="I41" t="s">
        <v>74</v>
      </c>
    </row>
    <row r="42" spans="2:9" x14ac:dyDescent="0.3">
      <c r="B42" t="s">
        <v>501</v>
      </c>
      <c r="C42" t="s">
        <v>546</v>
      </c>
      <c r="E42" t="s">
        <v>467</v>
      </c>
      <c r="G42" t="s">
        <v>341</v>
      </c>
      <c r="H42" t="s">
        <v>534</v>
      </c>
      <c r="I42" t="s">
        <v>74</v>
      </c>
    </row>
    <row r="43" spans="2:9" x14ac:dyDescent="0.3">
      <c r="B43" t="s">
        <v>500</v>
      </c>
      <c r="C43" t="s">
        <v>546</v>
      </c>
      <c r="E43" t="s">
        <v>467</v>
      </c>
      <c r="G43" t="s">
        <v>341</v>
      </c>
      <c r="H43" t="s">
        <v>534</v>
      </c>
      <c r="I43" t="s">
        <v>74</v>
      </c>
    </row>
    <row r="44" spans="2:9" x14ac:dyDescent="0.3">
      <c r="B44" t="s">
        <v>499</v>
      </c>
      <c r="C44" t="s">
        <v>546</v>
      </c>
      <c r="E44" t="s">
        <v>467</v>
      </c>
      <c r="G44" t="s">
        <v>341</v>
      </c>
      <c r="H44" t="s">
        <v>534</v>
      </c>
      <c r="I44" t="s">
        <v>74</v>
      </c>
    </row>
    <row r="45" spans="2:9" x14ac:dyDescent="0.3">
      <c r="B45" t="s">
        <v>504</v>
      </c>
      <c r="C45" t="s">
        <v>546</v>
      </c>
      <c r="E45" t="s">
        <v>467</v>
      </c>
      <c r="G45" t="s">
        <v>341</v>
      </c>
      <c r="H45" t="s">
        <v>534</v>
      </c>
      <c r="I45" t="s">
        <v>74</v>
      </c>
    </row>
    <row r="46" spans="2:9" x14ac:dyDescent="0.3">
      <c r="B46" t="s">
        <v>503</v>
      </c>
      <c r="C46" t="s">
        <v>546</v>
      </c>
      <c r="E46" t="s">
        <v>467</v>
      </c>
      <c r="G46" t="s">
        <v>341</v>
      </c>
      <c r="H46" t="s">
        <v>534</v>
      </c>
      <c r="I46" t="s">
        <v>74</v>
      </c>
    </row>
    <row r="47" spans="2:9" x14ac:dyDescent="0.3">
      <c r="B47" t="s">
        <v>502</v>
      </c>
      <c r="C47" t="s">
        <v>546</v>
      </c>
      <c r="E47" t="s">
        <v>467</v>
      </c>
      <c r="G47" t="s">
        <v>341</v>
      </c>
      <c r="H47" t="s">
        <v>534</v>
      </c>
      <c r="I47" t="s">
        <v>74</v>
      </c>
    </row>
    <row r="48" spans="2:9" x14ac:dyDescent="0.3">
      <c r="B48" t="s">
        <v>498</v>
      </c>
      <c r="C48" t="s">
        <v>546</v>
      </c>
      <c r="E48" t="s">
        <v>467</v>
      </c>
      <c r="G48" t="s">
        <v>341</v>
      </c>
      <c r="H48" t="s">
        <v>534</v>
      </c>
      <c r="I48" t="s">
        <v>74</v>
      </c>
    </row>
    <row r="49" spans="2:9" x14ac:dyDescent="0.3">
      <c r="B49" t="s">
        <v>494</v>
      </c>
      <c r="C49" t="s">
        <v>546</v>
      </c>
      <c r="E49" t="s">
        <v>467</v>
      </c>
      <c r="G49" t="s">
        <v>341</v>
      </c>
      <c r="H49" t="s">
        <v>534</v>
      </c>
      <c r="I49" t="s">
        <v>74</v>
      </c>
    </row>
    <row r="50" spans="2:9" x14ac:dyDescent="0.3">
      <c r="B50" t="s">
        <v>493</v>
      </c>
      <c r="C50" t="s">
        <v>546</v>
      </c>
      <c r="E50" t="s">
        <v>467</v>
      </c>
      <c r="G50" t="s">
        <v>341</v>
      </c>
      <c r="H50" t="s">
        <v>534</v>
      </c>
      <c r="I50" t="s">
        <v>74</v>
      </c>
    </row>
    <row r="51" spans="2:9" x14ac:dyDescent="0.3">
      <c r="B51" t="s">
        <v>492</v>
      </c>
      <c r="C51" t="s">
        <v>546</v>
      </c>
      <c r="E51" t="s">
        <v>467</v>
      </c>
      <c r="G51" t="s">
        <v>341</v>
      </c>
      <c r="H51" t="s">
        <v>534</v>
      </c>
      <c r="I51" t="s">
        <v>74</v>
      </c>
    </row>
    <row r="52" spans="2:9" x14ac:dyDescent="0.3">
      <c r="B52" t="s">
        <v>497</v>
      </c>
      <c r="C52" t="s">
        <v>546</v>
      </c>
      <c r="E52" t="s">
        <v>467</v>
      </c>
      <c r="G52" t="s">
        <v>341</v>
      </c>
      <c r="H52" t="s">
        <v>534</v>
      </c>
      <c r="I52" t="s">
        <v>74</v>
      </c>
    </row>
    <row r="53" spans="2:9" x14ac:dyDescent="0.3">
      <c r="B53" t="s">
        <v>496</v>
      </c>
      <c r="C53" t="s">
        <v>546</v>
      </c>
      <c r="E53" t="s">
        <v>467</v>
      </c>
      <c r="G53" t="s">
        <v>341</v>
      </c>
      <c r="H53" t="s">
        <v>534</v>
      </c>
      <c r="I53" t="s">
        <v>74</v>
      </c>
    </row>
    <row r="54" spans="2:9" x14ac:dyDescent="0.3">
      <c r="B54" t="s">
        <v>495</v>
      </c>
      <c r="C54" t="s">
        <v>546</v>
      </c>
      <c r="E54" t="s">
        <v>467</v>
      </c>
      <c r="G54" t="s">
        <v>341</v>
      </c>
      <c r="H54" t="s">
        <v>534</v>
      </c>
      <c r="I54" t="s">
        <v>74</v>
      </c>
    </row>
    <row r="55" spans="2:9" x14ac:dyDescent="0.3">
      <c r="B55" t="s">
        <v>818</v>
      </c>
      <c r="C55" t="s">
        <v>748</v>
      </c>
      <c r="E55" t="s">
        <v>466</v>
      </c>
      <c r="G55" t="s">
        <v>341</v>
      </c>
      <c r="H55" t="s">
        <v>180</v>
      </c>
      <c r="I55" t="s">
        <v>393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4D370-3B0C-4BE4-9403-7A7E58C42478}">
  <sheetPr codeName="Sheet16"/>
  <dimension ref="A1:H2"/>
  <sheetViews>
    <sheetView workbookViewId="0">
      <selection activeCell="B2" sqref="B2"/>
    </sheetView>
  </sheetViews>
  <sheetFormatPr defaultRowHeight="14.4" x14ac:dyDescent="0.3"/>
  <cols>
    <col min="1" max="1" width="12.5546875" bestFit="1" customWidth="1"/>
    <col min="2" max="2" width="11.44140625" bestFit="1" customWidth="1"/>
    <col min="3" max="3" width="11" bestFit="1" customWidth="1"/>
    <col min="4" max="4" width="19.109375" bestFit="1" customWidth="1"/>
    <col min="5" max="5" width="10.44140625" bestFit="1" customWidth="1"/>
    <col min="6" max="6" width="4.21875" bestFit="1" customWidth="1"/>
    <col min="7" max="7" width="7" bestFit="1" customWidth="1"/>
    <col min="8" max="8" width="6.5546875" bestFit="1" customWidth="1"/>
    <col min="9" max="9" width="7" bestFit="1" customWidth="1"/>
    <col min="10" max="10" width="7.33203125" bestFit="1" customWidth="1"/>
  </cols>
  <sheetData>
    <row r="1" spans="1:8" x14ac:dyDescent="0.3">
      <c r="A1" t="s">
        <v>128</v>
      </c>
      <c r="B1" t="s">
        <v>133</v>
      </c>
      <c r="C1" t="s">
        <v>275</v>
      </c>
      <c r="D1" t="s">
        <v>274</v>
      </c>
      <c r="E1" t="s">
        <v>6</v>
      </c>
      <c r="F1" t="s">
        <v>130</v>
      </c>
      <c r="G1" t="s">
        <v>63</v>
      </c>
      <c r="H1" t="s">
        <v>129</v>
      </c>
    </row>
    <row r="2" spans="1:8" x14ac:dyDescent="0.3">
      <c r="A2" t="s">
        <v>813</v>
      </c>
      <c r="B2" t="s">
        <v>675</v>
      </c>
      <c r="C2" t="s">
        <v>684</v>
      </c>
      <c r="D2" t="s">
        <v>478</v>
      </c>
      <c r="E2" t="s">
        <v>759</v>
      </c>
      <c r="G2" t="s">
        <v>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0B7E-F025-4247-9131-0C4BC4F86B34}">
  <sheetPr codeName="Sheet17"/>
  <dimension ref="A1:H5"/>
  <sheetViews>
    <sheetView workbookViewId="0">
      <selection activeCell="D5" sqref="D5"/>
    </sheetView>
  </sheetViews>
  <sheetFormatPr defaultRowHeight="14.4" x14ac:dyDescent="0.3"/>
  <cols>
    <col min="1" max="1" width="12.21875" bestFit="1" customWidth="1"/>
    <col min="2" max="2" width="11.44140625" bestFit="1" customWidth="1"/>
    <col min="3" max="3" width="10" bestFit="1" customWidth="1"/>
    <col min="4" max="4" width="33.5546875" bestFit="1" customWidth="1"/>
    <col min="5" max="5" width="6.109375" bestFit="1" customWidth="1"/>
    <col min="6" max="6" width="4.21875" bestFit="1" customWidth="1"/>
    <col min="7" max="7" width="7.109375" bestFit="1" customWidth="1"/>
    <col min="8" max="8" width="6.5546875" bestFit="1" customWidth="1"/>
    <col min="9" max="10" width="6.88671875" bestFit="1" customWidth="1"/>
  </cols>
  <sheetData>
    <row r="1" spans="1:8" x14ac:dyDescent="0.3">
      <c r="A1" t="s">
        <v>128</v>
      </c>
      <c r="B1" t="s">
        <v>133</v>
      </c>
      <c r="C1" t="s">
        <v>275</v>
      </c>
      <c r="D1" t="s">
        <v>274</v>
      </c>
      <c r="E1" t="s">
        <v>7</v>
      </c>
      <c r="F1" t="s">
        <v>130</v>
      </c>
      <c r="G1" t="s">
        <v>63</v>
      </c>
      <c r="H1" t="s">
        <v>129</v>
      </c>
    </row>
    <row r="2" spans="1:8" x14ac:dyDescent="0.3">
      <c r="A2" t="s">
        <v>457</v>
      </c>
      <c r="B2" t="s">
        <v>546</v>
      </c>
      <c r="D2" t="s">
        <v>341</v>
      </c>
      <c r="G2" t="s">
        <v>74</v>
      </c>
    </row>
    <row r="3" spans="1:8" x14ac:dyDescent="0.3">
      <c r="A3" t="s">
        <v>457</v>
      </c>
      <c r="B3" t="s">
        <v>748</v>
      </c>
      <c r="D3" t="s">
        <v>341</v>
      </c>
      <c r="G3" t="s">
        <v>393</v>
      </c>
    </row>
    <row r="4" spans="1:8" x14ac:dyDescent="0.3">
      <c r="A4" t="s">
        <v>457</v>
      </c>
      <c r="B4" t="s">
        <v>748</v>
      </c>
      <c r="D4" t="s">
        <v>341</v>
      </c>
      <c r="G4" t="s">
        <v>393</v>
      </c>
    </row>
    <row r="5" spans="1:8" x14ac:dyDescent="0.3">
      <c r="A5" t="s">
        <v>457</v>
      </c>
      <c r="B5" t="s">
        <v>757</v>
      </c>
      <c r="C5" t="s">
        <v>758</v>
      </c>
      <c r="D5" t="s">
        <v>256</v>
      </c>
      <c r="F5">
        <v>4</v>
      </c>
      <c r="G5" t="s">
        <v>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E63C2-F3AC-45A5-A43A-CC657CA59F9D}">
  <sheetPr codeName="Sheet18"/>
  <dimension ref="A1:AH249"/>
  <sheetViews>
    <sheetView workbookViewId="0">
      <selection activeCell="F12" sqref="F12"/>
    </sheetView>
  </sheetViews>
  <sheetFormatPr defaultRowHeight="14.4" x14ac:dyDescent="0.3"/>
  <cols>
    <col min="1" max="1" width="13.5546875" bestFit="1" customWidth="1"/>
    <col min="2" max="2" width="20" bestFit="1" customWidth="1"/>
    <col min="3" max="3" width="17.109375" bestFit="1" customWidth="1"/>
    <col min="4" max="4" width="11.44140625" bestFit="1" customWidth="1"/>
    <col min="5" max="5" width="18.33203125" bestFit="1" customWidth="1"/>
    <col min="6" max="6" width="15.5546875" bestFit="1" customWidth="1"/>
    <col min="7" max="7" width="4.21875" bestFit="1" customWidth="1"/>
    <col min="8" max="8" width="12.21875" bestFit="1" customWidth="1"/>
    <col min="9" max="9" width="13.33203125" bestFit="1" customWidth="1"/>
    <col min="10" max="10" width="7.109375" bestFit="1" customWidth="1"/>
    <col min="11" max="11" width="15.109375" bestFit="1" customWidth="1"/>
    <col min="12" max="12" width="12.21875" bestFit="1" customWidth="1"/>
    <col min="13" max="13" width="29.33203125" bestFit="1" customWidth="1"/>
    <col min="14" max="14" width="6.109375" bestFit="1" customWidth="1"/>
    <col min="15" max="15" width="14.109375" bestFit="1" customWidth="1"/>
    <col min="16" max="16" width="11.44140625" bestFit="1" customWidth="1"/>
    <col min="17" max="17" width="13.5546875" bestFit="1" customWidth="1"/>
    <col min="18" max="18" width="34" bestFit="1" customWidth="1"/>
    <col min="19" max="19" width="10.44140625" bestFit="1" customWidth="1"/>
    <col min="20" max="20" width="18.5546875" bestFit="1" customWidth="1"/>
    <col min="21" max="21" width="6.21875" bestFit="1" customWidth="1"/>
    <col min="22" max="22" width="61.77734375" bestFit="1" customWidth="1"/>
    <col min="23" max="23" width="11.5546875" bestFit="1" customWidth="1"/>
    <col min="24" max="24" width="7.33203125" bestFit="1" customWidth="1"/>
    <col min="25" max="25" width="15.5546875" bestFit="1" customWidth="1"/>
    <col min="26" max="26" width="12.6640625" bestFit="1" customWidth="1"/>
    <col min="27" max="27" width="11.109375" bestFit="1" customWidth="1"/>
    <col min="28" max="28" width="19.44140625" bestFit="1" customWidth="1"/>
    <col min="29" max="29" width="16.5546875" bestFit="1" customWidth="1"/>
    <col min="30" max="30" width="7.33203125" bestFit="1" customWidth="1"/>
    <col min="31" max="31" width="15.5546875" bestFit="1" customWidth="1"/>
    <col min="32" max="32" width="12.6640625" bestFit="1" customWidth="1"/>
    <col min="33" max="33" width="16.109375" bestFit="1" customWidth="1"/>
    <col min="34" max="34" width="6.5546875" bestFit="1" customWidth="1"/>
    <col min="35" max="35" width="16.33203125" bestFit="1" customWidth="1"/>
    <col min="36" max="36" width="7.109375" bestFit="1" customWidth="1"/>
    <col min="37" max="37" width="16" bestFit="1" customWidth="1"/>
    <col min="38" max="38" width="6.5546875" bestFit="1" customWidth="1"/>
    <col min="39" max="39" width="7.33203125" bestFit="1" customWidth="1"/>
    <col min="40" max="40" width="16.109375" bestFit="1" customWidth="1"/>
    <col min="41" max="41" width="6.5546875" bestFit="1" customWidth="1"/>
  </cols>
  <sheetData>
    <row r="1" spans="1:34" x14ac:dyDescent="0.3">
      <c r="A1" t="s">
        <v>128</v>
      </c>
      <c r="B1" t="s">
        <v>276</v>
      </c>
      <c r="C1" t="s">
        <v>286</v>
      </c>
      <c r="D1" t="s">
        <v>133</v>
      </c>
      <c r="E1" t="s">
        <v>283</v>
      </c>
      <c r="F1" t="s">
        <v>287</v>
      </c>
      <c r="G1" t="s">
        <v>130</v>
      </c>
      <c r="H1" t="s">
        <v>279</v>
      </c>
      <c r="I1" t="s">
        <v>288</v>
      </c>
      <c r="J1" t="s">
        <v>63</v>
      </c>
      <c r="K1" t="s">
        <v>285</v>
      </c>
      <c r="L1" t="s">
        <v>289</v>
      </c>
      <c r="M1" t="s">
        <v>10</v>
      </c>
      <c r="N1" t="s">
        <v>7</v>
      </c>
      <c r="O1" t="s">
        <v>278</v>
      </c>
      <c r="P1" t="s">
        <v>290</v>
      </c>
      <c r="Q1" t="s">
        <v>275</v>
      </c>
      <c r="R1" t="s">
        <v>274</v>
      </c>
      <c r="S1" t="s">
        <v>6</v>
      </c>
      <c r="T1" t="s">
        <v>277</v>
      </c>
      <c r="U1" t="s">
        <v>132</v>
      </c>
      <c r="V1" t="s">
        <v>282</v>
      </c>
      <c r="W1" t="s">
        <v>293</v>
      </c>
      <c r="X1" t="s">
        <v>131</v>
      </c>
      <c r="Y1" t="s">
        <v>280</v>
      </c>
      <c r="Z1" t="s">
        <v>294</v>
      </c>
      <c r="AA1" t="s">
        <v>15</v>
      </c>
      <c r="AB1" t="s">
        <v>281</v>
      </c>
      <c r="AC1" t="s">
        <v>295</v>
      </c>
      <c r="AD1" t="s">
        <v>86</v>
      </c>
      <c r="AE1" t="s">
        <v>343</v>
      </c>
      <c r="AF1" t="s">
        <v>344</v>
      </c>
      <c r="AG1" t="s">
        <v>284</v>
      </c>
      <c r="AH1" t="s">
        <v>129</v>
      </c>
    </row>
    <row r="2" spans="1:34" x14ac:dyDescent="0.3">
      <c r="A2" t="s">
        <v>674</v>
      </c>
      <c r="B2" t="s">
        <v>674</v>
      </c>
      <c r="C2" t="s">
        <v>292</v>
      </c>
      <c r="D2" t="s">
        <v>617</v>
      </c>
      <c r="E2" t="s">
        <v>617</v>
      </c>
      <c r="F2" t="s">
        <v>292</v>
      </c>
      <c r="I2" t="s">
        <v>292</v>
      </c>
      <c r="J2" t="s">
        <v>78</v>
      </c>
      <c r="K2" t="s">
        <v>78</v>
      </c>
      <c r="L2" t="s">
        <v>292</v>
      </c>
      <c r="M2" t="s">
        <v>536</v>
      </c>
      <c r="O2" t="s">
        <v>465</v>
      </c>
      <c r="P2" t="s">
        <v>291</v>
      </c>
      <c r="R2" t="s">
        <v>255</v>
      </c>
      <c r="S2" t="s">
        <v>262</v>
      </c>
      <c r="T2" t="s">
        <v>534</v>
      </c>
      <c r="U2" t="s">
        <v>87</v>
      </c>
      <c r="V2" t="s">
        <v>87</v>
      </c>
      <c r="W2" t="s">
        <v>292</v>
      </c>
      <c r="Z2" t="s">
        <v>292</v>
      </c>
      <c r="AC2" t="s">
        <v>292</v>
      </c>
      <c r="AD2" t="s">
        <v>87</v>
      </c>
      <c r="AE2" t="s">
        <v>87</v>
      </c>
      <c r="AF2" t="s">
        <v>292</v>
      </c>
    </row>
    <row r="3" spans="1:34" x14ac:dyDescent="0.3">
      <c r="A3" t="s">
        <v>613</v>
      </c>
      <c r="B3" t="s">
        <v>613</v>
      </c>
      <c r="C3" t="s">
        <v>292</v>
      </c>
      <c r="D3" t="s">
        <v>549</v>
      </c>
      <c r="E3" t="s">
        <v>549</v>
      </c>
      <c r="F3" t="s">
        <v>292</v>
      </c>
      <c r="I3" t="s">
        <v>292</v>
      </c>
      <c r="J3" t="s">
        <v>76</v>
      </c>
      <c r="K3" t="s">
        <v>76</v>
      </c>
      <c r="L3" t="s">
        <v>292</v>
      </c>
      <c r="M3" t="s">
        <v>536</v>
      </c>
      <c r="O3" t="s">
        <v>455</v>
      </c>
      <c r="P3" t="s">
        <v>291</v>
      </c>
      <c r="R3" t="s">
        <v>255</v>
      </c>
      <c r="S3" t="s">
        <v>262</v>
      </c>
      <c r="T3" t="s">
        <v>534</v>
      </c>
      <c r="U3" t="s">
        <v>87</v>
      </c>
      <c r="V3" t="s">
        <v>87</v>
      </c>
      <c r="W3" t="s">
        <v>292</v>
      </c>
      <c r="Z3" t="s">
        <v>292</v>
      </c>
      <c r="AC3" t="s">
        <v>292</v>
      </c>
      <c r="AD3" t="s">
        <v>87</v>
      </c>
      <c r="AE3" t="s">
        <v>87</v>
      </c>
      <c r="AF3" t="s">
        <v>292</v>
      </c>
    </row>
    <row r="4" spans="1:34" x14ac:dyDescent="0.3">
      <c r="A4" t="s">
        <v>760</v>
      </c>
      <c r="B4" t="s">
        <v>760</v>
      </c>
      <c r="C4" t="s">
        <v>292</v>
      </c>
      <c r="D4" t="s">
        <v>617</v>
      </c>
      <c r="E4" t="s">
        <v>617</v>
      </c>
      <c r="F4" t="s">
        <v>292</v>
      </c>
      <c r="I4" t="s">
        <v>292</v>
      </c>
      <c r="J4" t="s">
        <v>78</v>
      </c>
      <c r="K4" t="s">
        <v>78</v>
      </c>
      <c r="L4" t="s">
        <v>292</v>
      </c>
      <c r="M4" t="s">
        <v>536</v>
      </c>
      <c r="O4" t="s">
        <v>465</v>
      </c>
      <c r="P4" t="s">
        <v>291</v>
      </c>
      <c r="R4" t="s">
        <v>255</v>
      </c>
      <c r="S4" t="s">
        <v>262</v>
      </c>
      <c r="T4" t="s">
        <v>534</v>
      </c>
      <c r="U4" t="s">
        <v>87</v>
      </c>
      <c r="V4" t="s">
        <v>87</v>
      </c>
      <c r="W4" t="s">
        <v>292</v>
      </c>
      <c r="Z4" t="s">
        <v>292</v>
      </c>
      <c r="AC4" t="s">
        <v>292</v>
      </c>
      <c r="AD4" t="s">
        <v>87</v>
      </c>
      <c r="AE4" t="s">
        <v>87</v>
      </c>
      <c r="AF4" t="s">
        <v>292</v>
      </c>
    </row>
    <row r="5" spans="1:34" x14ac:dyDescent="0.3">
      <c r="A5" t="s">
        <v>687</v>
      </c>
      <c r="B5" t="s">
        <v>687</v>
      </c>
      <c r="C5" t="s">
        <v>292</v>
      </c>
      <c r="D5" t="s">
        <v>549</v>
      </c>
      <c r="E5" t="s">
        <v>549</v>
      </c>
      <c r="F5" t="s">
        <v>292</v>
      </c>
      <c r="I5" t="s">
        <v>292</v>
      </c>
      <c r="J5" t="s">
        <v>76</v>
      </c>
      <c r="K5" t="s">
        <v>76</v>
      </c>
      <c r="L5" t="s">
        <v>292</v>
      </c>
      <c r="M5" t="s">
        <v>536</v>
      </c>
      <c r="O5" t="s">
        <v>465</v>
      </c>
      <c r="P5" t="s">
        <v>291</v>
      </c>
      <c r="R5" t="s">
        <v>255</v>
      </c>
      <c r="S5" t="s">
        <v>262</v>
      </c>
      <c r="T5" t="s">
        <v>534</v>
      </c>
      <c r="U5" t="s">
        <v>87</v>
      </c>
      <c r="V5" t="s">
        <v>87</v>
      </c>
      <c r="W5" t="s">
        <v>292</v>
      </c>
      <c r="Z5" t="s">
        <v>292</v>
      </c>
      <c r="AC5" t="s">
        <v>292</v>
      </c>
      <c r="AD5" t="s">
        <v>87</v>
      </c>
      <c r="AE5" t="s">
        <v>87</v>
      </c>
      <c r="AF5" t="s">
        <v>292</v>
      </c>
    </row>
    <row r="6" spans="1:34" x14ac:dyDescent="0.3">
      <c r="A6" t="s">
        <v>688</v>
      </c>
      <c r="B6" t="s">
        <v>688</v>
      </c>
      <c r="C6" t="s">
        <v>292</v>
      </c>
      <c r="D6" t="s">
        <v>617</v>
      </c>
      <c r="E6" t="s">
        <v>617</v>
      </c>
      <c r="F6" t="s">
        <v>292</v>
      </c>
      <c r="I6" t="s">
        <v>292</v>
      </c>
      <c r="J6" t="s">
        <v>78</v>
      </c>
      <c r="K6" t="s">
        <v>78</v>
      </c>
      <c r="L6" t="s">
        <v>292</v>
      </c>
      <c r="M6" t="s">
        <v>536</v>
      </c>
      <c r="O6" t="s">
        <v>465</v>
      </c>
      <c r="P6" t="s">
        <v>291</v>
      </c>
      <c r="R6" t="s">
        <v>255</v>
      </c>
      <c r="S6" t="s">
        <v>262</v>
      </c>
      <c r="T6" t="s">
        <v>534</v>
      </c>
      <c r="U6" t="s">
        <v>87</v>
      </c>
      <c r="V6" t="s">
        <v>87</v>
      </c>
      <c r="W6" t="s">
        <v>292</v>
      </c>
      <c r="Z6" t="s">
        <v>292</v>
      </c>
      <c r="AC6" t="s">
        <v>292</v>
      </c>
      <c r="AD6" t="s">
        <v>87</v>
      </c>
      <c r="AE6" t="s">
        <v>87</v>
      </c>
      <c r="AF6" t="s">
        <v>292</v>
      </c>
    </row>
    <row r="7" spans="1:34" x14ac:dyDescent="0.3">
      <c r="A7" t="s">
        <v>550</v>
      </c>
      <c r="B7" t="s">
        <v>550</v>
      </c>
      <c r="C7" t="s">
        <v>292</v>
      </c>
      <c r="D7" t="s">
        <v>551</v>
      </c>
      <c r="E7" t="s">
        <v>551</v>
      </c>
      <c r="F7" t="s">
        <v>292</v>
      </c>
      <c r="G7">
        <v>4</v>
      </c>
      <c r="H7">
        <v>4</v>
      </c>
      <c r="I7" t="s">
        <v>292</v>
      </c>
      <c r="J7" t="s">
        <v>78</v>
      </c>
      <c r="K7" t="s">
        <v>78</v>
      </c>
      <c r="L7" t="s">
        <v>292</v>
      </c>
      <c r="M7" t="s">
        <v>679</v>
      </c>
      <c r="O7" t="s">
        <v>466</v>
      </c>
      <c r="P7" t="s">
        <v>291</v>
      </c>
      <c r="Q7" t="s">
        <v>682</v>
      </c>
      <c r="R7" t="s">
        <v>256</v>
      </c>
      <c r="S7" t="s">
        <v>263</v>
      </c>
      <c r="T7" t="s">
        <v>180</v>
      </c>
      <c r="U7" t="s">
        <v>87</v>
      </c>
      <c r="V7" t="s">
        <v>87</v>
      </c>
      <c r="W7" t="s">
        <v>292</v>
      </c>
      <c r="Y7">
        <v>0</v>
      </c>
      <c r="Z7" t="s">
        <v>291</v>
      </c>
      <c r="AC7" t="s">
        <v>292</v>
      </c>
      <c r="AD7" t="s">
        <v>87</v>
      </c>
      <c r="AE7" t="s">
        <v>87</v>
      </c>
      <c r="AF7" t="s">
        <v>292</v>
      </c>
    </row>
    <row r="8" spans="1:34" x14ac:dyDescent="0.3">
      <c r="A8" t="s">
        <v>547</v>
      </c>
      <c r="B8" t="s">
        <v>547</v>
      </c>
      <c r="C8" t="s">
        <v>292</v>
      </c>
      <c r="D8" t="s">
        <v>546</v>
      </c>
      <c r="E8" t="s">
        <v>546</v>
      </c>
      <c r="F8" t="s">
        <v>292</v>
      </c>
      <c r="I8" t="s">
        <v>292</v>
      </c>
      <c r="J8" t="s">
        <v>74</v>
      </c>
      <c r="K8" t="s">
        <v>74</v>
      </c>
      <c r="L8" t="s">
        <v>292</v>
      </c>
      <c r="M8" t="s">
        <v>473</v>
      </c>
      <c r="O8" t="s">
        <v>465</v>
      </c>
      <c r="P8" t="s">
        <v>291</v>
      </c>
      <c r="R8" t="s">
        <v>341</v>
      </c>
      <c r="S8" t="s">
        <v>340</v>
      </c>
      <c r="T8" t="s">
        <v>534</v>
      </c>
      <c r="U8" t="s">
        <v>87</v>
      </c>
      <c r="V8" t="s">
        <v>87</v>
      </c>
      <c r="W8" t="s">
        <v>292</v>
      </c>
      <c r="Z8" t="s">
        <v>292</v>
      </c>
      <c r="AC8" t="s">
        <v>292</v>
      </c>
      <c r="AD8" t="s">
        <v>87</v>
      </c>
      <c r="AE8" t="s">
        <v>87</v>
      </c>
      <c r="AF8" t="s">
        <v>292</v>
      </c>
    </row>
    <row r="9" spans="1:34" x14ac:dyDescent="0.3">
      <c r="A9" t="s">
        <v>644</v>
      </c>
      <c r="B9" t="s">
        <v>644</v>
      </c>
      <c r="C9" t="s">
        <v>292</v>
      </c>
      <c r="D9" t="s">
        <v>645</v>
      </c>
      <c r="E9" t="s">
        <v>645</v>
      </c>
      <c r="F9" t="s">
        <v>292</v>
      </c>
      <c r="I9" t="s">
        <v>292</v>
      </c>
      <c r="J9" t="s">
        <v>339</v>
      </c>
      <c r="K9" t="s">
        <v>339</v>
      </c>
      <c r="L9" t="s">
        <v>292</v>
      </c>
      <c r="M9" t="s">
        <v>647</v>
      </c>
      <c r="O9" t="s">
        <v>462</v>
      </c>
      <c r="P9" t="s">
        <v>291</v>
      </c>
      <c r="Q9" t="s">
        <v>646</v>
      </c>
      <c r="R9" t="s">
        <v>542</v>
      </c>
      <c r="S9" t="s">
        <v>262</v>
      </c>
      <c r="T9" t="s">
        <v>534</v>
      </c>
      <c r="U9" t="s">
        <v>87</v>
      </c>
      <c r="V9" t="s">
        <v>87</v>
      </c>
      <c r="W9" t="s">
        <v>292</v>
      </c>
      <c r="Z9" t="s">
        <v>292</v>
      </c>
      <c r="AC9" t="s">
        <v>292</v>
      </c>
      <c r="AD9" t="s">
        <v>87</v>
      </c>
      <c r="AE9" t="s">
        <v>87</v>
      </c>
      <c r="AF9" t="s">
        <v>292</v>
      </c>
    </row>
    <row r="10" spans="1:34" x14ac:dyDescent="0.3">
      <c r="B10" t="s">
        <v>479</v>
      </c>
      <c r="C10" t="s">
        <v>291</v>
      </c>
      <c r="E10" t="s">
        <v>546</v>
      </c>
      <c r="F10" t="s">
        <v>291</v>
      </c>
      <c r="I10" t="s">
        <v>292</v>
      </c>
      <c r="K10" t="s">
        <v>74</v>
      </c>
      <c r="L10" t="s">
        <v>291</v>
      </c>
      <c r="O10" t="s">
        <v>467</v>
      </c>
      <c r="P10" t="s">
        <v>291</v>
      </c>
      <c r="T10" t="s">
        <v>534</v>
      </c>
      <c r="V10" t="s">
        <v>87</v>
      </c>
      <c r="W10" t="s">
        <v>291</v>
      </c>
      <c r="Z10" t="s">
        <v>292</v>
      </c>
      <c r="AC10" t="s">
        <v>292</v>
      </c>
      <c r="AE10" t="s">
        <v>87</v>
      </c>
      <c r="AF10" t="s">
        <v>291</v>
      </c>
    </row>
    <row r="11" spans="1:34" x14ac:dyDescent="0.3">
      <c r="A11" t="s">
        <v>763</v>
      </c>
      <c r="B11" t="s">
        <v>763</v>
      </c>
      <c r="C11" t="s">
        <v>292</v>
      </c>
      <c r="D11" t="s">
        <v>568</v>
      </c>
      <c r="E11" t="s">
        <v>568</v>
      </c>
      <c r="F11" t="s">
        <v>292</v>
      </c>
      <c r="I11" t="s">
        <v>292</v>
      </c>
      <c r="J11" t="s">
        <v>339</v>
      </c>
      <c r="K11" t="s">
        <v>339</v>
      </c>
      <c r="L11" t="s">
        <v>292</v>
      </c>
      <c r="M11" t="s">
        <v>668</v>
      </c>
      <c r="O11" t="s">
        <v>178</v>
      </c>
      <c r="P11" t="s">
        <v>291</v>
      </c>
      <c r="R11" t="s">
        <v>388</v>
      </c>
      <c r="S11" t="s">
        <v>820</v>
      </c>
      <c r="T11" t="s">
        <v>534</v>
      </c>
      <c r="U11" t="s">
        <v>87</v>
      </c>
      <c r="V11" t="s">
        <v>87</v>
      </c>
      <c r="W11" t="s">
        <v>292</v>
      </c>
      <c r="Z11" t="s">
        <v>292</v>
      </c>
      <c r="AC11" t="s">
        <v>292</v>
      </c>
      <c r="AD11" t="s">
        <v>87</v>
      </c>
      <c r="AE11" t="s">
        <v>87</v>
      </c>
      <c r="AF11" t="s">
        <v>292</v>
      </c>
    </row>
    <row r="12" spans="1:34" x14ac:dyDescent="0.3">
      <c r="B12" t="s">
        <v>480</v>
      </c>
      <c r="C12" t="s">
        <v>291</v>
      </c>
      <c r="E12" t="s">
        <v>546</v>
      </c>
      <c r="F12" t="s">
        <v>291</v>
      </c>
      <c r="I12" t="s">
        <v>292</v>
      </c>
      <c r="K12" t="s">
        <v>74</v>
      </c>
      <c r="L12" t="s">
        <v>291</v>
      </c>
      <c r="O12" t="s">
        <v>467</v>
      </c>
      <c r="P12" t="s">
        <v>291</v>
      </c>
      <c r="T12" t="s">
        <v>534</v>
      </c>
      <c r="V12" t="s">
        <v>87</v>
      </c>
      <c r="W12" t="s">
        <v>291</v>
      </c>
      <c r="Z12" t="s">
        <v>292</v>
      </c>
      <c r="AC12" t="s">
        <v>292</v>
      </c>
      <c r="AE12" t="s">
        <v>87</v>
      </c>
      <c r="AF12" t="s">
        <v>291</v>
      </c>
    </row>
    <row r="13" spans="1:34" x14ac:dyDescent="0.3">
      <c r="A13" t="s">
        <v>706</v>
      </c>
      <c r="B13" t="s">
        <v>706</v>
      </c>
      <c r="C13" t="s">
        <v>292</v>
      </c>
      <c r="D13" t="s">
        <v>546</v>
      </c>
      <c r="E13" t="s">
        <v>546</v>
      </c>
      <c r="F13" t="s">
        <v>292</v>
      </c>
      <c r="I13" t="s">
        <v>292</v>
      </c>
      <c r="J13" t="s">
        <v>74</v>
      </c>
      <c r="K13" t="s">
        <v>74</v>
      </c>
      <c r="L13" t="s">
        <v>292</v>
      </c>
      <c r="M13" t="s">
        <v>473</v>
      </c>
      <c r="O13" t="s">
        <v>462</v>
      </c>
      <c r="P13" t="s">
        <v>291</v>
      </c>
      <c r="R13" t="s">
        <v>341</v>
      </c>
      <c r="S13" t="s">
        <v>340</v>
      </c>
      <c r="T13" t="s">
        <v>534</v>
      </c>
      <c r="U13" t="s">
        <v>87</v>
      </c>
      <c r="V13" t="s">
        <v>87</v>
      </c>
      <c r="W13" t="s">
        <v>292</v>
      </c>
      <c r="Z13" t="s">
        <v>292</v>
      </c>
      <c r="AC13" t="s">
        <v>292</v>
      </c>
      <c r="AD13" t="s">
        <v>87</v>
      </c>
      <c r="AE13" t="s">
        <v>87</v>
      </c>
      <c r="AF13" t="s">
        <v>292</v>
      </c>
    </row>
    <row r="14" spans="1:34" x14ac:dyDescent="0.3">
      <c r="B14" t="s">
        <v>481</v>
      </c>
      <c r="C14" t="s">
        <v>291</v>
      </c>
      <c r="E14" t="s">
        <v>546</v>
      </c>
      <c r="F14" t="s">
        <v>291</v>
      </c>
      <c r="I14" t="s">
        <v>292</v>
      </c>
      <c r="K14" t="s">
        <v>74</v>
      </c>
      <c r="L14" t="s">
        <v>291</v>
      </c>
      <c r="O14" t="s">
        <v>345</v>
      </c>
      <c r="P14" t="s">
        <v>291</v>
      </c>
      <c r="T14" t="s">
        <v>534</v>
      </c>
      <c r="V14" t="s">
        <v>87</v>
      </c>
      <c r="W14" t="s">
        <v>291</v>
      </c>
      <c r="Z14" t="s">
        <v>292</v>
      </c>
      <c r="AC14" t="s">
        <v>292</v>
      </c>
      <c r="AE14" t="s">
        <v>87</v>
      </c>
      <c r="AF14" t="s">
        <v>291</v>
      </c>
    </row>
    <row r="15" spans="1:34" x14ac:dyDescent="0.3">
      <c r="A15" t="s">
        <v>713</v>
      </c>
      <c r="B15" t="s">
        <v>713</v>
      </c>
      <c r="C15" t="s">
        <v>292</v>
      </c>
      <c r="D15" t="s">
        <v>546</v>
      </c>
      <c r="E15" t="s">
        <v>546</v>
      </c>
      <c r="F15" t="s">
        <v>292</v>
      </c>
      <c r="I15" t="s">
        <v>292</v>
      </c>
      <c r="J15" t="s">
        <v>74</v>
      </c>
      <c r="K15" t="s">
        <v>74</v>
      </c>
      <c r="L15" t="s">
        <v>292</v>
      </c>
      <c r="M15" t="s">
        <v>473</v>
      </c>
      <c r="O15" t="s">
        <v>462</v>
      </c>
      <c r="P15" t="s">
        <v>291</v>
      </c>
      <c r="R15" t="s">
        <v>341</v>
      </c>
      <c r="S15" t="s">
        <v>340</v>
      </c>
      <c r="T15" t="s">
        <v>534</v>
      </c>
      <c r="U15" t="s">
        <v>87</v>
      </c>
      <c r="V15" t="s">
        <v>87</v>
      </c>
      <c r="W15" t="s">
        <v>292</v>
      </c>
      <c r="Z15" t="s">
        <v>292</v>
      </c>
      <c r="AC15" t="s">
        <v>292</v>
      </c>
      <c r="AD15" t="s">
        <v>87</v>
      </c>
      <c r="AE15" t="s">
        <v>87</v>
      </c>
      <c r="AF15" t="s">
        <v>292</v>
      </c>
    </row>
    <row r="16" spans="1:34" x14ac:dyDescent="0.3">
      <c r="B16" t="s">
        <v>482</v>
      </c>
      <c r="C16" t="s">
        <v>291</v>
      </c>
      <c r="E16" t="s">
        <v>546</v>
      </c>
      <c r="F16" t="s">
        <v>291</v>
      </c>
      <c r="I16" t="s">
        <v>292</v>
      </c>
      <c r="K16" t="s">
        <v>74</v>
      </c>
      <c r="L16" t="s">
        <v>291</v>
      </c>
      <c r="O16" t="s">
        <v>467</v>
      </c>
      <c r="P16" t="s">
        <v>291</v>
      </c>
      <c r="T16" t="s">
        <v>534</v>
      </c>
      <c r="V16" t="s">
        <v>87</v>
      </c>
      <c r="W16" t="s">
        <v>291</v>
      </c>
      <c r="Z16" t="s">
        <v>292</v>
      </c>
      <c r="AC16" t="s">
        <v>292</v>
      </c>
      <c r="AE16" t="s">
        <v>87</v>
      </c>
      <c r="AF16" t="s">
        <v>291</v>
      </c>
    </row>
    <row r="17" spans="1:33" x14ac:dyDescent="0.3">
      <c r="A17" t="s">
        <v>715</v>
      </c>
      <c r="B17" t="s">
        <v>715</v>
      </c>
      <c r="C17" t="s">
        <v>292</v>
      </c>
      <c r="D17" t="s">
        <v>546</v>
      </c>
      <c r="E17" t="s">
        <v>546</v>
      </c>
      <c r="F17" t="s">
        <v>292</v>
      </c>
      <c r="I17" t="s">
        <v>292</v>
      </c>
      <c r="J17" t="s">
        <v>74</v>
      </c>
      <c r="K17" t="s">
        <v>74</v>
      </c>
      <c r="L17" t="s">
        <v>292</v>
      </c>
      <c r="M17" t="s">
        <v>473</v>
      </c>
      <c r="O17" t="s">
        <v>462</v>
      </c>
      <c r="P17" t="s">
        <v>291</v>
      </c>
      <c r="R17" t="s">
        <v>341</v>
      </c>
      <c r="S17" t="s">
        <v>340</v>
      </c>
      <c r="T17" t="s">
        <v>534</v>
      </c>
      <c r="U17" t="s">
        <v>87</v>
      </c>
      <c r="V17" t="s">
        <v>87</v>
      </c>
      <c r="W17" t="s">
        <v>292</v>
      </c>
      <c r="Z17" t="s">
        <v>292</v>
      </c>
      <c r="AC17" t="s">
        <v>292</v>
      </c>
      <c r="AD17" t="s">
        <v>87</v>
      </c>
      <c r="AE17" t="s">
        <v>87</v>
      </c>
      <c r="AF17" t="s">
        <v>292</v>
      </c>
    </row>
    <row r="18" spans="1:33" x14ac:dyDescent="0.3">
      <c r="B18" t="s">
        <v>483</v>
      </c>
      <c r="C18" t="s">
        <v>291</v>
      </c>
      <c r="E18" t="s">
        <v>546</v>
      </c>
      <c r="F18" t="s">
        <v>291</v>
      </c>
      <c r="I18" t="s">
        <v>292</v>
      </c>
      <c r="K18" t="s">
        <v>74</v>
      </c>
      <c r="L18" t="s">
        <v>291</v>
      </c>
      <c r="O18" t="s">
        <v>467</v>
      </c>
      <c r="P18" t="s">
        <v>291</v>
      </c>
      <c r="T18" t="s">
        <v>534</v>
      </c>
      <c r="V18" t="s">
        <v>87</v>
      </c>
      <c r="W18" t="s">
        <v>291</v>
      </c>
      <c r="Z18" t="s">
        <v>292</v>
      </c>
      <c r="AC18" t="s">
        <v>292</v>
      </c>
      <c r="AE18" t="s">
        <v>87</v>
      </c>
      <c r="AF18" t="s">
        <v>291</v>
      </c>
    </row>
    <row r="19" spans="1:33" x14ac:dyDescent="0.3">
      <c r="A19" t="s">
        <v>717</v>
      </c>
      <c r="B19" t="s">
        <v>717</v>
      </c>
      <c r="C19" t="s">
        <v>292</v>
      </c>
      <c r="D19" t="s">
        <v>546</v>
      </c>
      <c r="E19" t="s">
        <v>546</v>
      </c>
      <c r="F19" t="s">
        <v>292</v>
      </c>
      <c r="I19" t="s">
        <v>292</v>
      </c>
      <c r="J19" t="s">
        <v>74</v>
      </c>
      <c r="K19" t="s">
        <v>74</v>
      </c>
      <c r="L19" t="s">
        <v>292</v>
      </c>
      <c r="M19" t="s">
        <v>473</v>
      </c>
      <c r="O19" t="s">
        <v>462</v>
      </c>
      <c r="P19" t="s">
        <v>291</v>
      </c>
      <c r="R19" t="s">
        <v>341</v>
      </c>
      <c r="S19" t="s">
        <v>340</v>
      </c>
      <c r="T19" t="s">
        <v>534</v>
      </c>
      <c r="U19" t="s">
        <v>87</v>
      </c>
      <c r="V19" t="s">
        <v>87</v>
      </c>
      <c r="W19" t="s">
        <v>292</v>
      </c>
      <c r="Z19" t="s">
        <v>292</v>
      </c>
      <c r="AC19" t="s">
        <v>292</v>
      </c>
      <c r="AD19" t="s">
        <v>87</v>
      </c>
      <c r="AE19" t="s">
        <v>87</v>
      </c>
      <c r="AF19" t="s">
        <v>292</v>
      </c>
    </row>
    <row r="20" spans="1:33" x14ac:dyDescent="0.3">
      <c r="B20" t="s">
        <v>484</v>
      </c>
      <c r="C20" t="s">
        <v>291</v>
      </c>
      <c r="E20" t="s">
        <v>546</v>
      </c>
      <c r="F20" t="s">
        <v>291</v>
      </c>
      <c r="I20" t="s">
        <v>292</v>
      </c>
      <c r="K20" t="s">
        <v>74</v>
      </c>
      <c r="L20" t="s">
        <v>291</v>
      </c>
      <c r="O20" t="s">
        <v>467</v>
      </c>
      <c r="P20" t="s">
        <v>291</v>
      </c>
      <c r="T20" t="s">
        <v>534</v>
      </c>
      <c r="V20" t="s">
        <v>87</v>
      </c>
      <c r="W20" t="s">
        <v>291</v>
      </c>
      <c r="Z20" t="s">
        <v>292</v>
      </c>
      <c r="AC20" t="s">
        <v>292</v>
      </c>
      <c r="AE20" t="s">
        <v>87</v>
      </c>
      <c r="AF20" t="s">
        <v>291</v>
      </c>
    </row>
    <row r="21" spans="1:33" x14ac:dyDescent="0.3">
      <c r="A21" t="s">
        <v>725</v>
      </c>
      <c r="B21" t="s">
        <v>725</v>
      </c>
      <c r="C21" t="s">
        <v>292</v>
      </c>
      <c r="D21" t="s">
        <v>546</v>
      </c>
      <c r="E21" t="s">
        <v>546</v>
      </c>
      <c r="F21" t="s">
        <v>292</v>
      </c>
      <c r="I21" t="s">
        <v>292</v>
      </c>
      <c r="J21" t="s">
        <v>74</v>
      </c>
      <c r="K21" t="s">
        <v>74</v>
      </c>
      <c r="L21" t="s">
        <v>292</v>
      </c>
      <c r="M21" t="s">
        <v>473</v>
      </c>
      <c r="O21" t="s">
        <v>462</v>
      </c>
      <c r="P21" t="s">
        <v>291</v>
      </c>
      <c r="R21" t="s">
        <v>341</v>
      </c>
      <c r="S21" t="s">
        <v>340</v>
      </c>
      <c r="T21" t="s">
        <v>534</v>
      </c>
      <c r="U21" t="s">
        <v>87</v>
      </c>
      <c r="V21" t="s">
        <v>87</v>
      </c>
      <c r="W21" t="s">
        <v>292</v>
      </c>
      <c r="Z21" t="s">
        <v>292</v>
      </c>
      <c r="AC21" t="s">
        <v>292</v>
      </c>
      <c r="AD21" t="s">
        <v>87</v>
      </c>
      <c r="AE21" t="s">
        <v>87</v>
      </c>
      <c r="AF21" t="s">
        <v>292</v>
      </c>
    </row>
    <row r="22" spans="1:33" x14ac:dyDescent="0.3">
      <c r="B22" t="s">
        <v>485</v>
      </c>
      <c r="C22" t="s">
        <v>291</v>
      </c>
      <c r="E22" t="s">
        <v>546</v>
      </c>
      <c r="F22" t="s">
        <v>291</v>
      </c>
      <c r="I22" t="s">
        <v>292</v>
      </c>
      <c r="K22" t="s">
        <v>74</v>
      </c>
      <c r="L22" t="s">
        <v>291</v>
      </c>
      <c r="O22" t="s">
        <v>467</v>
      </c>
      <c r="P22" t="s">
        <v>291</v>
      </c>
      <c r="T22" t="s">
        <v>534</v>
      </c>
      <c r="V22" t="s">
        <v>87</v>
      </c>
      <c r="W22" t="s">
        <v>291</v>
      </c>
      <c r="Z22" t="s">
        <v>292</v>
      </c>
      <c r="AC22" t="s">
        <v>292</v>
      </c>
      <c r="AE22" t="s">
        <v>87</v>
      </c>
      <c r="AF22" t="s">
        <v>291</v>
      </c>
    </row>
    <row r="23" spans="1:33" x14ac:dyDescent="0.3">
      <c r="A23" t="s">
        <v>586</v>
      </c>
      <c r="B23" t="s">
        <v>586</v>
      </c>
      <c r="C23" t="s">
        <v>292</v>
      </c>
      <c r="D23" t="s">
        <v>546</v>
      </c>
      <c r="E23" t="s">
        <v>546</v>
      </c>
      <c r="F23" t="s">
        <v>292</v>
      </c>
      <c r="I23" t="s">
        <v>292</v>
      </c>
      <c r="J23" t="s">
        <v>74</v>
      </c>
      <c r="K23" t="s">
        <v>74</v>
      </c>
      <c r="L23" t="s">
        <v>292</v>
      </c>
      <c r="M23" t="s">
        <v>473</v>
      </c>
      <c r="O23" t="s">
        <v>465</v>
      </c>
      <c r="P23" t="s">
        <v>291</v>
      </c>
      <c r="R23" t="s">
        <v>341</v>
      </c>
      <c r="S23" t="s">
        <v>340</v>
      </c>
      <c r="T23" t="s">
        <v>534</v>
      </c>
      <c r="U23" t="s">
        <v>87</v>
      </c>
      <c r="V23" t="s">
        <v>87</v>
      </c>
      <c r="W23" t="s">
        <v>292</v>
      </c>
      <c r="Z23" t="s">
        <v>292</v>
      </c>
      <c r="AC23" t="s">
        <v>292</v>
      </c>
      <c r="AD23" t="s">
        <v>87</v>
      </c>
      <c r="AE23" t="s">
        <v>87</v>
      </c>
      <c r="AF23" t="s">
        <v>292</v>
      </c>
    </row>
    <row r="24" spans="1:33" x14ac:dyDescent="0.3">
      <c r="B24" t="s">
        <v>486</v>
      </c>
      <c r="C24" t="s">
        <v>291</v>
      </c>
      <c r="E24" t="s">
        <v>546</v>
      </c>
      <c r="F24" t="s">
        <v>291</v>
      </c>
      <c r="I24" t="s">
        <v>292</v>
      </c>
      <c r="K24" t="s">
        <v>74</v>
      </c>
      <c r="L24" t="s">
        <v>291</v>
      </c>
      <c r="O24" t="s">
        <v>345</v>
      </c>
      <c r="P24" t="s">
        <v>291</v>
      </c>
      <c r="T24" t="s">
        <v>534</v>
      </c>
      <c r="V24" t="s">
        <v>87</v>
      </c>
      <c r="W24" t="s">
        <v>291</v>
      </c>
      <c r="Z24" t="s">
        <v>292</v>
      </c>
      <c r="AC24" t="s">
        <v>292</v>
      </c>
      <c r="AE24" t="s">
        <v>87</v>
      </c>
      <c r="AF24" t="s">
        <v>291</v>
      </c>
    </row>
    <row r="25" spans="1:33" x14ac:dyDescent="0.3">
      <c r="A25" t="s">
        <v>589</v>
      </c>
      <c r="B25" t="s">
        <v>589</v>
      </c>
      <c r="C25" t="s">
        <v>292</v>
      </c>
      <c r="D25" t="s">
        <v>546</v>
      </c>
      <c r="E25" t="s">
        <v>546</v>
      </c>
      <c r="F25" t="s">
        <v>292</v>
      </c>
      <c r="I25" t="s">
        <v>292</v>
      </c>
      <c r="J25" t="s">
        <v>74</v>
      </c>
      <c r="K25" t="s">
        <v>74</v>
      </c>
      <c r="L25" t="s">
        <v>292</v>
      </c>
      <c r="M25" t="s">
        <v>473</v>
      </c>
      <c r="O25" t="s">
        <v>179</v>
      </c>
      <c r="P25" t="s">
        <v>291</v>
      </c>
      <c r="R25" t="s">
        <v>341</v>
      </c>
      <c r="S25" t="s">
        <v>340</v>
      </c>
      <c r="T25" t="s">
        <v>534</v>
      </c>
      <c r="U25" t="s">
        <v>87</v>
      </c>
      <c r="V25" t="s">
        <v>87</v>
      </c>
      <c r="W25" t="s">
        <v>292</v>
      </c>
      <c r="Z25" t="s">
        <v>292</v>
      </c>
      <c r="AC25" t="s">
        <v>292</v>
      </c>
      <c r="AD25" t="s">
        <v>87</v>
      </c>
      <c r="AE25" t="s">
        <v>87</v>
      </c>
      <c r="AF25" t="s">
        <v>292</v>
      </c>
    </row>
    <row r="26" spans="1:33" x14ac:dyDescent="0.3">
      <c r="B26" t="s">
        <v>487</v>
      </c>
      <c r="C26" t="s">
        <v>291</v>
      </c>
      <c r="E26" t="s">
        <v>546</v>
      </c>
      <c r="F26" t="s">
        <v>291</v>
      </c>
      <c r="I26" t="s">
        <v>292</v>
      </c>
      <c r="K26" t="s">
        <v>74</v>
      </c>
      <c r="L26" t="s">
        <v>291</v>
      </c>
      <c r="O26" t="s">
        <v>467</v>
      </c>
      <c r="P26" t="s">
        <v>291</v>
      </c>
      <c r="T26" t="s">
        <v>534</v>
      </c>
      <c r="V26" t="s">
        <v>87</v>
      </c>
      <c r="W26" t="s">
        <v>291</v>
      </c>
      <c r="Z26" t="s">
        <v>292</v>
      </c>
      <c r="AC26" t="s">
        <v>292</v>
      </c>
      <c r="AE26" t="s">
        <v>87</v>
      </c>
      <c r="AF26" t="s">
        <v>291</v>
      </c>
    </row>
    <row r="27" spans="1:33" x14ac:dyDescent="0.3">
      <c r="A27" t="s">
        <v>570</v>
      </c>
      <c r="B27" t="s">
        <v>570</v>
      </c>
      <c r="C27" t="s">
        <v>292</v>
      </c>
      <c r="D27" t="s">
        <v>571</v>
      </c>
      <c r="E27" t="s">
        <v>571</v>
      </c>
      <c r="F27" t="s">
        <v>292</v>
      </c>
      <c r="I27" t="s">
        <v>292</v>
      </c>
      <c r="J27" t="s">
        <v>76</v>
      </c>
      <c r="K27" t="s">
        <v>76</v>
      </c>
      <c r="L27" t="s">
        <v>292</v>
      </c>
      <c r="M27" t="s">
        <v>540</v>
      </c>
      <c r="O27" t="s">
        <v>465</v>
      </c>
      <c r="P27" t="s">
        <v>291</v>
      </c>
      <c r="R27" t="s">
        <v>670</v>
      </c>
      <c r="S27" t="s">
        <v>262</v>
      </c>
      <c r="T27" t="s">
        <v>534</v>
      </c>
      <c r="U27" t="s">
        <v>87</v>
      </c>
      <c r="V27" t="s">
        <v>87</v>
      </c>
      <c r="W27" t="s">
        <v>292</v>
      </c>
      <c r="Z27" t="s">
        <v>292</v>
      </c>
      <c r="AC27" t="s">
        <v>292</v>
      </c>
      <c r="AD27" t="s">
        <v>87</v>
      </c>
      <c r="AE27" t="s">
        <v>87</v>
      </c>
      <c r="AF27" t="s">
        <v>292</v>
      </c>
      <c r="AG27" t="s">
        <v>753</v>
      </c>
    </row>
    <row r="28" spans="1:33" x14ac:dyDescent="0.3">
      <c r="B28" t="s">
        <v>488</v>
      </c>
      <c r="C28" t="s">
        <v>291</v>
      </c>
      <c r="E28" t="s">
        <v>546</v>
      </c>
      <c r="F28" t="s">
        <v>291</v>
      </c>
      <c r="I28" t="s">
        <v>292</v>
      </c>
      <c r="K28" t="s">
        <v>74</v>
      </c>
      <c r="L28" t="s">
        <v>291</v>
      </c>
      <c r="O28" t="s">
        <v>467</v>
      </c>
      <c r="P28" t="s">
        <v>291</v>
      </c>
      <c r="T28" t="s">
        <v>534</v>
      </c>
      <c r="V28" t="s">
        <v>87</v>
      </c>
      <c r="W28" t="s">
        <v>291</v>
      </c>
      <c r="Z28" t="s">
        <v>292</v>
      </c>
      <c r="AC28" t="s">
        <v>292</v>
      </c>
      <c r="AE28" t="s">
        <v>87</v>
      </c>
      <c r="AF28" t="s">
        <v>291</v>
      </c>
    </row>
    <row r="29" spans="1:33" x14ac:dyDescent="0.3">
      <c r="A29" t="s">
        <v>740</v>
      </c>
      <c r="B29" t="s">
        <v>740</v>
      </c>
      <c r="C29" t="s">
        <v>292</v>
      </c>
      <c r="D29" t="s">
        <v>576</v>
      </c>
      <c r="E29" t="s">
        <v>576</v>
      </c>
      <c r="F29" t="s">
        <v>292</v>
      </c>
      <c r="I29" t="s">
        <v>292</v>
      </c>
      <c r="J29" t="s">
        <v>339</v>
      </c>
      <c r="K29" t="s">
        <v>339</v>
      </c>
      <c r="L29" t="s">
        <v>292</v>
      </c>
      <c r="M29" t="s">
        <v>536</v>
      </c>
      <c r="O29" t="s">
        <v>462</v>
      </c>
      <c r="P29" t="s">
        <v>291</v>
      </c>
      <c r="R29" t="s">
        <v>255</v>
      </c>
      <c r="S29" t="s">
        <v>262</v>
      </c>
      <c r="T29" t="s">
        <v>534</v>
      </c>
      <c r="U29" t="s">
        <v>87</v>
      </c>
      <c r="V29" t="s">
        <v>87</v>
      </c>
      <c r="W29" t="s">
        <v>292</v>
      </c>
      <c r="Z29" t="s">
        <v>292</v>
      </c>
      <c r="AC29" t="s">
        <v>292</v>
      </c>
      <c r="AD29" t="s">
        <v>87</v>
      </c>
      <c r="AE29" t="s">
        <v>87</v>
      </c>
      <c r="AF29" t="s">
        <v>292</v>
      </c>
    </row>
    <row r="30" spans="1:33" x14ac:dyDescent="0.3">
      <c r="B30" t="s">
        <v>489</v>
      </c>
      <c r="C30" t="s">
        <v>291</v>
      </c>
      <c r="E30" t="s">
        <v>546</v>
      </c>
      <c r="F30" t="s">
        <v>291</v>
      </c>
      <c r="I30" t="s">
        <v>292</v>
      </c>
      <c r="K30" t="s">
        <v>74</v>
      </c>
      <c r="L30" t="s">
        <v>291</v>
      </c>
      <c r="O30" t="s">
        <v>467</v>
      </c>
      <c r="P30" t="s">
        <v>291</v>
      </c>
      <c r="T30" t="s">
        <v>534</v>
      </c>
      <c r="V30" t="s">
        <v>87</v>
      </c>
      <c r="W30" t="s">
        <v>291</v>
      </c>
      <c r="Z30" t="s">
        <v>292</v>
      </c>
      <c r="AC30" t="s">
        <v>292</v>
      </c>
      <c r="AE30" t="s">
        <v>87</v>
      </c>
      <c r="AF30" t="s">
        <v>291</v>
      </c>
    </row>
    <row r="31" spans="1:33" x14ac:dyDescent="0.3">
      <c r="A31" t="s">
        <v>619</v>
      </c>
      <c r="B31" t="s">
        <v>619</v>
      </c>
      <c r="C31" t="s">
        <v>292</v>
      </c>
      <c r="D31" t="s">
        <v>617</v>
      </c>
      <c r="E31" t="s">
        <v>617</v>
      </c>
      <c r="F31" t="s">
        <v>292</v>
      </c>
      <c r="I31" t="s">
        <v>292</v>
      </c>
      <c r="J31" t="s">
        <v>78</v>
      </c>
      <c r="K31" t="s">
        <v>78</v>
      </c>
      <c r="L31" t="s">
        <v>292</v>
      </c>
      <c r="M31" t="s">
        <v>536</v>
      </c>
      <c r="O31" t="s">
        <v>465</v>
      </c>
      <c r="P31" t="s">
        <v>291</v>
      </c>
      <c r="R31" t="s">
        <v>255</v>
      </c>
      <c r="S31" t="s">
        <v>262</v>
      </c>
      <c r="T31" t="s">
        <v>534</v>
      </c>
      <c r="U31" t="s">
        <v>87</v>
      </c>
      <c r="V31" t="s">
        <v>87</v>
      </c>
      <c r="W31" t="s">
        <v>292</v>
      </c>
      <c r="Z31" t="s">
        <v>292</v>
      </c>
      <c r="AC31" t="s">
        <v>292</v>
      </c>
      <c r="AD31" t="s">
        <v>87</v>
      </c>
      <c r="AE31" t="s">
        <v>87</v>
      </c>
      <c r="AF31" t="s">
        <v>292</v>
      </c>
    </row>
    <row r="32" spans="1:33" x14ac:dyDescent="0.3">
      <c r="B32" t="s">
        <v>490</v>
      </c>
      <c r="C32" t="s">
        <v>291</v>
      </c>
      <c r="E32" t="s">
        <v>546</v>
      </c>
      <c r="F32" t="s">
        <v>291</v>
      </c>
      <c r="I32" t="s">
        <v>292</v>
      </c>
      <c r="K32" t="s">
        <v>74</v>
      </c>
      <c r="L32" t="s">
        <v>291</v>
      </c>
      <c r="O32" t="s">
        <v>467</v>
      </c>
      <c r="P32" t="s">
        <v>291</v>
      </c>
      <c r="T32" t="s">
        <v>534</v>
      </c>
      <c r="V32" t="s">
        <v>87</v>
      </c>
      <c r="W32" t="s">
        <v>291</v>
      </c>
      <c r="Z32" t="s">
        <v>292</v>
      </c>
      <c r="AC32" t="s">
        <v>292</v>
      </c>
      <c r="AE32" t="s">
        <v>87</v>
      </c>
      <c r="AF32" t="s">
        <v>291</v>
      </c>
    </row>
    <row r="33" spans="1:33" x14ac:dyDescent="0.3">
      <c r="B33" t="s">
        <v>491</v>
      </c>
      <c r="C33" t="s">
        <v>291</v>
      </c>
      <c r="E33" t="s">
        <v>546</v>
      </c>
      <c r="F33" t="s">
        <v>291</v>
      </c>
      <c r="I33" t="s">
        <v>292</v>
      </c>
      <c r="K33" t="s">
        <v>74</v>
      </c>
      <c r="L33" t="s">
        <v>291</v>
      </c>
      <c r="O33" t="s">
        <v>467</v>
      </c>
      <c r="P33" t="s">
        <v>291</v>
      </c>
      <c r="T33" t="s">
        <v>534</v>
      </c>
      <c r="V33" t="s">
        <v>87</v>
      </c>
      <c r="W33" t="s">
        <v>291</v>
      </c>
      <c r="Z33" t="s">
        <v>292</v>
      </c>
      <c r="AC33" t="s">
        <v>292</v>
      </c>
      <c r="AE33" t="s">
        <v>87</v>
      </c>
      <c r="AF33" t="s">
        <v>291</v>
      </c>
    </row>
    <row r="34" spans="1:33" x14ac:dyDescent="0.3">
      <c r="B34" t="s">
        <v>492</v>
      </c>
      <c r="C34" t="s">
        <v>291</v>
      </c>
      <c r="E34" t="s">
        <v>546</v>
      </c>
      <c r="F34" t="s">
        <v>291</v>
      </c>
      <c r="I34" t="s">
        <v>292</v>
      </c>
      <c r="K34" t="s">
        <v>74</v>
      </c>
      <c r="L34" t="s">
        <v>291</v>
      </c>
      <c r="O34" t="s">
        <v>467</v>
      </c>
      <c r="P34" t="s">
        <v>291</v>
      </c>
      <c r="T34" t="s">
        <v>534</v>
      </c>
      <c r="V34" t="s">
        <v>87</v>
      </c>
      <c r="W34" t="s">
        <v>291</v>
      </c>
      <c r="Z34" t="s">
        <v>292</v>
      </c>
      <c r="AC34" t="s">
        <v>292</v>
      </c>
      <c r="AE34" t="s">
        <v>87</v>
      </c>
      <c r="AF34" t="s">
        <v>291</v>
      </c>
    </row>
    <row r="35" spans="1:33" x14ac:dyDescent="0.3">
      <c r="A35" t="s">
        <v>732</v>
      </c>
      <c r="B35" t="s">
        <v>732</v>
      </c>
      <c r="C35" t="s">
        <v>292</v>
      </c>
      <c r="D35" t="s">
        <v>549</v>
      </c>
      <c r="E35" t="s">
        <v>549</v>
      </c>
      <c r="F35" t="s">
        <v>292</v>
      </c>
      <c r="I35" t="s">
        <v>292</v>
      </c>
      <c r="J35" t="s">
        <v>76</v>
      </c>
      <c r="K35" t="s">
        <v>76</v>
      </c>
      <c r="L35" t="s">
        <v>292</v>
      </c>
      <c r="M35" t="s">
        <v>536</v>
      </c>
      <c r="O35" t="s">
        <v>455</v>
      </c>
      <c r="P35" t="s">
        <v>291</v>
      </c>
      <c r="R35" t="s">
        <v>255</v>
      </c>
      <c r="S35" t="s">
        <v>262</v>
      </c>
      <c r="T35" t="s">
        <v>534</v>
      </c>
      <c r="U35" t="s">
        <v>87</v>
      </c>
      <c r="V35" t="s">
        <v>87</v>
      </c>
      <c r="W35" t="s">
        <v>292</v>
      </c>
      <c r="Z35" t="s">
        <v>292</v>
      </c>
      <c r="AC35" t="s">
        <v>292</v>
      </c>
      <c r="AD35" t="s">
        <v>87</v>
      </c>
      <c r="AE35" t="s">
        <v>87</v>
      </c>
      <c r="AF35" t="s">
        <v>292</v>
      </c>
    </row>
    <row r="36" spans="1:33" x14ac:dyDescent="0.3">
      <c r="B36" t="s">
        <v>493</v>
      </c>
      <c r="C36" t="s">
        <v>291</v>
      </c>
      <c r="E36" t="s">
        <v>546</v>
      </c>
      <c r="F36" t="s">
        <v>291</v>
      </c>
      <c r="I36" t="s">
        <v>292</v>
      </c>
      <c r="K36" t="s">
        <v>74</v>
      </c>
      <c r="L36" t="s">
        <v>291</v>
      </c>
      <c r="O36" t="s">
        <v>467</v>
      </c>
      <c r="P36" t="s">
        <v>291</v>
      </c>
      <c r="T36" t="s">
        <v>534</v>
      </c>
      <c r="V36" t="s">
        <v>87</v>
      </c>
      <c r="W36" t="s">
        <v>291</v>
      </c>
      <c r="Z36" t="s">
        <v>292</v>
      </c>
      <c r="AC36" t="s">
        <v>292</v>
      </c>
      <c r="AE36" t="s">
        <v>87</v>
      </c>
      <c r="AF36" t="s">
        <v>291</v>
      </c>
    </row>
    <row r="37" spans="1:33" x14ac:dyDescent="0.3">
      <c r="A37" t="s">
        <v>554</v>
      </c>
      <c r="B37" t="s">
        <v>554</v>
      </c>
      <c r="C37" t="s">
        <v>292</v>
      </c>
      <c r="D37" t="s">
        <v>555</v>
      </c>
      <c r="E37" t="s">
        <v>555</v>
      </c>
      <c r="F37" t="s">
        <v>292</v>
      </c>
      <c r="I37" t="s">
        <v>292</v>
      </c>
      <c r="J37" t="s">
        <v>339</v>
      </c>
      <c r="K37" t="s">
        <v>339</v>
      </c>
      <c r="L37" t="s">
        <v>292</v>
      </c>
      <c r="M37" t="s">
        <v>454</v>
      </c>
      <c r="O37" t="s">
        <v>462</v>
      </c>
      <c r="P37" t="s">
        <v>291</v>
      </c>
      <c r="Q37" t="s">
        <v>654</v>
      </c>
      <c r="R37" t="s">
        <v>469</v>
      </c>
      <c r="S37" t="s">
        <v>262</v>
      </c>
      <c r="T37" t="s">
        <v>534</v>
      </c>
      <c r="U37" t="s">
        <v>87</v>
      </c>
      <c r="V37" t="s">
        <v>87</v>
      </c>
      <c r="W37" t="s">
        <v>292</v>
      </c>
      <c r="Z37" t="s">
        <v>292</v>
      </c>
      <c r="AC37" t="s">
        <v>292</v>
      </c>
      <c r="AD37" t="s">
        <v>87</v>
      </c>
      <c r="AE37" t="s">
        <v>87</v>
      </c>
      <c r="AF37" t="s">
        <v>292</v>
      </c>
    </row>
    <row r="38" spans="1:33" x14ac:dyDescent="0.3">
      <c r="B38" t="s">
        <v>494</v>
      </c>
      <c r="C38" t="s">
        <v>291</v>
      </c>
      <c r="E38" t="s">
        <v>546</v>
      </c>
      <c r="F38" t="s">
        <v>291</v>
      </c>
      <c r="I38" t="s">
        <v>292</v>
      </c>
      <c r="K38" t="s">
        <v>74</v>
      </c>
      <c r="L38" t="s">
        <v>291</v>
      </c>
      <c r="O38" t="s">
        <v>467</v>
      </c>
      <c r="P38" t="s">
        <v>291</v>
      </c>
      <c r="T38" t="s">
        <v>534</v>
      </c>
      <c r="V38" t="s">
        <v>87</v>
      </c>
      <c r="W38" t="s">
        <v>291</v>
      </c>
      <c r="Z38" t="s">
        <v>292</v>
      </c>
      <c r="AC38" t="s">
        <v>292</v>
      </c>
      <c r="AE38" t="s">
        <v>87</v>
      </c>
      <c r="AF38" t="s">
        <v>291</v>
      </c>
    </row>
    <row r="39" spans="1:33" x14ac:dyDescent="0.3">
      <c r="A39" t="s">
        <v>736</v>
      </c>
      <c r="B39" t="s">
        <v>736</v>
      </c>
      <c r="C39" t="s">
        <v>292</v>
      </c>
      <c r="D39" t="s">
        <v>673</v>
      </c>
      <c r="E39" t="s">
        <v>673</v>
      </c>
      <c r="F39" t="s">
        <v>292</v>
      </c>
      <c r="I39" t="s">
        <v>292</v>
      </c>
      <c r="J39" t="s">
        <v>394</v>
      </c>
      <c r="K39" t="s">
        <v>394</v>
      </c>
      <c r="L39" t="s">
        <v>292</v>
      </c>
      <c r="M39" t="s">
        <v>261</v>
      </c>
      <c r="O39" t="s">
        <v>462</v>
      </c>
      <c r="P39" t="s">
        <v>291</v>
      </c>
      <c r="Q39" t="s">
        <v>683</v>
      </c>
      <c r="R39" t="s">
        <v>478</v>
      </c>
      <c r="S39" t="s">
        <v>262</v>
      </c>
      <c r="T39" t="s">
        <v>534</v>
      </c>
      <c r="U39" t="s">
        <v>87</v>
      </c>
      <c r="V39" t="s">
        <v>87</v>
      </c>
      <c r="W39" t="s">
        <v>292</v>
      </c>
      <c r="Z39" t="s">
        <v>292</v>
      </c>
      <c r="AC39" t="s">
        <v>292</v>
      </c>
      <c r="AD39" t="s">
        <v>87</v>
      </c>
      <c r="AE39" t="s">
        <v>87</v>
      </c>
      <c r="AF39" t="s">
        <v>292</v>
      </c>
    </row>
    <row r="40" spans="1:33" x14ac:dyDescent="0.3">
      <c r="B40" t="s">
        <v>495</v>
      </c>
      <c r="C40" t="s">
        <v>291</v>
      </c>
      <c r="E40" t="s">
        <v>546</v>
      </c>
      <c r="F40" t="s">
        <v>291</v>
      </c>
      <c r="I40" t="s">
        <v>292</v>
      </c>
      <c r="K40" t="s">
        <v>74</v>
      </c>
      <c r="L40" t="s">
        <v>291</v>
      </c>
      <c r="O40" t="s">
        <v>467</v>
      </c>
      <c r="P40" t="s">
        <v>291</v>
      </c>
      <c r="T40" t="s">
        <v>534</v>
      </c>
      <c r="V40" t="s">
        <v>87</v>
      </c>
      <c r="W40" t="s">
        <v>291</v>
      </c>
      <c r="Z40" t="s">
        <v>292</v>
      </c>
      <c r="AC40" t="s">
        <v>292</v>
      </c>
      <c r="AE40" t="s">
        <v>87</v>
      </c>
      <c r="AF40" t="s">
        <v>291</v>
      </c>
    </row>
    <row r="41" spans="1:33" x14ac:dyDescent="0.3">
      <c r="A41" t="s">
        <v>565</v>
      </c>
      <c r="B41" t="s">
        <v>565</v>
      </c>
      <c r="C41" t="s">
        <v>292</v>
      </c>
      <c r="D41" t="s">
        <v>566</v>
      </c>
      <c r="E41" t="s">
        <v>566</v>
      </c>
      <c r="F41" t="s">
        <v>292</v>
      </c>
      <c r="I41" t="s">
        <v>292</v>
      </c>
      <c r="J41" t="s">
        <v>78</v>
      </c>
      <c r="K41" t="s">
        <v>78</v>
      </c>
      <c r="L41" t="s">
        <v>292</v>
      </c>
      <c r="M41" t="s">
        <v>543</v>
      </c>
      <c r="O41" t="s">
        <v>462</v>
      </c>
      <c r="P41" t="s">
        <v>291</v>
      </c>
      <c r="Q41" t="s">
        <v>680</v>
      </c>
      <c r="R41" t="s">
        <v>655</v>
      </c>
      <c r="S41" t="s">
        <v>262</v>
      </c>
      <c r="T41" t="s">
        <v>534</v>
      </c>
      <c r="U41" t="s">
        <v>87</v>
      </c>
      <c r="V41" t="s">
        <v>87</v>
      </c>
      <c r="W41" t="s">
        <v>292</v>
      </c>
      <c r="Z41" t="s">
        <v>292</v>
      </c>
      <c r="AC41" t="s">
        <v>292</v>
      </c>
      <c r="AD41" t="s">
        <v>87</v>
      </c>
      <c r="AE41" t="s">
        <v>87</v>
      </c>
      <c r="AF41" t="s">
        <v>292</v>
      </c>
      <c r="AG41" t="s">
        <v>632</v>
      </c>
    </row>
    <row r="42" spans="1:33" x14ac:dyDescent="0.3">
      <c r="B42" t="s">
        <v>496</v>
      </c>
      <c r="C42" t="s">
        <v>291</v>
      </c>
      <c r="E42" t="s">
        <v>546</v>
      </c>
      <c r="F42" t="s">
        <v>291</v>
      </c>
      <c r="I42" t="s">
        <v>292</v>
      </c>
      <c r="K42" t="s">
        <v>74</v>
      </c>
      <c r="L42" t="s">
        <v>291</v>
      </c>
      <c r="O42" t="s">
        <v>467</v>
      </c>
      <c r="P42" t="s">
        <v>291</v>
      </c>
      <c r="T42" t="s">
        <v>534</v>
      </c>
      <c r="V42" t="s">
        <v>87</v>
      </c>
      <c r="W42" t="s">
        <v>291</v>
      </c>
      <c r="Z42" t="s">
        <v>292</v>
      </c>
      <c r="AC42" t="s">
        <v>292</v>
      </c>
      <c r="AE42" t="s">
        <v>87</v>
      </c>
      <c r="AF42" t="s">
        <v>291</v>
      </c>
    </row>
    <row r="43" spans="1:33" x14ac:dyDescent="0.3">
      <c r="A43" t="s">
        <v>552</v>
      </c>
      <c r="B43" t="s">
        <v>552</v>
      </c>
      <c r="C43" t="s">
        <v>292</v>
      </c>
      <c r="D43" t="s">
        <v>553</v>
      </c>
      <c r="E43" t="s">
        <v>553</v>
      </c>
      <c r="F43" t="s">
        <v>292</v>
      </c>
      <c r="I43" t="s">
        <v>292</v>
      </c>
      <c r="J43" t="s">
        <v>78</v>
      </c>
      <c r="K43" t="s">
        <v>78</v>
      </c>
      <c r="L43" t="s">
        <v>292</v>
      </c>
      <c r="M43" t="s">
        <v>477</v>
      </c>
      <c r="O43" t="s">
        <v>462</v>
      </c>
      <c r="P43" t="s">
        <v>291</v>
      </c>
      <c r="R43" t="s">
        <v>541</v>
      </c>
      <c r="S43" t="s">
        <v>262</v>
      </c>
      <c r="T43" t="s">
        <v>534</v>
      </c>
      <c r="U43" t="s">
        <v>87</v>
      </c>
      <c r="V43" t="s">
        <v>87</v>
      </c>
      <c r="W43" t="s">
        <v>292</v>
      </c>
      <c r="Z43" t="s">
        <v>292</v>
      </c>
      <c r="AC43" t="s">
        <v>292</v>
      </c>
      <c r="AD43" t="s">
        <v>87</v>
      </c>
      <c r="AE43" t="s">
        <v>87</v>
      </c>
      <c r="AF43" t="s">
        <v>292</v>
      </c>
      <c r="AG43" t="s">
        <v>628</v>
      </c>
    </row>
    <row r="44" spans="1:33" x14ac:dyDescent="0.3">
      <c r="B44" t="s">
        <v>497</v>
      </c>
      <c r="C44" t="s">
        <v>291</v>
      </c>
      <c r="E44" t="s">
        <v>546</v>
      </c>
      <c r="F44" t="s">
        <v>291</v>
      </c>
      <c r="I44" t="s">
        <v>292</v>
      </c>
      <c r="K44" t="s">
        <v>74</v>
      </c>
      <c r="L44" t="s">
        <v>291</v>
      </c>
      <c r="O44" t="s">
        <v>467</v>
      </c>
      <c r="P44" t="s">
        <v>291</v>
      </c>
      <c r="T44" t="s">
        <v>534</v>
      </c>
      <c r="V44" t="s">
        <v>87</v>
      </c>
      <c r="W44" t="s">
        <v>291</v>
      </c>
      <c r="Z44" t="s">
        <v>292</v>
      </c>
      <c r="AC44" t="s">
        <v>292</v>
      </c>
      <c r="AE44" t="s">
        <v>87</v>
      </c>
      <c r="AF44" t="s">
        <v>291</v>
      </c>
    </row>
    <row r="45" spans="1:33" x14ac:dyDescent="0.3">
      <c r="A45" t="s">
        <v>711</v>
      </c>
      <c r="B45" t="s">
        <v>711</v>
      </c>
      <c r="C45" t="s">
        <v>292</v>
      </c>
      <c r="D45" t="s">
        <v>546</v>
      </c>
      <c r="E45" t="s">
        <v>546</v>
      </c>
      <c r="F45" t="s">
        <v>292</v>
      </c>
      <c r="I45" t="s">
        <v>292</v>
      </c>
      <c r="J45" t="s">
        <v>74</v>
      </c>
      <c r="K45" t="s">
        <v>74</v>
      </c>
      <c r="L45" t="s">
        <v>292</v>
      </c>
      <c r="M45" t="s">
        <v>473</v>
      </c>
      <c r="O45" t="s">
        <v>468</v>
      </c>
      <c r="P45" t="s">
        <v>291</v>
      </c>
      <c r="R45" t="s">
        <v>341</v>
      </c>
      <c r="S45" t="s">
        <v>340</v>
      </c>
      <c r="T45" t="s">
        <v>534</v>
      </c>
      <c r="U45" t="s">
        <v>87</v>
      </c>
      <c r="V45" t="s">
        <v>87</v>
      </c>
      <c r="W45" t="s">
        <v>292</v>
      </c>
      <c r="Z45" t="s">
        <v>292</v>
      </c>
      <c r="AC45" t="s">
        <v>292</v>
      </c>
      <c r="AD45" t="s">
        <v>87</v>
      </c>
      <c r="AE45" t="s">
        <v>87</v>
      </c>
      <c r="AF45" t="s">
        <v>292</v>
      </c>
    </row>
    <row r="46" spans="1:33" x14ac:dyDescent="0.3">
      <c r="B46" t="s">
        <v>498</v>
      </c>
      <c r="C46" t="s">
        <v>291</v>
      </c>
      <c r="E46" t="s">
        <v>546</v>
      </c>
      <c r="F46" t="s">
        <v>291</v>
      </c>
      <c r="I46" t="s">
        <v>292</v>
      </c>
      <c r="K46" t="s">
        <v>74</v>
      </c>
      <c r="L46" t="s">
        <v>291</v>
      </c>
      <c r="O46" t="s">
        <v>467</v>
      </c>
      <c r="P46" t="s">
        <v>291</v>
      </c>
      <c r="T46" t="s">
        <v>534</v>
      </c>
      <c r="V46" t="s">
        <v>87</v>
      </c>
      <c r="W46" t="s">
        <v>291</v>
      </c>
      <c r="Z46" t="s">
        <v>292</v>
      </c>
      <c r="AC46" t="s">
        <v>292</v>
      </c>
      <c r="AE46" t="s">
        <v>87</v>
      </c>
      <c r="AF46" t="s">
        <v>291</v>
      </c>
    </row>
    <row r="47" spans="1:33" x14ac:dyDescent="0.3">
      <c r="A47" t="s">
        <v>719</v>
      </c>
      <c r="B47" t="s">
        <v>719</v>
      </c>
      <c r="C47" t="s">
        <v>292</v>
      </c>
      <c r="D47" t="s">
        <v>546</v>
      </c>
      <c r="E47" t="s">
        <v>546</v>
      </c>
      <c r="F47" t="s">
        <v>292</v>
      </c>
      <c r="I47" t="s">
        <v>292</v>
      </c>
      <c r="J47" t="s">
        <v>74</v>
      </c>
      <c r="K47" t="s">
        <v>74</v>
      </c>
      <c r="L47" t="s">
        <v>292</v>
      </c>
      <c r="M47" t="s">
        <v>473</v>
      </c>
      <c r="O47" t="s">
        <v>462</v>
      </c>
      <c r="P47" t="s">
        <v>291</v>
      </c>
      <c r="R47" t="s">
        <v>341</v>
      </c>
      <c r="S47" t="s">
        <v>340</v>
      </c>
      <c r="T47" t="s">
        <v>534</v>
      </c>
      <c r="U47" t="s">
        <v>87</v>
      </c>
      <c r="V47" t="s">
        <v>87</v>
      </c>
      <c r="W47" t="s">
        <v>292</v>
      </c>
      <c r="Z47" t="s">
        <v>292</v>
      </c>
      <c r="AC47" t="s">
        <v>292</v>
      </c>
      <c r="AD47" t="s">
        <v>87</v>
      </c>
      <c r="AE47" t="s">
        <v>87</v>
      </c>
      <c r="AF47" t="s">
        <v>292</v>
      </c>
    </row>
    <row r="48" spans="1:33" x14ac:dyDescent="0.3">
      <c r="B48" t="s">
        <v>499</v>
      </c>
      <c r="C48" t="s">
        <v>291</v>
      </c>
      <c r="E48" t="s">
        <v>546</v>
      </c>
      <c r="F48" t="s">
        <v>291</v>
      </c>
      <c r="I48" t="s">
        <v>292</v>
      </c>
      <c r="K48" t="s">
        <v>74</v>
      </c>
      <c r="L48" t="s">
        <v>291</v>
      </c>
      <c r="O48" t="s">
        <v>467</v>
      </c>
      <c r="P48" t="s">
        <v>291</v>
      </c>
      <c r="T48" t="s">
        <v>534</v>
      </c>
      <c r="V48" t="s">
        <v>87</v>
      </c>
      <c r="W48" t="s">
        <v>291</v>
      </c>
      <c r="Z48" t="s">
        <v>292</v>
      </c>
      <c r="AC48" t="s">
        <v>292</v>
      </c>
      <c r="AE48" t="s">
        <v>87</v>
      </c>
      <c r="AF48" t="s">
        <v>291</v>
      </c>
    </row>
    <row r="49" spans="1:32" x14ac:dyDescent="0.3">
      <c r="A49" t="s">
        <v>729</v>
      </c>
      <c r="B49" t="s">
        <v>729</v>
      </c>
      <c r="C49" t="s">
        <v>292</v>
      </c>
      <c r="D49" t="s">
        <v>546</v>
      </c>
      <c r="E49" t="s">
        <v>546</v>
      </c>
      <c r="F49" t="s">
        <v>292</v>
      </c>
      <c r="I49" t="s">
        <v>292</v>
      </c>
      <c r="J49" t="s">
        <v>74</v>
      </c>
      <c r="K49" t="s">
        <v>74</v>
      </c>
      <c r="L49" t="s">
        <v>292</v>
      </c>
      <c r="M49" t="s">
        <v>473</v>
      </c>
      <c r="O49" t="s">
        <v>462</v>
      </c>
      <c r="P49" t="s">
        <v>291</v>
      </c>
      <c r="R49" t="s">
        <v>341</v>
      </c>
      <c r="S49" t="s">
        <v>340</v>
      </c>
      <c r="T49" t="s">
        <v>534</v>
      </c>
      <c r="U49" t="s">
        <v>87</v>
      </c>
      <c r="V49" t="s">
        <v>87</v>
      </c>
      <c r="W49" t="s">
        <v>292</v>
      </c>
      <c r="Z49" t="s">
        <v>292</v>
      </c>
      <c r="AC49" t="s">
        <v>292</v>
      </c>
      <c r="AD49" t="s">
        <v>87</v>
      </c>
      <c r="AE49" t="s">
        <v>87</v>
      </c>
      <c r="AF49" t="s">
        <v>292</v>
      </c>
    </row>
    <row r="50" spans="1:32" x14ac:dyDescent="0.3">
      <c r="B50" t="s">
        <v>500</v>
      </c>
      <c r="C50" t="s">
        <v>291</v>
      </c>
      <c r="E50" t="s">
        <v>546</v>
      </c>
      <c r="F50" t="s">
        <v>291</v>
      </c>
      <c r="I50" t="s">
        <v>292</v>
      </c>
      <c r="K50" t="s">
        <v>74</v>
      </c>
      <c r="L50" t="s">
        <v>291</v>
      </c>
      <c r="O50" t="s">
        <v>467</v>
      </c>
      <c r="P50" t="s">
        <v>291</v>
      </c>
      <c r="T50" t="s">
        <v>534</v>
      </c>
      <c r="V50" t="s">
        <v>87</v>
      </c>
      <c r="W50" t="s">
        <v>291</v>
      </c>
      <c r="Z50" t="s">
        <v>292</v>
      </c>
      <c r="AC50" t="s">
        <v>292</v>
      </c>
      <c r="AE50" t="s">
        <v>87</v>
      </c>
      <c r="AF50" t="s">
        <v>291</v>
      </c>
    </row>
    <row r="51" spans="1:32" x14ac:dyDescent="0.3">
      <c r="A51" t="s">
        <v>694</v>
      </c>
      <c r="B51" t="s">
        <v>694</v>
      </c>
      <c r="C51" t="s">
        <v>292</v>
      </c>
      <c r="D51" t="s">
        <v>546</v>
      </c>
      <c r="E51" t="s">
        <v>546</v>
      </c>
      <c r="F51" t="s">
        <v>292</v>
      </c>
      <c r="I51" t="s">
        <v>292</v>
      </c>
      <c r="J51" t="s">
        <v>74</v>
      </c>
      <c r="K51" t="s">
        <v>74</v>
      </c>
      <c r="L51" t="s">
        <v>292</v>
      </c>
      <c r="M51" t="s">
        <v>473</v>
      </c>
      <c r="O51" t="s">
        <v>462</v>
      </c>
      <c r="P51" t="s">
        <v>291</v>
      </c>
      <c r="R51" t="s">
        <v>341</v>
      </c>
      <c r="S51" t="s">
        <v>340</v>
      </c>
      <c r="T51" t="s">
        <v>534</v>
      </c>
      <c r="U51" t="s">
        <v>87</v>
      </c>
      <c r="V51" t="s">
        <v>87</v>
      </c>
      <c r="W51" t="s">
        <v>292</v>
      </c>
      <c r="Z51" t="s">
        <v>292</v>
      </c>
      <c r="AC51" t="s">
        <v>292</v>
      </c>
      <c r="AD51" t="s">
        <v>87</v>
      </c>
      <c r="AE51" t="s">
        <v>87</v>
      </c>
      <c r="AF51" t="s">
        <v>292</v>
      </c>
    </row>
    <row r="52" spans="1:32" x14ac:dyDescent="0.3">
      <c r="B52" t="s">
        <v>501</v>
      </c>
      <c r="C52" t="s">
        <v>291</v>
      </c>
      <c r="E52" t="s">
        <v>546</v>
      </c>
      <c r="F52" t="s">
        <v>291</v>
      </c>
      <c r="I52" t="s">
        <v>292</v>
      </c>
      <c r="K52" t="s">
        <v>74</v>
      </c>
      <c r="L52" t="s">
        <v>291</v>
      </c>
      <c r="O52" t="s">
        <v>467</v>
      </c>
      <c r="P52" t="s">
        <v>291</v>
      </c>
      <c r="T52" t="s">
        <v>534</v>
      </c>
      <c r="V52" t="s">
        <v>87</v>
      </c>
      <c r="W52" t="s">
        <v>291</v>
      </c>
      <c r="Z52" t="s">
        <v>292</v>
      </c>
      <c r="AC52" t="s">
        <v>292</v>
      </c>
      <c r="AE52" t="s">
        <v>87</v>
      </c>
      <c r="AF52" t="s">
        <v>291</v>
      </c>
    </row>
    <row r="53" spans="1:32" x14ac:dyDescent="0.3">
      <c r="A53" t="s">
        <v>691</v>
      </c>
      <c r="B53" t="s">
        <v>691</v>
      </c>
      <c r="C53" t="s">
        <v>292</v>
      </c>
      <c r="D53" t="s">
        <v>546</v>
      </c>
      <c r="E53" t="s">
        <v>546</v>
      </c>
      <c r="F53" t="s">
        <v>292</v>
      </c>
      <c r="I53" t="s">
        <v>292</v>
      </c>
      <c r="J53" t="s">
        <v>74</v>
      </c>
      <c r="K53" t="s">
        <v>74</v>
      </c>
      <c r="L53" t="s">
        <v>292</v>
      </c>
      <c r="M53" t="s">
        <v>473</v>
      </c>
      <c r="O53" t="s">
        <v>468</v>
      </c>
      <c r="P53" t="s">
        <v>291</v>
      </c>
      <c r="R53" t="s">
        <v>341</v>
      </c>
      <c r="S53" t="s">
        <v>340</v>
      </c>
      <c r="T53" t="s">
        <v>534</v>
      </c>
      <c r="U53" t="s">
        <v>87</v>
      </c>
      <c r="V53" t="s">
        <v>87</v>
      </c>
      <c r="W53" t="s">
        <v>292</v>
      </c>
      <c r="Z53" t="s">
        <v>292</v>
      </c>
      <c r="AC53" t="s">
        <v>292</v>
      </c>
      <c r="AD53" t="s">
        <v>87</v>
      </c>
      <c r="AE53" t="s">
        <v>87</v>
      </c>
      <c r="AF53" t="s">
        <v>292</v>
      </c>
    </row>
    <row r="54" spans="1:32" x14ac:dyDescent="0.3">
      <c r="B54" t="s">
        <v>502</v>
      </c>
      <c r="C54" t="s">
        <v>291</v>
      </c>
      <c r="E54" t="s">
        <v>546</v>
      </c>
      <c r="F54" t="s">
        <v>291</v>
      </c>
      <c r="I54" t="s">
        <v>292</v>
      </c>
      <c r="K54" t="s">
        <v>74</v>
      </c>
      <c r="L54" t="s">
        <v>291</v>
      </c>
      <c r="O54" t="s">
        <v>467</v>
      </c>
      <c r="P54" t="s">
        <v>291</v>
      </c>
      <c r="T54" t="s">
        <v>534</v>
      </c>
      <c r="V54" t="s">
        <v>87</v>
      </c>
      <c r="W54" t="s">
        <v>291</v>
      </c>
      <c r="Z54" t="s">
        <v>292</v>
      </c>
      <c r="AC54" t="s">
        <v>292</v>
      </c>
      <c r="AE54" t="s">
        <v>87</v>
      </c>
      <c r="AF54" t="s">
        <v>291</v>
      </c>
    </row>
    <row r="55" spans="1:32" x14ac:dyDescent="0.3">
      <c r="B55" t="s">
        <v>503</v>
      </c>
      <c r="C55" t="s">
        <v>291</v>
      </c>
      <c r="E55" t="s">
        <v>546</v>
      </c>
      <c r="F55" t="s">
        <v>291</v>
      </c>
      <c r="I55" t="s">
        <v>292</v>
      </c>
      <c r="K55" t="s">
        <v>74</v>
      </c>
      <c r="L55" t="s">
        <v>291</v>
      </c>
      <c r="O55" t="s">
        <v>467</v>
      </c>
      <c r="P55" t="s">
        <v>291</v>
      </c>
      <c r="T55" t="s">
        <v>534</v>
      </c>
      <c r="V55" t="s">
        <v>87</v>
      </c>
      <c r="W55" t="s">
        <v>291</v>
      </c>
      <c r="Z55" t="s">
        <v>292</v>
      </c>
      <c r="AC55" t="s">
        <v>292</v>
      </c>
      <c r="AE55" t="s">
        <v>87</v>
      </c>
      <c r="AF55" t="s">
        <v>291</v>
      </c>
    </row>
    <row r="56" spans="1:32" x14ac:dyDescent="0.3">
      <c r="B56" t="s">
        <v>504</v>
      </c>
      <c r="C56" t="s">
        <v>291</v>
      </c>
      <c r="E56" t="s">
        <v>546</v>
      </c>
      <c r="F56" t="s">
        <v>291</v>
      </c>
      <c r="I56" t="s">
        <v>292</v>
      </c>
      <c r="K56" t="s">
        <v>74</v>
      </c>
      <c r="L56" t="s">
        <v>291</v>
      </c>
      <c r="O56" t="s">
        <v>467</v>
      </c>
      <c r="P56" t="s">
        <v>291</v>
      </c>
      <c r="T56" t="s">
        <v>534</v>
      </c>
      <c r="V56" t="s">
        <v>87</v>
      </c>
      <c r="W56" t="s">
        <v>291</v>
      </c>
      <c r="Z56" t="s">
        <v>292</v>
      </c>
      <c r="AC56" t="s">
        <v>292</v>
      </c>
      <c r="AE56" t="s">
        <v>87</v>
      </c>
      <c r="AF56" t="s">
        <v>291</v>
      </c>
    </row>
    <row r="57" spans="1:32" x14ac:dyDescent="0.3">
      <c r="A57" t="s">
        <v>583</v>
      </c>
      <c r="B57" t="s">
        <v>583</v>
      </c>
      <c r="C57" t="s">
        <v>292</v>
      </c>
      <c r="D57" t="s">
        <v>546</v>
      </c>
      <c r="E57" t="s">
        <v>546</v>
      </c>
      <c r="F57" t="s">
        <v>292</v>
      </c>
      <c r="I57" t="s">
        <v>292</v>
      </c>
      <c r="J57" t="s">
        <v>74</v>
      </c>
      <c r="K57" t="s">
        <v>74</v>
      </c>
      <c r="L57" t="s">
        <v>292</v>
      </c>
      <c r="M57" t="s">
        <v>473</v>
      </c>
      <c r="O57" t="s">
        <v>465</v>
      </c>
      <c r="P57" t="s">
        <v>291</v>
      </c>
      <c r="R57" t="s">
        <v>341</v>
      </c>
      <c r="S57" t="s">
        <v>340</v>
      </c>
      <c r="T57" t="s">
        <v>534</v>
      </c>
      <c r="U57" t="s">
        <v>87</v>
      </c>
      <c r="V57" t="s">
        <v>87</v>
      </c>
      <c r="W57" t="s">
        <v>292</v>
      </c>
      <c r="Z57" t="s">
        <v>292</v>
      </c>
      <c r="AC57" t="s">
        <v>292</v>
      </c>
      <c r="AD57" t="s">
        <v>87</v>
      </c>
      <c r="AE57" t="s">
        <v>87</v>
      </c>
      <c r="AF57" t="s">
        <v>292</v>
      </c>
    </row>
    <row r="58" spans="1:32" x14ac:dyDescent="0.3">
      <c r="B58" t="s">
        <v>505</v>
      </c>
      <c r="C58" t="s">
        <v>291</v>
      </c>
      <c r="E58" t="s">
        <v>546</v>
      </c>
      <c r="F58" t="s">
        <v>291</v>
      </c>
      <c r="I58" t="s">
        <v>292</v>
      </c>
      <c r="K58" t="s">
        <v>74</v>
      </c>
      <c r="L58" t="s">
        <v>291</v>
      </c>
      <c r="O58" t="s">
        <v>467</v>
      </c>
      <c r="P58" t="s">
        <v>291</v>
      </c>
      <c r="T58" t="s">
        <v>534</v>
      </c>
      <c r="V58" t="s">
        <v>87</v>
      </c>
      <c r="W58" t="s">
        <v>291</v>
      </c>
      <c r="Z58" t="s">
        <v>292</v>
      </c>
      <c r="AC58" t="s">
        <v>292</v>
      </c>
      <c r="AE58" t="s">
        <v>87</v>
      </c>
      <c r="AF58" t="s">
        <v>291</v>
      </c>
    </row>
    <row r="59" spans="1:32" x14ac:dyDescent="0.3">
      <c r="A59" t="s">
        <v>603</v>
      </c>
      <c r="B59" t="s">
        <v>603</v>
      </c>
      <c r="C59" t="s">
        <v>292</v>
      </c>
      <c r="D59" t="s">
        <v>546</v>
      </c>
      <c r="E59" t="s">
        <v>546</v>
      </c>
      <c r="F59" t="s">
        <v>292</v>
      </c>
      <c r="I59" t="s">
        <v>292</v>
      </c>
      <c r="J59" t="s">
        <v>74</v>
      </c>
      <c r="K59" t="s">
        <v>74</v>
      </c>
      <c r="L59" t="s">
        <v>292</v>
      </c>
      <c r="M59" t="s">
        <v>473</v>
      </c>
      <c r="O59" t="s">
        <v>465</v>
      </c>
      <c r="P59" t="s">
        <v>291</v>
      </c>
      <c r="R59" t="s">
        <v>341</v>
      </c>
      <c r="S59" t="s">
        <v>340</v>
      </c>
      <c r="T59" t="s">
        <v>534</v>
      </c>
      <c r="U59" t="s">
        <v>87</v>
      </c>
      <c r="V59" t="s">
        <v>87</v>
      </c>
      <c r="W59" t="s">
        <v>292</v>
      </c>
      <c r="Z59" t="s">
        <v>292</v>
      </c>
      <c r="AC59" t="s">
        <v>292</v>
      </c>
      <c r="AD59" t="s">
        <v>87</v>
      </c>
      <c r="AE59" t="s">
        <v>87</v>
      </c>
      <c r="AF59" t="s">
        <v>292</v>
      </c>
    </row>
    <row r="60" spans="1:32" x14ac:dyDescent="0.3">
      <c r="B60" t="s">
        <v>506</v>
      </c>
      <c r="C60" t="s">
        <v>291</v>
      </c>
      <c r="E60" t="s">
        <v>546</v>
      </c>
      <c r="F60" t="s">
        <v>291</v>
      </c>
      <c r="I60" t="s">
        <v>292</v>
      </c>
      <c r="K60" t="s">
        <v>74</v>
      </c>
      <c r="L60" t="s">
        <v>291</v>
      </c>
      <c r="O60" t="s">
        <v>467</v>
      </c>
      <c r="P60" t="s">
        <v>291</v>
      </c>
      <c r="T60" t="s">
        <v>534</v>
      </c>
      <c r="V60" t="s">
        <v>87</v>
      </c>
      <c r="W60" t="s">
        <v>291</v>
      </c>
      <c r="Z60" t="s">
        <v>292</v>
      </c>
      <c r="AC60" t="s">
        <v>292</v>
      </c>
      <c r="AE60" t="s">
        <v>87</v>
      </c>
      <c r="AF60" t="s">
        <v>291</v>
      </c>
    </row>
    <row r="61" spans="1:32" x14ac:dyDescent="0.3">
      <c r="A61" t="s">
        <v>620</v>
      </c>
      <c r="B61" t="s">
        <v>620</v>
      </c>
      <c r="C61" t="s">
        <v>292</v>
      </c>
      <c r="D61" t="s">
        <v>576</v>
      </c>
      <c r="E61" t="s">
        <v>576</v>
      </c>
      <c r="F61" t="s">
        <v>292</v>
      </c>
      <c r="I61" t="s">
        <v>292</v>
      </c>
      <c r="J61" t="s">
        <v>339</v>
      </c>
      <c r="K61" t="s">
        <v>339</v>
      </c>
      <c r="L61" t="s">
        <v>292</v>
      </c>
      <c r="M61" t="s">
        <v>536</v>
      </c>
      <c r="O61" t="s">
        <v>462</v>
      </c>
      <c r="P61" t="s">
        <v>291</v>
      </c>
      <c r="R61" t="s">
        <v>255</v>
      </c>
      <c r="S61" t="s">
        <v>262</v>
      </c>
      <c r="T61" t="s">
        <v>534</v>
      </c>
      <c r="U61" t="s">
        <v>87</v>
      </c>
      <c r="V61" t="s">
        <v>87</v>
      </c>
      <c r="W61" t="s">
        <v>292</v>
      </c>
      <c r="Z61" t="s">
        <v>292</v>
      </c>
      <c r="AC61" t="s">
        <v>292</v>
      </c>
      <c r="AD61" t="s">
        <v>87</v>
      </c>
      <c r="AE61" t="s">
        <v>87</v>
      </c>
      <c r="AF61" t="s">
        <v>292</v>
      </c>
    </row>
    <row r="62" spans="1:32" x14ac:dyDescent="0.3">
      <c r="B62" t="s">
        <v>507</v>
      </c>
      <c r="C62" t="s">
        <v>291</v>
      </c>
      <c r="E62" t="s">
        <v>546</v>
      </c>
      <c r="F62" t="s">
        <v>291</v>
      </c>
      <c r="I62" t="s">
        <v>292</v>
      </c>
      <c r="K62" t="s">
        <v>74</v>
      </c>
      <c r="L62" t="s">
        <v>291</v>
      </c>
      <c r="O62" t="s">
        <v>467</v>
      </c>
      <c r="P62" t="s">
        <v>291</v>
      </c>
      <c r="T62" t="s">
        <v>534</v>
      </c>
      <c r="V62" t="s">
        <v>87</v>
      </c>
      <c r="W62" t="s">
        <v>291</v>
      </c>
      <c r="Z62" t="s">
        <v>292</v>
      </c>
      <c r="AC62" t="s">
        <v>292</v>
      </c>
      <c r="AE62" t="s">
        <v>87</v>
      </c>
      <c r="AF62" t="s">
        <v>291</v>
      </c>
    </row>
    <row r="63" spans="1:32" x14ac:dyDescent="0.3">
      <c r="A63" t="s">
        <v>734</v>
      </c>
      <c r="B63" t="s">
        <v>734</v>
      </c>
      <c r="C63" t="s">
        <v>292</v>
      </c>
      <c r="D63" t="s">
        <v>576</v>
      </c>
      <c r="E63" t="s">
        <v>576</v>
      </c>
      <c r="F63" t="s">
        <v>292</v>
      </c>
      <c r="I63" t="s">
        <v>292</v>
      </c>
      <c r="J63" t="s">
        <v>339</v>
      </c>
      <c r="K63" t="s">
        <v>339</v>
      </c>
      <c r="L63" t="s">
        <v>292</v>
      </c>
      <c r="M63" t="s">
        <v>536</v>
      </c>
      <c r="O63" t="s">
        <v>462</v>
      </c>
      <c r="P63" t="s">
        <v>291</v>
      </c>
      <c r="R63" t="s">
        <v>255</v>
      </c>
      <c r="S63" t="s">
        <v>262</v>
      </c>
      <c r="T63" t="s">
        <v>534</v>
      </c>
      <c r="U63" t="s">
        <v>87</v>
      </c>
      <c r="V63" t="s">
        <v>87</v>
      </c>
      <c r="W63" t="s">
        <v>292</v>
      </c>
      <c r="Z63" t="s">
        <v>292</v>
      </c>
      <c r="AC63" t="s">
        <v>292</v>
      </c>
      <c r="AD63" t="s">
        <v>87</v>
      </c>
      <c r="AE63" t="s">
        <v>87</v>
      </c>
      <c r="AF63" t="s">
        <v>292</v>
      </c>
    </row>
    <row r="64" spans="1:32" x14ac:dyDescent="0.3">
      <c r="B64" t="s">
        <v>508</v>
      </c>
      <c r="C64" t="s">
        <v>291</v>
      </c>
      <c r="E64" t="s">
        <v>546</v>
      </c>
      <c r="F64" t="s">
        <v>291</v>
      </c>
      <c r="I64" t="s">
        <v>292</v>
      </c>
      <c r="K64" t="s">
        <v>74</v>
      </c>
      <c r="L64" t="s">
        <v>291</v>
      </c>
      <c r="O64" t="s">
        <v>467</v>
      </c>
      <c r="P64" t="s">
        <v>291</v>
      </c>
      <c r="T64" t="s">
        <v>534</v>
      </c>
      <c r="V64" t="s">
        <v>87</v>
      </c>
      <c r="W64" t="s">
        <v>291</v>
      </c>
      <c r="Z64" t="s">
        <v>292</v>
      </c>
      <c r="AC64" t="s">
        <v>292</v>
      </c>
      <c r="AE64" t="s">
        <v>87</v>
      </c>
      <c r="AF64" t="s">
        <v>291</v>
      </c>
    </row>
    <row r="65" spans="1:33" x14ac:dyDescent="0.3">
      <c r="A65" t="s">
        <v>577</v>
      </c>
      <c r="B65" t="s">
        <v>577</v>
      </c>
      <c r="C65" t="s">
        <v>292</v>
      </c>
      <c r="D65" t="s">
        <v>578</v>
      </c>
      <c r="E65" t="s">
        <v>578</v>
      </c>
      <c r="F65" t="s">
        <v>292</v>
      </c>
      <c r="I65" t="s">
        <v>292</v>
      </c>
      <c r="J65" t="s">
        <v>78</v>
      </c>
      <c r="K65" t="s">
        <v>78</v>
      </c>
      <c r="L65" t="s">
        <v>292</v>
      </c>
      <c r="M65" t="s">
        <v>536</v>
      </c>
      <c r="O65" t="s">
        <v>462</v>
      </c>
      <c r="P65" t="s">
        <v>291</v>
      </c>
      <c r="R65" t="s">
        <v>255</v>
      </c>
      <c r="S65" t="s">
        <v>262</v>
      </c>
      <c r="T65" t="s">
        <v>534</v>
      </c>
      <c r="U65" t="s">
        <v>87</v>
      </c>
      <c r="V65" t="s">
        <v>87</v>
      </c>
      <c r="W65" t="s">
        <v>292</v>
      </c>
      <c r="Z65" t="s">
        <v>292</v>
      </c>
      <c r="AC65" t="s">
        <v>292</v>
      </c>
      <c r="AD65" t="s">
        <v>87</v>
      </c>
      <c r="AE65" t="s">
        <v>87</v>
      </c>
      <c r="AF65" t="s">
        <v>292</v>
      </c>
    </row>
    <row r="66" spans="1:33" x14ac:dyDescent="0.3">
      <c r="B66" t="s">
        <v>509</v>
      </c>
      <c r="C66" t="s">
        <v>291</v>
      </c>
      <c r="E66" t="s">
        <v>546</v>
      </c>
      <c r="F66" t="s">
        <v>291</v>
      </c>
      <c r="I66" t="s">
        <v>292</v>
      </c>
      <c r="K66" t="s">
        <v>74</v>
      </c>
      <c r="L66" t="s">
        <v>291</v>
      </c>
      <c r="O66" t="s">
        <v>463</v>
      </c>
      <c r="P66" t="s">
        <v>291</v>
      </c>
      <c r="T66" t="s">
        <v>534</v>
      </c>
      <c r="V66" t="s">
        <v>87</v>
      </c>
      <c r="W66" t="s">
        <v>291</v>
      </c>
      <c r="Z66" t="s">
        <v>292</v>
      </c>
      <c r="AC66" t="s">
        <v>292</v>
      </c>
      <c r="AE66" t="s">
        <v>87</v>
      </c>
      <c r="AF66" t="s">
        <v>291</v>
      </c>
    </row>
    <row r="67" spans="1:33" x14ac:dyDescent="0.3">
      <c r="B67" t="s">
        <v>510</v>
      </c>
      <c r="C67" t="s">
        <v>291</v>
      </c>
      <c r="E67" t="s">
        <v>546</v>
      </c>
      <c r="F67" t="s">
        <v>291</v>
      </c>
      <c r="I67" t="s">
        <v>292</v>
      </c>
      <c r="K67" t="s">
        <v>74</v>
      </c>
      <c r="L67" t="s">
        <v>291</v>
      </c>
      <c r="O67" t="s">
        <v>467</v>
      </c>
      <c r="P67" t="s">
        <v>291</v>
      </c>
      <c r="T67" t="s">
        <v>534</v>
      </c>
      <c r="V67" t="s">
        <v>87</v>
      </c>
      <c r="W67" t="s">
        <v>291</v>
      </c>
      <c r="Z67" t="s">
        <v>292</v>
      </c>
      <c r="AC67" t="s">
        <v>292</v>
      </c>
      <c r="AE67" t="s">
        <v>87</v>
      </c>
      <c r="AF67" t="s">
        <v>291</v>
      </c>
    </row>
    <row r="68" spans="1:33" x14ac:dyDescent="0.3">
      <c r="B68" t="s">
        <v>511</v>
      </c>
      <c r="C68" t="s">
        <v>291</v>
      </c>
      <c r="E68" t="s">
        <v>546</v>
      </c>
      <c r="F68" t="s">
        <v>291</v>
      </c>
      <c r="I68" t="s">
        <v>292</v>
      </c>
      <c r="K68" t="s">
        <v>74</v>
      </c>
      <c r="L68" t="s">
        <v>291</v>
      </c>
      <c r="O68" t="s">
        <v>467</v>
      </c>
      <c r="P68" t="s">
        <v>291</v>
      </c>
      <c r="T68" t="s">
        <v>534</v>
      </c>
      <c r="V68" t="s">
        <v>87</v>
      </c>
      <c r="W68" t="s">
        <v>291</v>
      </c>
      <c r="Z68" t="s">
        <v>292</v>
      </c>
      <c r="AC68" t="s">
        <v>292</v>
      </c>
      <c r="AE68" t="s">
        <v>87</v>
      </c>
      <c r="AF68" t="s">
        <v>291</v>
      </c>
    </row>
    <row r="69" spans="1:33" x14ac:dyDescent="0.3">
      <c r="B69" t="s">
        <v>513</v>
      </c>
      <c r="C69" t="s">
        <v>291</v>
      </c>
      <c r="E69" t="s">
        <v>546</v>
      </c>
      <c r="F69" t="s">
        <v>291</v>
      </c>
      <c r="I69" t="s">
        <v>292</v>
      </c>
      <c r="K69" t="s">
        <v>74</v>
      </c>
      <c r="L69" t="s">
        <v>291</v>
      </c>
      <c r="O69" t="s">
        <v>463</v>
      </c>
      <c r="P69" t="s">
        <v>291</v>
      </c>
      <c r="T69" t="s">
        <v>534</v>
      </c>
      <c r="V69" t="s">
        <v>87</v>
      </c>
      <c r="W69" t="s">
        <v>291</v>
      </c>
      <c r="Z69" t="s">
        <v>292</v>
      </c>
      <c r="AC69" t="s">
        <v>292</v>
      </c>
      <c r="AE69" t="s">
        <v>87</v>
      </c>
      <c r="AF69" t="s">
        <v>291</v>
      </c>
    </row>
    <row r="70" spans="1:33" x14ac:dyDescent="0.3">
      <c r="B70" t="s">
        <v>514</v>
      </c>
      <c r="C70" t="s">
        <v>291</v>
      </c>
      <c r="E70" t="s">
        <v>546</v>
      </c>
      <c r="F70" t="s">
        <v>291</v>
      </c>
      <c r="I70" t="s">
        <v>292</v>
      </c>
      <c r="K70" t="s">
        <v>74</v>
      </c>
      <c r="L70" t="s">
        <v>291</v>
      </c>
      <c r="O70" t="s">
        <v>467</v>
      </c>
      <c r="P70" t="s">
        <v>291</v>
      </c>
      <c r="T70" t="s">
        <v>534</v>
      </c>
      <c r="V70" t="s">
        <v>87</v>
      </c>
      <c r="W70" t="s">
        <v>291</v>
      </c>
      <c r="Z70" t="s">
        <v>292</v>
      </c>
      <c r="AC70" t="s">
        <v>292</v>
      </c>
      <c r="AE70" t="s">
        <v>87</v>
      </c>
      <c r="AF70" t="s">
        <v>291</v>
      </c>
    </row>
    <row r="71" spans="1:33" x14ac:dyDescent="0.3">
      <c r="B71" t="s">
        <v>515</v>
      </c>
      <c r="C71" t="s">
        <v>291</v>
      </c>
      <c r="E71" t="s">
        <v>546</v>
      </c>
      <c r="F71" t="s">
        <v>291</v>
      </c>
      <c r="I71" t="s">
        <v>292</v>
      </c>
      <c r="K71" t="s">
        <v>74</v>
      </c>
      <c r="L71" t="s">
        <v>291</v>
      </c>
      <c r="O71" t="s">
        <v>467</v>
      </c>
      <c r="P71" t="s">
        <v>291</v>
      </c>
      <c r="T71" t="s">
        <v>534</v>
      </c>
      <c r="V71" t="s">
        <v>87</v>
      </c>
      <c r="W71" t="s">
        <v>291</v>
      </c>
      <c r="Z71" t="s">
        <v>292</v>
      </c>
      <c r="AC71" t="s">
        <v>292</v>
      </c>
      <c r="AE71" t="s">
        <v>87</v>
      </c>
      <c r="AF71" t="s">
        <v>291</v>
      </c>
    </row>
    <row r="72" spans="1:33" x14ac:dyDescent="0.3">
      <c r="A72" t="s">
        <v>556</v>
      </c>
      <c r="B72" t="s">
        <v>556</v>
      </c>
      <c r="C72" t="s">
        <v>292</v>
      </c>
      <c r="D72" t="s">
        <v>557</v>
      </c>
      <c r="E72" t="s">
        <v>557</v>
      </c>
      <c r="F72" t="s">
        <v>292</v>
      </c>
      <c r="I72" t="s">
        <v>292</v>
      </c>
      <c r="J72" t="s">
        <v>78</v>
      </c>
      <c r="K72" t="s">
        <v>78</v>
      </c>
      <c r="L72" t="s">
        <v>292</v>
      </c>
      <c r="M72" t="s">
        <v>660</v>
      </c>
      <c r="O72" t="s">
        <v>462</v>
      </c>
      <c r="P72" t="s">
        <v>291</v>
      </c>
      <c r="Q72" t="s">
        <v>681</v>
      </c>
      <c r="R72" t="s">
        <v>478</v>
      </c>
      <c r="S72" t="s">
        <v>262</v>
      </c>
      <c r="T72" t="s">
        <v>534</v>
      </c>
      <c r="U72" t="s">
        <v>87</v>
      </c>
      <c r="V72" t="s">
        <v>87</v>
      </c>
      <c r="W72" t="s">
        <v>292</v>
      </c>
      <c r="Z72" t="s">
        <v>292</v>
      </c>
      <c r="AC72" t="s">
        <v>292</v>
      </c>
      <c r="AD72" t="s">
        <v>87</v>
      </c>
      <c r="AE72" t="s">
        <v>87</v>
      </c>
      <c r="AF72" t="s">
        <v>292</v>
      </c>
      <c r="AG72" t="s">
        <v>629</v>
      </c>
    </row>
    <row r="73" spans="1:33" x14ac:dyDescent="0.3">
      <c r="B73" t="s">
        <v>516</v>
      </c>
      <c r="C73" t="s">
        <v>291</v>
      </c>
      <c r="E73" t="s">
        <v>546</v>
      </c>
      <c r="F73" t="s">
        <v>291</v>
      </c>
      <c r="I73" t="s">
        <v>292</v>
      </c>
      <c r="K73" t="s">
        <v>74</v>
      </c>
      <c r="L73" t="s">
        <v>291</v>
      </c>
      <c r="O73" t="s">
        <v>467</v>
      </c>
      <c r="P73" t="s">
        <v>291</v>
      </c>
      <c r="T73" t="s">
        <v>534</v>
      </c>
      <c r="V73" t="s">
        <v>87</v>
      </c>
      <c r="W73" t="s">
        <v>291</v>
      </c>
      <c r="Z73" t="s">
        <v>292</v>
      </c>
      <c r="AC73" t="s">
        <v>292</v>
      </c>
      <c r="AE73" t="s">
        <v>87</v>
      </c>
      <c r="AF73" t="s">
        <v>291</v>
      </c>
    </row>
    <row r="74" spans="1:33" x14ac:dyDescent="0.3">
      <c r="A74" t="s">
        <v>564</v>
      </c>
      <c r="B74" t="s">
        <v>564</v>
      </c>
      <c r="C74" t="s">
        <v>292</v>
      </c>
      <c r="D74" t="s">
        <v>562</v>
      </c>
      <c r="E74" t="s">
        <v>562</v>
      </c>
      <c r="F74" t="s">
        <v>292</v>
      </c>
      <c r="G74">
        <v>-20</v>
      </c>
      <c r="H74">
        <v>-20</v>
      </c>
      <c r="I74" t="s">
        <v>292</v>
      </c>
      <c r="J74" t="s">
        <v>78</v>
      </c>
      <c r="K74" t="s">
        <v>78</v>
      </c>
      <c r="L74" t="s">
        <v>292</v>
      </c>
      <c r="M74" t="s">
        <v>667</v>
      </c>
      <c r="O74" t="s">
        <v>466</v>
      </c>
      <c r="P74" t="s">
        <v>291</v>
      </c>
      <c r="Q74" t="s">
        <v>665</v>
      </c>
      <c r="R74" t="s">
        <v>666</v>
      </c>
      <c r="S74" t="s">
        <v>262</v>
      </c>
      <c r="T74" t="s">
        <v>534</v>
      </c>
      <c r="U74" t="s">
        <v>87</v>
      </c>
      <c r="V74" t="s">
        <v>87</v>
      </c>
      <c r="W74" t="s">
        <v>292</v>
      </c>
      <c r="Y74">
        <v>0</v>
      </c>
      <c r="Z74" t="s">
        <v>291</v>
      </c>
      <c r="AC74" t="s">
        <v>292</v>
      </c>
      <c r="AD74" t="s">
        <v>87</v>
      </c>
      <c r="AE74" t="s">
        <v>87</v>
      </c>
      <c r="AF74" t="s">
        <v>292</v>
      </c>
      <c r="AG74" t="s">
        <v>631</v>
      </c>
    </row>
    <row r="75" spans="1:33" x14ac:dyDescent="0.3">
      <c r="A75" t="s">
        <v>548</v>
      </c>
      <c r="B75" t="s">
        <v>548</v>
      </c>
      <c r="C75" t="s">
        <v>292</v>
      </c>
      <c r="D75" t="s">
        <v>549</v>
      </c>
      <c r="E75" t="s">
        <v>549</v>
      </c>
      <c r="F75" t="s">
        <v>292</v>
      </c>
      <c r="I75" t="s">
        <v>292</v>
      </c>
      <c r="J75" t="s">
        <v>76</v>
      </c>
      <c r="K75" t="s">
        <v>76</v>
      </c>
      <c r="L75" t="s">
        <v>292</v>
      </c>
      <c r="M75" t="s">
        <v>536</v>
      </c>
      <c r="O75" t="s">
        <v>465</v>
      </c>
      <c r="P75" t="s">
        <v>291</v>
      </c>
      <c r="R75" t="s">
        <v>255</v>
      </c>
      <c r="S75" t="s">
        <v>262</v>
      </c>
      <c r="T75" t="s">
        <v>534</v>
      </c>
      <c r="U75" t="s">
        <v>87</v>
      </c>
      <c r="V75" t="s">
        <v>87</v>
      </c>
      <c r="W75" t="s">
        <v>292</v>
      </c>
      <c r="Z75" t="s">
        <v>292</v>
      </c>
      <c r="AC75" t="s">
        <v>292</v>
      </c>
      <c r="AD75" t="s">
        <v>87</v>
      </c>
      <c r="AE75" t="s">
        <v>87</v>
      </c>
      <c r="AF75" t="s">
        <v>292</v>
      </c>
    </row>
    <row r="76" spans="1:33" x14ac:dyDescent="0.3">
      <c r="A76" t="s">
        <v>569</v>
      </c>
      <c r="B76" t="s">
        <v>569</v>
      </c>
      <c r="C76" t="s">
        <v>292</v>
      </c>
      <c r="D76" t="s">
        <v>568</v>
      </c>
      <c r="E76" t="s">
        <v>568</v>
      </c>
      <c r="F76" t="s">
        <v>292</v>
      </c>
      <c r="I76" t="s">
        <v>292</v>
      </c>
      <c r="J76" t="s">
        <v>339</v>
      </c>
      <c r="K76" t="s">
        <v>339</v>
      </c>
      <c r="L76" t="s">
        <v>292</v>
      </c>
      <c r="M76" t="s">
        <v>668</v>
      </c>
      <c r="O76" t="s">
        <v>462</v>
      </c>
      <c r="P76" t="s">
        <v>291</v>
      </c>
      <c r="R76" t="s">
        <v>388</v>
      </c>
      <c r="S76" t="s">
        <v>262</v>
      </c>
      <c r="T76" t="s">
        <v>534</v>
      </c>
      <c r="U76" t="s">
        <v>87</v>
      </c>
      <c r="V76" t="s">
        <v>87</v>
      </c>
      <c r="W76" t="s">
        <v>292</v>
      </c>
      <c r="Z76" t="s">
        <v>292</v>
      </c>
      <c r="AC76" t="s">
        <v>292</v>
      </c>
      <c r="AD76" t="s">
        <v>87</v>
      </c>
      <c r="AE76" t="s">
        <v>87</v>
      </c>
      <c r="AF76" t="s">
        <v>292</v>
      </c>
    </row>
    <row r="77" spans="1:33" x14ac:dyDescent="0.3">
      <c r="A77" t="s">
        <v>700</v>
      </c>
      <c r="B77" t="s">
        <v>700</v>
      </c>
      <c r="C77" t="s">
        <v>292</v>
      </c>
      <c r="D77" t="s">
        <v>546</v>
      </c>
      <c r="E77" t="s">
        <v>546</v>
      </c>
      <c r="F77" t="s">
        <v>292</v>
      </c>
      <c r="I77" t="s">
        <v>292</v>
      </c>
      <c r="J77" t="s">
        <v>74</v>
      </c>
      <c r="K77" t="s">
        <v>74</v>
      </c>
      <c r="L77" t="s">
        <v>292</v>
      </c>
      <c r="M77" t="s">
        <v>473</v>
      </c>
      <c r="O77" t="s">
        <v>462</v>
      </c>
      <c r="P77" t="s">
        <v>291</v>
      </c>
      <c r="R77" t="s">
        <v>341</v>
      </c>
      <c r="S77" t="s">
        <v>340</v>
      </c>
      <c r="T77" t="s">
        <v>534</v>
      </c>
      <c r="U77" t="s">
        <v>87</v>
      </c>
      <c r="V77" t="s">
        <v>87</v>
      </c>
      <c r="W77" t="s">
        <v>292</v>
      </c>
      <c r="Z77" t="s">
        <v>292</v>
      </c>
      <c r="AC77" t="s">
        <v>292</v>
      </c>
      <c r="AD77" t="s">
        <v>87</v>
      </c>
      <c r="AE77" t="s">
        <v>87</v>
      </c>
      <c r="AF77" t="s">
        <v>292</v>
      </c>
    </row>
    <row r="78" spans="1:33" x14ac:dyDescent="0.3">
      <c r="B78" t="s">
        <v>517</v>
      </c>
      <c r="C78" t="s">
        <v>291</v>
      </c>
      <c r="E78" t="s">
        <v>546</v>
      </c>
      <c r="F78" t="s">
        <v>291</v>
      </c>
      <c r="I78" t="s">
        <v>292</v>
      </c>
      <c r="K78" t="s">
        <v>74</v>
      </c>
      <c r="L78" t="s">
        <v>291</v>
      </c>
      <c r="O78" t="s">
        <v>467</v>
      </c>
      <c r="P78" t="s">
        <v>291</v>
      </c>
      <c r="T78" t="s">
        <v>534</v>
      </c>
      <c r="V78" t="s">
        <v>87</v>
      </c>
      <c r="W78" t="s">
        <v>291</v>
      </c>
      <c r="Z78" t="s">
        <v>292</v>
      </c>
      <c r="AC78" t="s">
        <v>292</v>
      </c>
      <c r="AE78" t="s">
        <v>87</v>
      </c>
      <c r="AF78" t="s">
        <v>291</v>
      </c>
    </row>
    <row r="79" spans="1:33" x14ac:dyDescent="0.3">
      <c r="A79" t="s">
        <v>701</v>
      </c>
      <c r="B79" t="s">
        <v>701</v>
      </c>
      <c r="C79" t="s">
        <v>292</v>
      </c>
      <c r="D79" t="s">
        <v>546</v>
      </c>
      <c r="E79" t="s">
        <v>546</v>
      </c>
      <c r="F79" t="s">
        <v>292</v>
      </c>
      <c r="I79" t="s">
        <v>292</v>
      </c>
      <c r="J79" t="s">
        <v>74</v>
      </c>
      <c r="K79" t="s">
        <v>74</v>
      </c>
      <c r="L79" t="s">
        <v>292</v>
      </c>
      <c r="M79" t="s">
        <v>473</v>
      </c>
      <c r="O79" t="s">
        <v>462</v>
      </c>
      <c r="P79" t="s">
        <v>291</v>
      </c>
      <c r="R79" t="s">
        <v>341</v>
      </c>
      <c r="S79" t="s">
        <v>340</v>
      </c>
      <c r="T79" t="s">
        <v>534</v>
      </c>
      <c r="U79" t="s">
        <v>87</v>
      </c>
      <c r="V79" t="s">
        <v>87</v>
      </c>
      <c r="W79" t="s">
        <v>292</v>
      </c>
      <c r="Z79" t="s">
        <v>292</v>
      </c>
      <c r="AC79" t="s">
        <v>292</v>
      </c>
      <c r="AD79" t="s">
        <v>87</v>
      </c>
      <c r="AE79" t="s">
        <v>87</v>
      </c>
      <c r="AF79" t="s">
        <v>292</v>
      </c>
    </row>
    <row r="80" spans="1:33" x14ac:dyDescent="0.3">
      <c r="B80" t="s">
        <v>518</v>
      </c>
      <c r="C80" t="s">
        <v>291</v>
      </c>
      <c r="E80" t="s">
        <v>546</v>
      </c>
      <c r="F80" t="s">
        <v>291</v>
      </c>
      <c r="I80" t="s">
        <v>292</v>
      </c>
      <c r="K80" t="s">
        <v>74</v>
      </c>
      <c r="L80" t="s">
        <v>291</v>
      </c>
      <c r="O80" t="s">
        <v>467</v>
      </c>
      <c r="P80" t="s">
        <v>291</v>
      </c>
      <c r="T80" t="s">
        <v>534</v>
      </c>
      <c r="V80" t="s">
        <v>87</v>
      </c>
      <c r="W80" t="s">
        <v>291</v>
      </c>
      <c r="Z80" t="s">
        <v>292</v>
      </c>
      <c r="AC80" t="s">
        <v>292</v>
      </c>
      <c r="AE80" t="s">
        <v>87</v>
      </c>
      <c r="AF80" t="s">
        <v>291</v>
      </c>
    </row>
    <row r="81" spans="1:32" x14ac:dyDescent="0.3">
      <c r="A81" t="s">
        <v>702</v>
      </c>
      <c r="B81" t="s">
        <v>702</v>
      </c>
      <c r="C81" t="s">
        <v>292</v>
      </c>
      <c r="D81" t="s">
        <v>546</v>
      </c>
      <c r="E81" t="s">
        <v>546</v>
      </c>
      <c r="F81" t="s">
        <v>292</v>
      </c>
      <c r="I81" t="s">
        <v>292</v>
      </c>
      <c r="J81" t="s">
        <v>74</v>
      </c>
      <c r="K81" t="s">
        <v>74</v>
      </c>
      <c r="L81" t="s">
        <v>292</v>
      </c>
      <c r="M81" t="s">
        <v>473</v>
      </c>
      <c r="O81" t="s">
        <v>462</v>
      </c>
      <c r="P81" t="s">
        <v>291</v>
      </c>
      <c r="R81" t="s">
        <v>341</v>
      </c>
      <c r="S81" t="s">
        <v>340</v>
      </c>
      <c r="T81" t="s">
        <v>534</v>
      </c>
      <c r="U81" t="s">
        <v>87</v>
      </c>
      <c r="V81" t="s">
        <v>87</v>
      </c>
      <c r="W81" t="s">
        <v>292</v>
      </c>
      <c r="Z81" t="s">
        <v>292</v>
      </c>
      <c r="AC81" t="s">
        <v>292</v>
      </c>
      <c r="AD81" t="s">
        <v>87</v>
      </c>
      <c r="AE81" t="s">
        <v>87</v>
      </c>
      <c r="AF81" t="s">
        <v>292</v>
      </c>
    </row>
    <row r="82" spans="1:32" x14ac:dyDescent="0.3">
      <c r="B82" t="s">
        <v>519</v>
      </c>
      <c r="C82" t="s">
        <v>291</v>
      </c>
      <c r="E82" t="s">
        <v>546</v>
      </c>
      <c r="F82" t="s">
        <v>291</v>
      </c>
      <c r="I82" t="s">
        <v>292</v>
      </c>
      <c r="K82" t="s">
        <v>74</v>
      </c>
      <c r="L82" t="s">
        <v>291</v>
      </c>
      <c r="O82" t="s">
        <v>467</v>
      </c>
      <c r="P82" t="s">
        <v>291</v>
      </c>
      <c r="T82" t="s">
        <v>534</v>
      </c>
      <c r="V82" t="s">
        <v>87</v>
      </c>
      <c r="W82" t="s">
        <v>291</v>
      </c>
      <c r="Z82" t="s">
        <v>292</v>
      </c>
      <c r="AC82" t="s">
        <v>292</v>
      </c>
      <c r="AE82" t="s">
        <v>87</v>
      </c>
      <c r="AF82" t="s">
        <v>291</v>
      </c>
    </row>
    <row r="83" spans="1:32" x14ac:dyDescent="0.3">
      <c r="A83" t="s">
        <v>705</v>
      </c>
      <c r="B83" t="s">
        <v>705</v>
      </c>
      <c r="C83" t="s">
        <v>292</v>
      </c>
      <c r="D83" t="s">
        <v>546</v>
      </c>
      <c r="E83" t="s">
        <v>546</v>
      </c>
      <c r="F83" t="s">
        <v>292</v>
      </c>
      <c r="I83" t="s">
        <v>292</v>
      </c>
      <c r="J83" t="s">
        <v>74</v>
      </c>
      <c r="K83" t="s">
        <v>74</v>
      </c>
      <c r="L83" t="s">
        <v>292</v>
      </c>
      <c r="M83" t="s">
        <v>473</v>
      </c>
      <c r="O83" t="s">
        <v>462</v>
      </c>
      <c r="P83" t="s">
        <v>291</v>
      </c>
      <c r="R83" t="s">
        <v>341</v>
      </c>
      <c r="S83" t="s">
        <v>340</v>
      </c>
      <c r="T83" t="s">
        <v>534</v>
      </c>
      <c r="U83" t="s">
        <v>87</v>
      </c>
      <c r="V83" t="s">
        <v>87</v>
      </c>
      <c r="W83" t="s">
        <v>292</v>
      </c>
      <c r="Z83" t="s">
        <v>292</v>
      </c>
      <c r="AC83" t="s">
        <v>292</v>
      </c>
      <c r="AD83" t="s">
        <v>87</v>
      </c>
      <c r="AE83" t="s">
        <v>87</v>
      </c>
      <c r="AF83" t="s">
        <v>292</v>
      </c>
    </row>
    <row r="84" spans="1:32" x14ac:dyDescent="0.3">
      <c r="B84" t="s">
        <v>520</v>
      </c>
      <c r="C84" t="s">
        <v>291</v>
      </c>
      <c r="E84" t="s">
        <v>546</v>
      </c>
      <c r="F84" t="s">
        <v>291</v>
      </c>
      <c r="I84" t="s">
        <v>292</v>
      </c>
      <c r="K84" t="s">
        <v>74</v>
      </c>
      <c r="L84" t="s">
        <v>291</v>
      </c>
      <c r="O84" t="s">
        <v>467</v>
      </c>
      <c r="P84" t="s">
        <v>291</v>
      </c>
      <c r="T84" t="s">
        <v>534</v>
      </c>
      <c r="V84" t="s">
        <v>87</v>
      </c>
      <c r="W84" t="s">
        <v>291</v>
      </c>
      <c r="Z84" t="s">
        <v>292</v>
      </c>
      <c r="AC84" t="s">
        <v>292</v>
      </c>
      <c r="AE84" t="s">
        <v>87</v>
      </c>
      <c r="AF84" t="s">
        <v>291</v>
      </c>
    </row>
    <row r="85" spans="1:32" x14ac:dyDescent="0.3">
      <c r="A85" t="s">
        <v>712</v>
      </c>
      <c r="B85" t="s">
        <v>712</v>
      </c>
      <c r="C85" t="s">
        <v>292</v>
      </c>
      <c r="D85" t="s">
        <v>546</v>
      </c>
      <c r="E85" t="s">
        <v>546</v>
      </c>
      <c r="F85" t="s">
        <v>292</v>
      </c>
      <c r="I85" t="s">
        <v>292</v>
      </c>
      <c r="J85" t="s">
        <v>74</v>
      </c>
      <c r="K85" t="s">
        <v>74</v>
      </c>
      <c r="L85" t="s">
        <v>292</v>
      </c>
      <c r="M85" t="s">
        <v>473</v>
      </c>
      <c r="O85" t="s">
        <v>178</v>
      </c>
      <c r="P85" t="s">
        <v>291</v>
      </c>
      <c r="R85" t="s">
        <v>341</v>
      </c>
      <c r="S85" t="s">
        <v>340</v>
      </c>
      <c r="T85" t="s">
        <v>534</v>
      </c>
      <c r="U85" t="s">
        <v>87</v>
      </c>
      <c r="V85" t="s">
        <v>87</v>
      </c>
      <c r="W85" t="s">
        <v>292</v>
      </c>
      <c r="Z85" t="s">
        <v>292</v>
      </c>
      <c r="AC85" t="s">
        <v>292</v>
      </c>
      <c r="AD85" t="s">
        <v>87</v>
      </c>
      <c r="AE85" t="s">
        <v>87</v>
      </c>
      <c r="AF85" t="s">
        <v>292</v>
      </c>
    </row>
    <row r="86" spans="1:32" x14ac:dyDescent="0.3">
      <c r="B86" t="s">
        <v>521</v>
      </c>
      <c r="C86" t="s">
        <v>291</v>
      </c>
      <c r="E86" t="s">
        <v>546</v>
      </c>
      <c r="F86" t="s">
        <v>291</v>
      </c>
      <c r="I86" t="s">
        <v>292</v>
      </c>
      <c r="K86" t="s">
        <v>74</v>
      </c>
      <c r="L86" t="s">
        <v>291</v>
      </c>
      <c r="O86" t="s">
        <v>467</v>
      </c>
      <c r="P86" t="s">
        <v>291</v>
      </c>
      <c r="T86" t="s">
        <v>534</v>
      </c>
      <c r="V86" t="s">
        <v>87</v>
      </c>
      <c r="W86" t="s">
        <v>291</v>
      </c>
      <c r="Z86" t="s">
        <v>292</v>
      </c>
      <c r="AC86" t="s">
        <v>292</v>
      </c>
      <c r="AE86" t="s">
        <v>87</v>
      </c>
      <c r="AF86" t="s">
        <v>291</v>
      </c>
    </row>
    <row r="87" spans="1:32" x14ac:dyDescent="0.3">
      <c r="A87" t="s">
        <v>718</v>
      </c>
      <c r="B87" t="s">
        <v>718</v>
      </c>
      <c r="C87" t="s">
        <v>292</v>
      </c>
      <c r="D87" t="s">
        <v>546</v>
      </c>
      <c r="E87" t="s">
        <v>546</v>
      </c>
      <c r="F87" t="s">
        <v>292</v>
      </c>
      <c r="I87" t="s">
        <v>292</v>
      </c>
      <c r="J87" t="s">
        <v>74</v>
      </c>
      <c r="K87" t="s">
        <v>74</v>
      </c>
      <c r="L87" t="s">
        <v>292</v>
      </c>
      <c r="M87" t="s">
        <v>473</v>
      </c>
      <c r="O87" t="s">
        <v>178</v>
      </c>
      <c r="P87" t="s">
        <v>291</v>
      </c>
      <c r="R87" t="s">
        <v>341</v>
      </c>
      <c r="S87" t="s">
        <v>340</v>
      </c>
      <c r="T87" t="s">
        <v>534</v>
      </c>
      <c r="U87" t="s">
        <v>87</v>
      </c>
      <c r="V87" t="s">
        <v>87</v>
      </c>
      <c r="W87" t="s">
        <v>292</v>
      </c>
      <c r="Z87" t="s">
        <v>292</v>
      </c>
      <c r="AC87" t="s">
        <v>292</v>
      </c>
      <c r="AD87" t="s">
        <v>87</v>
      </c>
      <c r="AE87" t="s">
        <v>87</v>
      </c>
      <c r="AF87" t="s">
        <v>292</v>
      </c>
    </row>
    <row r="88" spans="1:32" x14ac:dyDescent="0.3">
      <c r="B88" t="s">
        <v>522</v>
      </c>
      <c r="C88" t="s">
        <v>291</v>
      </c>
      <c r="E88" t="s">
        <v>546</v>
      </c>
      <c r="F88" t="s">
        <v>291</v>
      </c>
      <c r="I88" t="s">
        <v>292</v>
      </c>
      <c r="K88" t="s">
        <v>74</v>
      </c>
      <c r="L88" t="s">
        <v>291</v>
      </c>
      <c r="O88" t="s">
        <v>467</v>
      </c>
      <c r="P88" t="s">
        <v>291</v>
      </c>
      <c r="T88" t="s">
        <v>534</v>
      </c>
      <c r="V88" t="s">
        <v>87</v>
      </c>
      <c r="W88" t="s">
        <v>291</v>
      </c>
      <c r="Z88" t="s">
        <v>292</v>
      </c>
      <c r="AC88" t="s">
        <v>292</v>
      </c>
      <c r="AE88" t="s">
        <v>87</v>
      </c>
      <c r="AF88" t="s">
        <v>291</v>
      </c>
    </row>
    <row r="89" spans="1:32" x14ac:dyDescent="0.3">
      <c r="A89" t="s">
        <v>698</v>
      </c>
      <c r="B89" t="s">
        <v>698</v>
      </c>
      <c r="C89" t="s">
        <v>292</v>
      </c>
      <c r="D89" t="s">
        <v>546</v>
      </c>
      <c r="E89" t="s">
        <v>546</v>
      </c>
      <c r="F89" t="s">
        <v>292</v>
      </c>
      <c r="I89" t="s">
        <v>292</v>
      </c>
      <c r="J89" t="s">
        <v>74</v>
      </c>
      <c r="K89" t="s">
        <v>74</v>
      </c>
      <c r="L89" t="s">
        <v>292</v>
      </c>
      <c r="M89" t="s">
        <v>473</v>
      </c>
      <c r="O89" t="s">
        <v>468</v>
      </c>
      <c r="P89" t="s">
        <v>291</v>
      </c>
      <c r="R89" t="s">
        <v>341</v>
      </c>
      <c r="S89" t="s">
        <v>340</v>
      </c>
      <c r="T89" t="s">
        <v>534</v>
      </c>
      <c r="U89" t="s">
        <v>87</v>
      </c>
      <c r="V89" t="s">
        <v>87</v>
      </c>
      <c r="W89" t="s">
        <v>292</v>
      </c>
      <c r="Z89" t="s">
        <v>292</v>
      </c>
      <c r="AC89" t="s">
        <v>292</v>
      </c>
      <c r="AD89" t="s">
        <v>87</v>
      </c>
      <c r="AE89" t="s">
        <v>87</v>
      </c>
      <c r="AF89" t="s">
        <v>292</v>
      </c>
    </row>
    <row r="90" spans="1:32" x14ac:dyDescent="0.3">
      <c r="B90" t="s">
        <v>523</v>
      </c>
      <c r="C90" t="s">
        <v>291</v>
      </c>
      <c r="E90" t="s">
        <v>546</v>
      </c>
      <c r="F90" t="s">
        <v>291</v>
      </c>
      <c r="I90" t="s">
        <v>292</v>
      </c>
      <c r="K90" t="s">
        <v>74</v>
      </c>
      <c r="L90" t="s">
        <v>291</v>
      </c>
      <c r="O90" t="s">
        <v>467</v>
      </c>
      <c r="P90" t="s">
        <v>291</v>
      </c>
      <c r="T90" t="s">
        <v>534</v>
      </c>
      <c r="V90" t="s">
        <v>87</v>
      </c>
      <c r="W90" t="s">
        <v>291</v>
      </c>
      <c r="Z90" t="s">
        <v>292</v>
      </c>
      <c r="AC90" t="s">
        <v>292</v>
      </c>
      <c r="AE90" t="s">
        <v>87</v>
      </c>
      <c r="AF90" t="s">
        <v>291</v>
      </c>
    </row>
    <row r="91" spans="1:32" x14ac:dyDescent="0.3">
      <c r="A91" t="s">
        <v>697</v>
      </c>
      <c r="B91" t="s">
        <v>697</v>
      </c>
      <c r="C91" t="s">
        <v>292</v>
      </c>
      <c r="D91" t="s">
        <v>546</v>
      </c>
      <c r="E91" t="s">
        <v>546</v>
      </c>
      <c r="F91" t="s">
        <v>292</v>
      </c>
      <c r="I91" t="s">
        <v>292</v>
      </c>
      <c r="J91" t="s">
        <v>74</v>
      </c>
      <c r="K91" t="s">
        <v>74</v>
      </c>
      <c r="L91" t="s">
        <v>292</v>
      </c>
      <c r="M91" t="s">
        <v>473</v>
      </c>
      <c r="O91" t="s">
        <v>468</v>
      </c>
      <c r="P91" t="s">
        <v>291</v>
      </c>
      <c r="R91" t="s">
        <v>341</v>
      </c>
      <c r="S91" t="s">
        <v>340</v>
      </c>
      <c r="T91" t="s">
        <v>534</v>
      </c>
      <c r="U91" t="s">
        <v>87</v>
      </c>
      <c r="V91" t="s">
        <v>87</v>
      </c>
      <c r="W91" t="s">
        <v>292</v>
      </c>
      <c r="Z91" t="s">
        <v>292</v>
      </c>
      <c r="AC91" t="s">
        <v>292</v>
      </c>
      <c r="AD91" t="s">
        <v>87</v>
      </c>
      <c r="AE91" t="s">
        <v>87</v>
      </c>
      <c r="AF91" t="s">
        <v>292</v>
      </c>
    </row>
    <row r="92" spans="1:32" x14ac:dyDescent="0.3">
      <c r="B92" t="s">
        <v>524</v>
      </c>
      <c r="C92" t="s">
        <v>291</v>
      </c>
      <c r="E92" t="s">
        <v>546</v>
      </c>
      <c r="F92" t="s">
        <v>291</v>
      </c>
      <c r="I92" t="s">
        <v>292</v>
      </c>
      <c r="K92" t="s">
        <v>74</v>
      </c>
      <c r="L92" t="s">
        <v>291</v>
      </c>
      <c r="O92" t="s">
        <v>467</v>
      </c>
      <c r="P92" t="s">
        <v>291</v>
      </c>
      <c r="T92" t="s">
        <v>534</v>
      </c>
      <c r="V92" t="s">
        <v>87</v>
      </c>
      <c r="W92" t="s">
        <v>291</v>
      </c>
      <c r="Z92" t="s">
        <v>292</v>
      </c>
      <c r="AC92" t="s">
        <v>292</v>
      </c>
      <c r="AE92" t="s">
        <v>87</v>
      </c>
      <c r="AF92" t="s">
        <v>291</v>
      </c>
    </row>
    <row r="93" spans="1:32" x14ac:dyDescent="0.3">
      <c r="A93" t="s">
        <v>696</v>
      </c>
      <c r="B93" t="s">
        <v>696</v>
      </c>
      <c r="C93" t="s">
        <v>292</v>
      </c>
      <c r="D93" t="s">
        <v>546</v>
      </c>
      <c r="E93" t="s">
        <v>546</v>
      </c>
      <c r="F93" t="s">
        <v>292</v>
      </c>
      <c r="I93" t="s">
        <v>292</v>
      </c>
      <c r="J93" t="s">
        <v>74</v>
      </c>
      <c r="K93" t="s">
        <v>74</v>
      </c>
      <c r="L93" t="s">
        <v>292</v>
      </c>
      <c r="M93" t="s">
        <v>473</v>
      </c>
      <c r="O93" t="s">
        <v>462</v>
      </c>
      <c r="P93" t="s">
        <v>291</v>
      </c>
      <c r="R93" t="s">
        <v>341</v>
      </c>
      <c r="S93" t="s">
        <v>340</v>
      </c>
      <c r="T93" t="s">
        <v>534</v>
      </c>
      <c r="U93" t="s">
        <v>87</v>
      </c>
      <c r="V93" t="s">
        <v>87</v>
      </c>
      <c r="W93" t="s">
        <v>292</v>
      </c>
      <c r="Z93" t="s">
        <v>292</v>
      </c>
      <c r="AC93" t="s">
        <v>292</v>
      </c>
      <c r="AD93" t="s">
        <v>87</v>
      </c>
      <c r="AE93" t="s">
        <v>87</v>
      </c>
      <c r="AF93" t="s">
        <v>292</v>
      </c>
    </row>
    <row r="94" spans="1:32" x14ac:dyDescent="0.3">
      <c r="B94" t="s">
        <v>525</v>
      </c>
      <c r="C94" t="s">
        <v>291</v>
      </c>
      <c r="E94" t="s">
        <v>546</v>
      </c>
      <c r="F94" t="s">
        <v>291</v>
      </c>
      <c r="I94" t="s">
        <v>292</v>
      </c>
      <c r="K94" t="s">
        <v>74</v>
      </c>
      <c r="L94" t="s">
        <v>291</v>
      </c>
      <c r="O94" t="s">
        <v>467</v>
      </c>
      <c r="P94" t="s">
        <v>291</v>
      </c>
      <c r="T94" t="s">
        <v>534</v>
      </c>
      <c r="V94" t="s">
        <v>87</v>
      </c>
      <c r="W94" t="s">
        <v>291</v>
      </c>
      <c r="Z94" t="s">
        <v>292</v>
      </c>
      <c r="AC94" t="s">
        <v>292</v>
      </c>
      <c r="AE94" t="s">
        <v>87</v>
      </c>
      <c r="AF94" t="s">
        <v>291</v>
      </c>
    </row>
    <row r="95" spans="1:32" x14ac:dyDescent="0.3">
      <c r="A95" t="s">
        <v>693</v>
      </c>
      <c r="B95" t="s">
        <v>693</v>
      </c>
      <c r="C95" t="s">
        <v>292</v>
      </c>
      <c r="D95" t="s">
        <v>546</v>
      </c>
      <c r="E95" t="s">
        <v>546</v>
      </c>
      <c r="F95" t="s">
        <v>292</v>
      </c>
      <c r="I95" t="s">
        <v>292</v>
      </c>
      <c r="J95" t="s">
        <v>74</v>
      </c>
      <c r="K95" t="s">
        <v>74</v>
      </c>
      <c r="L95" t="s">
        <v>292</v>
      </c>
      <c r="M95" t="s">
        <v>473</v>
      </c>
      <c r="O95" t="s">
        <v>468</v>
      </c>
      <c r="P95" t="s">
        <v>291</v>
      </c>
      <c r="R95" t="s">
        <v>341</v>
      </c>
      <c r="S95" t="s">
        <v>340</v>
      </c>
      <c r="T95" t="s">
        <v>534</v>
      </c>
      <c r="U95" t="s">
        <v>87</v>
      </c>
      <c r="V95" t="s">
        <v>87</v>
      </c>
      <c r="W95" t="s">
        <v>292</v>
      </c>
      <c r="Z95" t="s">
        <v>292</v>
      </c>
      <c r="AC95" t="s">
        <v>292</v>
      </c>
      <c r="AD95" t="s">
        <v>87</v>
      </c>
      <c r="AE95" t="s">
        <v>87</v>
      </c>
      <c r="AF95" t="s">
        <v>292</v>
      </c>
    </row>
    <row r="96" spans="1:32" x14ac:dyDescent="0.3">
      <c r="B96" t="s">
        <v>526</v>
      </c>
      <c r="C96" t="s">
        <v>291</v>
      </c>
      <c r="E96" t="s">
        <v>546</v>
      </c>
      <c r="F96" t="s">
        <v>291</v>
      </c>
      <c r="I96" t="s">
        <v>292</v>
      </c>
      <c r="K96" t="s">
        <v>74</v>
      </c>
      <c r="L96" t="s">
        <v>291</v>
      </c>
      <c r="O96" t="s">
        <v>467</v>
      </c>
      <c r="P96" t="s">
        <v>291</v>
      </c>
      <c r="T96" t="s">
        <v>534</v>
      </c>
      <c r="V96" t="s">
        <v>87</v>
      </c>
      <c r="W96" t="s">
        <v>291</v>
      </c>
      <c r="Z96" t="s">
        <v>292</v>
      </c>
      <c r="AC96" t="s">
        <v>292</v>
      </c>
      <c r="AE96" t="s">
        <v>87</v>
      </c>
      <c r="AF96" t="s">
        <v>291</v>
      </c>
    </row>
    <row r="97" spans="1:33" x14ac:dyDescent="0.3">
      <c r="B97" t="s">
        <v>527</v>
      </c>
      <c r="C97" t="s">
        <v>291</v>
      </c>
      <c r="E97" t="s">
        <v>546</v>
      </c>
      <c r="F97" t="s">
        <v>291</v>
      </c>
      <c r="I97" t="s">
        <v>292</v>
      </c>
      <c r="K97" t="s">
        <v>74</v>
      </c>
      <c r="L97" t="s">
        <v>291</v>
      </c>
      <c r="O97" t="s">
        <v>467</v>
      </c>
      <c r="P97" t="s">
        <v>291</v>
      </c>
      <c r="T97" t="s">
        <v>534</v>
      </c>
      <c r="V97" t="s">
        <v>87</v>
      </c>
      <c r="W97" t="s">
        <v>291</v>
      </c>
      <c r="Z97" t="s">
        <v>292</v>
      </c>
      <c r="AC97" t="s">
        <v>292</v>
      </c>
      <c r="AE97" t="s">
        <v>87</v>
      </c>
      <c r="AF97" t="s">
        <v>291</v>
      </c>
    </row>
    <row r="98" spans="1:33" x14ac:dyDescent="0.3">
      <c r="A98" t="s">
        <v>594</v>
      </c>
      <c r="B98" t="s">
        <v>594</v>
      </c>
      <c r="C98" t="s">
        <v>292</v>
      </c>
      <c r="D98" t="s">
        <v>546</v>
      </c>
      <c r="E98" t="s">
        <v>546</v>
      </c>
      <c r="F98" t="s">
        <v>292</v>
      </c>
      <c r="I98" t="s">
        <v>292</v>
      </c>
      <c r="J98" t="s">
        <v>74</v>
      </c>
      <c r="K98" t="s">
        <v>74</v>
      </c>
      <c r="L98" t="s">
        <v>292</v>
      </c>
      <c r="M98" t="s">
        <v>473</v>
      </c>
      <c r="O98" t="s">
        <v>465</v>
      </c>
      <c r="P98" t="s">
        <v>291</v>
      </c>
      <c r="R98" t="s">
        <v>341</v>
      </c>
      <c r="S98" t="s">
        <v>340</v>
      </c>
      <c r="T98" t="s">
        <v>534</v>
      </c>
      <c r="U98" t="s">
        <v>87</v>
      </c>
      <c r="V98" t="s">
        <v>87</v>
      </c>
      <c r="W98" t="s">
        <v>292</v>
      </c>
      <c r="Z98" t="s">
        <v>292</v>
      </c>
      <c r="AC98" t="s">
        <v>292</v>
      </c>
      <c r="AD98" t="s">
        <v>87</v>
      </c>
      <c r="AE98" t="s">
        <v>87</v>
      </c>
      <c r="AF98" t="s">
        <v>292</v>
      </c>
    </row>
    <row r="99" spans="1:33" x14ac:dyDescent="0.3">
      <c r="B99" t="s">
        <v>528</v>
      </c>
      <c r="C99" t="s">
        <v>291</v>
      </c>
      <c r="E99" t="s">
        <v>546</v>
      </c>
      <c r="F99" t="s">
        <v>291</v>
      </c>
      <c r="I99" t="s">
        <v>292</v>
      </c>
      <c r="K99" t="s">
        <v>74</v>
      </c>
      <c r="L99" t="s">
        <v>291</v>
      </c>
      <c r="O99" t="s">
        <v>467</v>
      </c>
      <c r="P99" t="s">
        <v>291</v>
      </c>
      <c r="T99" t="s">
        <v>534</v>
      </c>
      <c r="V99" t="s">
        <v>87</v>
      </c>
      <c r="W99" t="s">
        <v>291</v>
      </c>
      <c r="Z99" t="s">
        <v>292</v>
      </c>
      <c r="AC99" t="s">
        <v>292</v>
      </c>
      <c r="AE99" t="s">
        <v>87</v>
      </c>
      <c r="AF99" t="s">
        <v>291</v>
      </c>
    </row>
    <row r="100" spans="1:33" x14ac:dyDescent="0.3">
      <c r="A100" t="s">
        <v>596</v>
      </c>
      <c r="B100" t="s">
        <v>596</v>
      </c>
      <c r="C100" t="s">
        <v>292</v>
      </c>
      <c r="D100" t="s">
        <v>546</v>
      </c>
      <c r="E100" t="s">
        <v>546</v>
      </c>
      <c r="F100" t="s">
        <v>292</v>
      </c>
      <c r="I100" t="s">
        <v>292</v>
      </c>
      <c r="J100" t="s">
        <v>74</v>
      </c>
      <c r="K100" t="s">
        <v>74</v>
      </c>
      <c r="L100" t="s">
        <v>292</v>
      </c>
      <c r="M100" t="s">
        <v>473</v>
      </c>
      <c r="O100" t="s">
        <v>465</v>
      </c>
      <c r="P100" t="s">
        <v>291</v>
      </c>
      <c r="R100" t="s">
        <v>341</v>
      </c>
      <c r="S100" t="s">
        <v>340</v>
      </c>
      <c r="T100" t="s">
        <v>534</v>
      </c>
      <c r="U100" t="s">
        <v>87</v>
      </c>
      <c r="V100" t="s">
        <v>87</v>
      </c>
      <c r="W100" t="s">
        <v>292</v>
      </c>
      <c r="Z100" t="s">
        <v>292</v>
      </c>
      <c r="AC100" t="s">
        <v>292</v>
      </c>
      <c r="AD100" t="s">
        <v>87</v>
      </c>
      <c r="AE100" t="s">
        <v>87</v>
      </c>
      <c r="AF100" t="s">
        <v>292</v>
      </c>
    </row>
    <row r="101" spans="1:33" x14ac:dyDescent="0.3">
      <c r="B101" t="s">
        <v>529</v>
      </c>
      <c r="C101" t="s">
        <v>291</v>
      </c>
      <c r="E101" t="s">
        <v>546</v>
      </c>
      <c r="F101" t="s">
        <v>291</v>
      </c>
      <c r="I101" t="s">
        <v>292</v>
      </c>
      <c r="K101" t="s">
        <v>74</v>
      </c>
      <c r="L101" t="s">
        <v>291</v>
      </c>
      <c r="O101" t="s">
        <v>182</v>
      </c>
      <c r="P101" t="s">
        <v>291</v>
      </c>
      <c r="T101" t="s">
        <v>534</v>
      </c>
      <c r="V101" t="s">
        <v>87</v>
      </c>
      <c r="W101" t="s">
        <v>291</v>
      </c>
      <c r="Z101" t="s">
        <v>292</v>
      </c>
      <c r="AC101" t="s">
        <v>292</v>
      </c>
      <c r="AE101" t="s">
        <v>87</v>
      </c>
      <c r="AF101" t="s">
        <v>291</v>
      </c>
    </row>
    <row r="102" spans="1:33" x14ac:dyDescent="0.3">
      <c r="A102" t="s">
        <v>599</v>
      </c>
      <c r="B102" t="s">
        <v>599</v>
      </c>
      <c r="C102" t="s">
        <v>292</v>
      </c>
      <c r="D102" t="s">
        <v>546</v>
      </c>
      <c r="E102" t="s">
        <v>546</v>
      </c>
      <c r="F102" t="s">
        <v>292</v>
      </c>
      <c r="I102" t="s">
        <v>292</v>
      </c>
      <c r="J102" t="s">
        <v>74</v>
      </c>
      <c r="K102" t="s">
        <v>74</v>
      </c>
      <c r="L102" t="s">
        <v>292</v>
      </c>
      <c r="M102" t="s">
        <v>473</v>
      </c>
      <c r="O102" t="s">
        <v>465</v>
      </c>
      <c r="P102" t="s">
        <v>291</v>
      </c>
      <c r="R102" t="s">
        <v>341</v>
      </c>
      <c r="S102" t="s">
        <v>340</v>
      </c>
      <c r="T102" t="s">
        <v>534</v>
      </c>
      <c r="U102" t="s">
        <v>87</v>
      </c>
      <c r="V102" t="s">
        <v>87</v>
      </c>
      <c r="W102" t="s">
        <v>292</v>
      </c>
      <c r="Z102" t="s">
        <v>292</v>
      </c>
      <c r="AC102" t="s">
        <v>292</v>
      </c>
      <c r="AD102" t="s">
        <v>87</v>
      </c>
      <c r="AE102" t="s">
        <v>87</v>
      </c>
      <c r="AF102" t="s">
        <v>292</v>
      </c>
    </row>
    <row r="103" spans="1:33" x14ac:dyDescent="0.3">
      <c r="B103" t="s">
        <v>530</v>
      </c>
      <c r="C103" t="s">
        <v>291</v>
      </c>
      <c r="E103" t="s">
        <v>546</v>
      </c>
      <c r="F103" t="s">
        <v>291</v>
      </c>
      <c r="I103" t="s">
        <v>292</v>
      </c>
      <c r="K103" t="s">
        <v>74</v>
      </c>
      <c r="L103" t="s">
        <v>291</v>
      </c>
      <c r="O103" t="s">
        <v>467</v>
      </c>
      <c r="P103" t="s">
        <v>291</v>
      </c>
      <c r="T103" t="s">
        <v>534</v>
      </c>
      <c r="V103" t="s">
        <v>87</v>
      </c>
      <c r="W103" t="s">
        <v>291</v>
      </c>
      <c r="Z103" t="s">
        <v>292</v>
      </c>
      <c r="AC103" t="s">
        <v>292</v>
      </c>
      <c r="AE103" t="s">
        <v>87</v>
      </c>
      <c r="AF103" t="s">
        <v>291</v>
      </c>
    </row>
    <row r="104" spans="1:33" x14ac:dyDescent="0.3">
      <c r="A104" t="s">
        <v>607</v>
      </c>
      <c r="B104" t="s">
        <v>607</v>
      </c>
      <c r="C104" t="s">
        <v>292</v>
      </c>
      <c r="D104" t="s">
        <v>546</v>
      </c>
      <c r="E104" t="s">
        <v>546</v>
      </c>
      <c r="F104" t="s">
        <v>292</v>
      </c>
      <c r="I104" t="s">
        <v>292</v>
      </c>
      <c r="J104" t="s">
        <v>74</v>
      </c>
      <c r="K104" t="s">
        <v>74</v>
      </c>
      <c r="L104" t="s">
        <v>292</v>
      </c>
      <c r="M104" t="s">
        <v>473</v>
      </c>
      <c r="O104" t="s">
        <v>455</v>
      </c>
      <c r="P104" t="s">
        <v>291</v>
      </c>
      <c r="R104" t="s">
        <v>341</v>
      </c>
      <c r="S104" t="s">
        <v>340</v>
      </c>
      <c r="T104" t="s">
        <v>534</v>
      </c>
      <c r="U104" t="s">
        <v>87</v>
      </c>
      <c r="V104" t="s">
        <v>87</v>
      </c>
      <c r="W104" t="s">
        <v>292</v>
      </c>
      <c r="Z104" t="s">
        <v>292</v>
      </c>
      <c r="AC104" t="s">
        <v>292</v>
      </c>
      <c r="AD104" t="s">
        <v>87</v>
      </c>
      <c r="AE104" t="s">
        <v>87</v>
      </c>
      <c r="AF104" t="s">
        <v>292</v>
      </c>
    </row>
    <row r="105" spans="1:33" x14ac:dyDescent="0.3">
      <c r="B105" t="s">
        <v>531</v>
      </c>
      <c r="C105" t="s">
        <v>291</v>
      </c>
      <c r="E105" t="s">
        <v>546</v>
      </c>
      <c r="F105" t="s">
        <v>291</v>
      </c>
      <c r="I105" t="s">
        <v>292</v>
      </c>
      <c r="K105" t="s">
        <v>74</v>
      </c>
      <c r="L105" t="s">
        <v>291</v>
      </c>
      <c r="O105" t="s">
        <v>467</v>
      </c>
      <c r="P105" t="s">
        <v>291</v>
      </c>
      <c r="T105" t="s">
        <v>534</v>
      </c>
      <c r="V105" t="s">
        <v>87</v>
      </c>
      <c r="W105" t="s">
        <v>291</v>
      </c>
      <c r="Z105" t="s">
        <v>292</v>
      </c>
      <c r="AC105" t="s">
        <v>292</v>
      </c>
      <c r="AE105" t="s">
        <v>87</v>
      </c>
      <c r="AF105" t="s">
        <v>291</v>
      </c>
    </row>
    <row r="106" spans="1:33" x14ac:dyDescent="0.3">
      <c r="A106" t="s">
        <v>606</v>
      </c>
      <c r="B106" t="s">
        <v>606</v>
      </c>
      <c r="C106" t="s">
        <v>292</v>
      </c>
      <c r="D106" t="s">
        <v>546</v>
      </c>
      <c r="E106" t="s">
        <v>546</v>
      </c>
      <c r="F106" t="s">
        <v>292</v>
      </c>
      <c r="I106" t="s">
        <v>292</v>
      </c>
      <c r="J106" t="s">
        <v>74</v>
      </c>
      <c r="K106" t="s">
        <v>74</v>
      </c>
      <c r="L106" t="s">
        <v>292</v>
      </c>
      <c r="M106" t="s">
        <v>473</v>
      </c>
      <c r="O106" t="s">
        <v>465</v>
      </c>
      <c r="P106" t="s">
        <v>291</v>
      </c>
      <c r="R106" t="s">
        <v>341</v>
      </c>
      <c r="S106" t="s">
        <v>340</v>
      </c>
      <c r="T106" t="s">
        <v>534</v>
      </c>
      <c r="U106" t="s">
        <v>87</v>
      </c>
      <c r="V106" t="s">
        <v>87</v>
      </c>
      <c r="W106" t="s">
        <v>292</v>
      </c>
      <c r="Z106" t="s">
        <v>292</v>
      </c>
      <c r="AC106" t="s">
        <v>292</v>
      </c>
      <c r="AD106" t="s">
        <v>87</v>
      </c>
      <c r="AE106" t="s">
        <v>87</v>
      </c>
      <c r="AF106" t="s">
        <v>292</v>
      </c>
    </row>
    <row r="107" spans="1:33" x14ac:dyDescent="0.3">
      <c r="B107" t="s">
        <v>532</v>
      </c>
      <c r="C107" t="s">
        <v>291</v>
      </c>
      <c r="E107" t="s">
        <v>546</v>
      </c>
      <c r="F107" t="s">
        <v>291</v>
      </c>
      <c r="I107" t="s">
        <v>292</v>
      </c>
      <c r="K107" t="s">
        <v>74</v>
      </c>
      <c r="L107" t="s">
        <v>291</v>
      </c>
      <c r="O107" t="s">
        <v>345</v>
      </c>
      <c r="P107" t="s">
        <v>291</v>
      </c>
      <c r="T107" t="s">
        <v>534</v>
      </c>
      <c r="V107" t="s">
        <v>87</v>
      </c>
      <c r="W107" t="s">
        <v>291</v>
      </c>
      <c r="Z107" t="s">
        <v>292</v>
      </c>
      <c r="AC107" t="s">
        <v>292</v>
      </c>
      <c r="AE107" t="s">
        <v>87</v>
      </c>
      <c r="AF107" t="s">
        <v>291</v>
      </c>
    </row>
    <row r="108" spans="1:33" x14ac:dyDescent="0.3">
      <c r="A108" t="s">
        <v>625</v>
      </c>
      <c r="B108" t="s">
        <v>625</v>
      </c>
      <c r="C108" t="s">
        <v>292</v>
      </c>
      <c r="D108" t="s">
        <v>626</v>
      </c>
      <c r="E108" t="s">
        <v>626</v>
      </c>
      <c r="F108" t="s">
        <v>292</v>
      </c>
      <c r="I108" t="s">
        <v>292</v>
      </c>
      <c r="J108" t="s">
        <v>78</v>
      </c>
      <c r="K108" t="s">
        <v>78</v>
      </c>
      <c r="L108" t="s">
        <v>292</v>
      </c>
      <c r="M108" t="s">
        <v>537</v>
      </c>
      <c r="O108" t="s">
        <v>462</v>
      </c>
      <c r="P108" t="s">
        <v>291</v>
      </c>
      <c r="R108" t="s">
        <v>538</v>
      </c>
      <c r="S108" t="s">
        <v>262</v>
      </c>
      <c r="T108" t="s">
        <v>534</v>
      </c>
      <c r="U108" t="s">
        <v>87</v>
      </c>
      <c r="V108" t="s">
        <v>87</v>
      </c>
      <c r="W108" t="s">
        <v>292</v>
      </c>
      <c r="Z108" t="s">
        <v>292</v>
      </c>
      <c r="AC108" t="s">
        <v>292</v>
      </c>
      <c r="AD108" t="s">
        <v>87</v>
      </c>
      <c r="AE108" t="s">
        <v>87</v>
      </c>
      <c r="AF108" t="s">
        <v>292</v>
      </c>
      <c r="AG108" t="s">
        <v>634</v>
      </c>
    </row>
    <row r="109" spans="1:33" x14ac:dyDescent="0.3">
      <c r="A109" t="s">
        <v>545</v>
      </c>
      <c r="B109" t="s">
        <v>545</v>
      </c>
      <c r="C109" t="s">
        <v>292</v>
      </c>
      <c r="D109" t="s">
        <v>535</v>
      </c>
      <c r="E109" t="s">
        <v>535</v>
      </c>
      <c r="F109" t="s">
        <v>292</v>
      </c>
      <c r="I109" t="s">
        <v>292</v>
      </c>
      <c r="J109" t="s">
        <v>78</v>
      </c>
      <c r="K109" t="s">
        <v>78</v>
      </c>
      <c r="L109" t="s">
        <v>292</v>
      </c>
      <c r="M109" t="s">
        <v>471</v>
      </c>
      <c r="O109" t="s">
        <v>468</v>
      </c>
      <c r="P109" t="s">
        <v>291</v>
      </c>
      <c r="R109" t="s">
        <v>255</v>
      </c>
      <c r="S109" t="s">
        <v>262</v>
      </c>
      <c r="T109" t="s">
        <v>534</v>
      </c>
      <c r="U109" t="s">
        <v>87</v>
      </c>
      <c r="V109" t="s">
        <v>87</v>
      </c>
      <c r="W109" t="s">
        <v>292</v>
      </c>
      <c r="Z109" t="s">
        <v>292</v>
      </c>
      <c r="AC109" t="s">
        <v>292</v>
      </c>
      <c r="AD109" t="s">
        <v>87</v>
      </c>
      <c r="AE109" t="s">
        <v>87</v>
      </c>
      <c r="AF109" t="s">
        <v>292</v>
      </c>
      <c r="AG109" t="s">
        <v>819</v>
      </c>
    </row>
    <row r="110" spans="1:33" x14ac:dyDescent="0.3">
      <c r="A110" t="s">
        <v>624</v>
      </c>
      <c r="B110" t="s">
        <v>624</v>
      </c>
      <c r="C110" t="s">
        <v>292</v>
      </c>
      <c r="D110" t="s">
        <v>576</v>
      </c>
      <c r="E110" t="s">
        <v>576</v>
      </c>
      <c r="F110" t="s">
        <v>292</v>
      </c>
      <c r="I110" t="s">
        <v>292</v>
      </c>
      <c r="J110" t="s">
        <v>339</v>
      </c>
      <c r="K110" t="s">
        <v>339</v>
      </c>
      <c r="L110" t="s">
        <v>292</v>
      </c>
      <c r="M110" t="s">
        <v>536</v>
      </c>
      <c r="O110" t="s">
        <v>462</v>
      </c>
      <c r="P110" t="s">
        <v>291</v>
      </c>
      <c r="R110" t="s">
        <v>255</v>
      </c>
      <c r="S110" t="s">
        <v>262</v>
      </c>
      <c r="T110" t="s">
        <v>534</v>
      </c>
      <c r="U110" t="s">
        <v>87</v>
      </c>
      <c r="V110" t="s">
        <v>87</v>
      </c>
      <c r="W110" t="s">
        <v>292</v>
      </c>
      <c r="Z110" t="s">
        <v>292</v>
      </c>
      <c r="AC110" t="s">
        <v>292</v>
      </c>
      <c r="AD110" t="s">
        <v>87</v>
      </c>
      <c r="AE110" t="s">
        <v>87</v>
      </c>
      <c r="AF110" t="s">
        <v>292</v>
      </c>
    </row>
    <row r="111" spans="1:33" x14ac:dyDescent="0.3">
      <c r="A111" t="s">
        <v>648</v>
      </c>
      <c r="B111" t="s">
        <v>648</v>
      </c>
      <c r="C111" t="s">
        <v>292</v>
      </c>
      <c r="D111" t="s">
        <v>649</v>
      </c>
      <c r="E111" t="s">
        <v>649</v>
      </c>
      <c r="F111" t="s">
        <v>292</v>
      </c>
      <c r="I111" t="s">
        <v>292</v>
      </c>
      <c r="J111" t="s">
        <v>78</v>
      </c>
      <c r="K111" t="s">
        <v>78</v>
      </c>
      <c r="L111" t="s">
        <v>292</v>
      </c>
      <c r="M111" t="s">
        <v>476</v>
      </c>
      <c r="O111" t="s">
        <v>462</v>
      </c>
      <c r="P111" t="s">
        <v>291</v>
      </c>
      <c r="R111" t="s">
        <v>389</v>
      </c>
      <c r="S111" t="s">
        <v>262</v>
      </c>
      <c r="T111" t="s">
        <v>534</v>
      </c>
      <c r="U111" t="s">
        <v>87</v>
      </c>
      <c r="V111" t="s">
        <v>87</v>
      </c>
      <c r="W111" t="s">
        <v>292</v>
      </c>
      <c r="Z111" t="s">
        <v>292</v>
      </c>
      <c r="AC111" t="s">
        <v>292</v>
      </c>
      <c r="AD111" t="s">
        <v>87</v>
      </c>
      <c r="AE111" t="s">
        <v>87</v>
      </c>
      <c r="AF111" t="s">
        <v>292</v>
      </c>
      <c r="AG111" t="s">
        <v>802</v>
      </c>
    </row>
    <row r="112" spans="1:33" x14ac:dyDescent="0.3">
      <c r="A112" t="s">
        <v>533</v>
      </c>
      <c r="B112" t="s">
        <v>533</v>
      </c>
      <c r="C112" t="s">
        <v>292</v>
      </c>
      <c r="D112" t="s">
        <v>535</v>
      </c>
      <c r="E112" t="s">
        <v>535</v>
      </c>
      <c r="F112" t="s">
        <v>292</v>
      </c>
      <c r="I112" t="s">
        <v>292</v>
      </c>
      <c r="J112" t="s">
        <v>78</v>
      </c>
      <c r="K112" t="s">
        <v>78</v>
      </c>
      <c r="L112" t="s">
        <v>292</v>
      </c>
      <c r="M112" t="s">
        <v>471</v>
      </c>
      <c r="O112" t="s">
        <v>462</v>
      </c>
      <c r="P112" t="s">
        <v>291</v>
      </c>
      <c r="R112" t="s">
        <v>255</v>
      </c>
      <c r="S112" t="s">
        <v>262</v>
      </c>
      <c r="T112" t="s">
        <v>534</v>
      </c>
      <c r="U112" t="s">
        <v>87</v>
      </c>
      <c r="V112" t="s">
        <v>87</v>
      </c>
      <c r="W112" t="s">
        <v>292</v>
      </c>
      <c r="Z112" t="s">
        <v>292</v>
      </c>
      <c r="AC112" t="s">
        <v>292</v>
      </c>
      <c r="AD112" t="s">
        <v>87</v>
      </c>
      <c r="AE112" t="s">
        <v>87</v>
      </c>
      <c r="AF112" t="s">
        <v>292</v>
      </c>
      <c r="AG112" t="s">
        <v>819</v>
      </c>
    </row>
    <row r="113" spans="1:33" x14ac:dyDescent="0.3">
      <c r="A113" t="s">
        <v>761</v>
      </c>
      <c r="B113" t="s">
        <v>761</v>
      </c>
      <c r="C113" t="s">
        <v>292</v>
      </c>
      <c r="D113" t="s">
        <v>677</v>
      </c>
      <c r="E113" t="s">
        <v>677</v>
      </c>
      <c r="F113" t="s">
        <v>292</v>
      </c>
      <c r="I113" t="s">
        <v>292</v>
      </c>
      <c r="J113" t="s">
        <v>78</v>
      </c>
      <c r="K113" t="s">
        <v>78</v>
      </c>
      <c r="L113" t="s">
        <v>292</v>
      </c>
      <c r="M113" t="s">
        <v>652</v>
      </c>
      <c r="O113" t="s">
        <v>465</v>
      </c>
      <c r="P113" t="s">
        <v>291</v>
      </c>
      <c r="Q113" t="s">
        <v>678</v>
      </c>
      <c r="R113" t="s">
        <v>474</v>
      </c>
      <c r="S113" t="s">
        <v>262</v>
      </c>
      <c r="T113" t="s">
        <v>534</v>
      </c>
      <c r="U113" t="s">
        <v>87</v>
      </c>
      <c r="V113" t="s">
        <v>87</v>
      </c>
      <c r="W113" t="s">
        <v>292</v>
      </c>
      <c r="Z113" t="s">
        <v>292</v>
      </c>
      <c r="AC113" t="s">
        <v>292</v>
      </c>
      <c r="AD113" t="s">
        <v>87</v>
      </c>
      <c r="AE113" t="s">
        <v>87</v>
      </c>
      <c r="AF113" t="s">
        <v>292</v>
      </c>
      <c r="AG113" t="s">
        <v>803</v>
      </c>
    </row>
    <row r="114" spans="1:33" x14ac:dyDescent="0.3">
      <c r="A114" t="s">
        <v>544</v>
      </c>
      <c r="B114" t="s">
        <v>544</v>
      </c>
      <c r="C114" t="s">
        <v>292</v>
      </c>
      <c r="D114" t="s">
        <v>535</v>
      </c>
      <c r="E114" t="s">
        <v>535</v>
      </c>
      <c r="F114" t="s">
        <v>292</v>
      </c>
      <c r="I114" t="s">
        <v>292</v>
      </c>
      <c r="J114" t="s">
        <v>78</v>
      </c>
      <c r="K114" t="s">
        <v>78</v>
      </c>
      <c r="L114" t="s">
        <v>292</v>
      </c>
      <c r="M114" t="s">
        <v>471</v>
      </c>
      <c r="O114" t="s">
        <v>462</v>
      </c>
      <c r="P114" t="s">
        <v>291</v>
      </c>
      <c r="R114" t="s">
        <v>255</v>
      </c>
      <c r="S114" t="s">
        <v>262</v>
      </c>
      <c r="T114" t="s">
        <v>534</v>
      </c>
      <c r="U114" t="s">
        <v>87</v>
      </c>
      <c r="V114" t="s">
        <v>87</v>
      </c>
      <c r="W114" t="s">
        <v>292</v>
      </c>
      <c r="Z114" t="s">
        <v>292</v>
      </c>
      <c r="AC114" t="s">
        <v>292</v>
      </c>
      <c r="AD114" t="s">
        <v>87</v>
      </c>
      <c r="AE114" t="s">
        <v>87</v>
      </c>
      <c r="AF114" t="s">
        <v>292</v>
      </c>
      <c r="AG114" t="s">
        <v>819</v>
      </c>
    </row>
    <row r="115" spans="1:33" x14ac:dyDescent="0.3">
      <c r="A115" t="s">
        <v>733</v>
      </c>
      <c r="B115" t="s">
        <v>733</v>
      </c>
      <c r="C115" t="s">
        <v>292</v>
      </c>
      <c r="D115" t="s">
        <v>549</v>
      </c>
      <c r="E115" t="s">
        <v>549</v>
      </c>
      <c r="F115" t="s">
        <v>292</v>
      </c>
      <c r="I115" t="s">
        <v>292</v>
      </c>
      <c r="J115" t="s">
        <v>76</v>
      </c>
      <c r="K115" t="s">
        <v>76</v>
      </c>
      <c r="L115" t="s">
        <v>292</v>
      </c>
      <c r="M115" t="s">
        <v>536</v>
      </c>
      <c r="O115" t="s">
        <v>465</v>
      </c>
      <c r="P115" t="s">
        <v>291</v>
      </c>
      <c r="R115" t="s">
        <v>255</v>
      </c>
      <c r="S115" t="s">
        <v>262</v>
      </c>
      <c r="T115" t="s">
        <v>534</v>
      </c>
      <c r="U115" t="s">
        <v>87</v>
      </c>
      <c r="V115" t="s">
        <v>87</v>
      </c>
      <c r="W115" t="s">
        <v>292</v>
      </c>
      <c r="Z115" t="s">
        <v>292</v>
      </c>
      <c r="AC115" t="s">
        <v>292</v>
      </c>
      <c r="AD115" t="s">
        <v>87</v>
      </c>
      <c r="AE115" t="s">
        <v>87</v>
      </c>
      <c r="AF115" t="s">
        <v>292</v>
      </c>
    </row>
    <row r="116" spans="1:33" x14ac:dyDescent="0.3">
      <c r="A116" t="s">
        <v>745</v>
      </c>
      <c r="B116" t="s">
        <v>745</v>
      </c>
      <c r="C116" t="s">
        <v>292</v>
      </c>
      <c r="D116" t="s">
        <v>549</v>
      </c>
      <c r="E116" t="s">
        <v>549</v>
      </c>
      <c r="F116" t="s">
        <v>292</v>
      </c>
      <c r="I116" t="s">
        <v>292</v>
      </c>
      <c r="J116" t="s">
        <v>76</v>
      </c>
      <c r="K116" t="s">
        <v>76</v>
      </c>
      <c r="L116" t="s">
        <v>292</v>
      </c>
      <c r="M116" t="s">
        <v>536</v>
      </c>
      <c r="O116" t="s">
        <v>465</v>
      </c>
      <c r="P116" t="s">
        <v>291</v>
      </c>
      <c r="R116" t="s">
        <v>255</v>
      </c>
      <c r="S116" t="s">
        <v>262</v>
      </c>
      <c r="T116" t="s">
        <v>534</v>
      </c>
      <c r="U116" t="s">
        <v>87</v>
      </c>
      <c r="V116" t="s">
        <v>87</v>
      </c>
      <c r="W116" t="s">
        <v>292</v>
      </c>
      <c r="Z116" t="s">
        <v>292</v>
      </c>
      <c r="AC116" t="s">
        <v>292</v>
      </c>
      <c r="AD116" t="s">
        <v>87</v>
      </c>
      <c r="AE116" t="s">
        <v>87</v>
      </c>
      <c r="AF116" t="s">
        <v>292</v>
      </c>
    </row>
    <row r="117" spans="1:33" x14ac:dyDescent="0.3">
      <c r="A117" t="s">
        <v>558</v>
      </c>
      <c r="B117" t="s">
        <v>558</v>
      </c>
      <c r="C117" t="s">
        <v>292</v>
      </c>
      <c r="D117" t="s">
        <v>559</v>
      </c>
      <c r="E117" t="s">
        <v>559</v>
      </c>
      <c r="F117" t="s">
        <v>292</v>
      </c>
      <c r="G117">
        <v>-20</v>
      </c>
      <c r="H117">
        <v>-20</v>
      </c>
      <c r="I117" t="s">
        <v>292</v>
      </c>
      <c r="J117" t="s">
        <v>76</v>
      </c>
      <c r="K117" t="s">
        <v>76</v>
      </c>
      <c r="L117" t="s">
        <v>292</v>
      </c>
      <c r="M117" t="s">
        <v>667</v>
      </c>
      <c r="O117" t="s">
        <v>466</v>
      </c>
      <c r="P117" t="s">
        <v>291</v>
      </c>
      <c r="Q117" t="s">
        <v>669</v>
      </c>
      <c r="R117" t="s">
        <v>666</v>
      </c>
      <c r="S117" t="s">
        <v>262</v>
      </c>
      <c r="T117" t="s">
        <v>534</v>
      </c>
      <c r="U117" t="s">
        <v>87</v>
      </c>
      <c r="V117" t="s">
        <v>87</v>
      </c>
      <c r="W117" t="s">
        <v>292</v>
      </c>
      <c r="Y117">
        <v>0</v>
      </c>
      <c r="Z117" t="s">
        <v>291</v>
      </c>
      <c r="AC117" t="s">
        <v>292</v>
      </c>
      <c r="AD117" t="s">
        <v>87</v>
      </c>
      <c r="AE117" t="s">
        <v>87</v>
      </c>
      <c r="AF117" t="s">
        <v>292</v>
      </c>
      <c r="AG117" t="s">
        <v>630</v>
      </c>
    </row>
    <row r="118" spans="1:33" x14ac:dyDescent="0.3">
      <c r="A118" t="s">
        <v>560</v>
      </c>
      <c r="B118" t="s">
        <v>560</v>
      </c>
      <c r="C118" t="s">
        <v>292</v>
      </c>
      <c r="D118" t="s">
        <v>559</v>
      </c>
      <c r="E118" t="s">
        <v>559</v>
      </c>
      <c r="F118" t="s">
        <v>292</v>
      </c>
      <c r="G118">
        <v>-20</v>
      </c>
      <c r="H118">
        <v>-20</v>
      </c>
      <c r="I118" t="s">
        <v>292</v>
      </c>
      <c r="J118" t="s">
        <v>76</v>
      </c>
      <c r="K118" t="s">
        <v>76</v>
      </c>
      <c r="L118" t="s">
        <v>292</v>
      </c>
      <c r="M118" t="s">
        <v>667</v>
      </c>
      <c r="O118" t="s">
        <v>466</v>
      </c>
      <c r="P118" t="s">
        <v>291</v>
      </c>
      <c r="Q118" t="s">
        <v>669</v>
      </c>
      <c r="R118" t="s">
        <v>666</v>
      </c>
      <c r="S118" t="s">
        <v>262</v>
      </c>
      <c r="T118" t="s">
        <v>534</v>
      </c>
      <c r="U118" t="s">
        <v>87</v>
      </c>
      <c r="V118" t="s">
        <v>87</v>
      </c>
      <c r="W118" t="s">
        <v>292</v>
      </c>
      <c r="Y118">
        <v>0</v>
      </c>
      <c r="Z118" t="s">
        <v>291</v>
      </c>
      <c r="AC118" t="s">
        <v>292</v>
      </c>
      <c r="AD118" t="s">
        <v>87</v>
      </c>
      <c r="AE118" t="s">
        <v>87</v>
      </c>
      <c r="AF118" t="s">
        <v>292</v>
      </c>
      <c r="AG118" t="s">
        <v>630</v>
      </c>
    </row>
    <row r="119" spans="1:33" x14ac:dyDescent="0.3">
      <c r="A119" t="s">
        <v>567</v>
      </c>
      <c r="B119" t="s">
        <v>567</v>
      </c>
      <c r="C119" t="s">
        <v>292</v>
      </c>
      <c r="D119" t="s">
        <v>568</v>
      </c>
      <c r="E119" t="s">
        <v>568</v>
      </c>
      <c r="F119" t="s">
        <v>292</v>
      </c>
      <c r="I119" t="s">
        <v>292</v>
      </c>
      <c r="J119" t="s">
        <v>339</v>
      </c>
      <c r="K119" t="s">
        <v>339</v>
      </c>
      <c r="L119" t="s">
        <v>292</v>
      </c>
      <c r="M119" t="s">
        <v>668</v>
      </c>
      <c r="O119" t="s">
        <v>462</v>
      </c>
      <c r="P119" t="s">
        <v>291</v>
      </c>
      <c r="R119" t="s">
        <v>388</v>
      </c>
      <c r="S119" t="s">
        <v>262</v>
      </c>
      <c r="T119" t="s">
        <v>534</v>
      </c>
      <c r="U119" t="s">
        <v>87</v>
      </c>
      <c r="V119" t="s">
        <v>87</v>
      </c>
      <c r="W119" t="s">
        <v>292</v>
      </c>
      <c r="Z119" t="s">
        <v>292</v>
      </c>
      <c r="AC119" t="s">
        <v>292</v>
      </c>
      <c r="AD119" t="s">
        <v>87</v>
      </c>
      <c r="AE119" t="s">
        <v>87</v>
      </c>
      <c r="AF119" t="s">
        <v>292</v>
      </c>
    </row>
    <row r="120" spans="1:33" x14ac:dyDescent="0.3">
      <c r="A120" t="s">
        <v>561</v>
      </c>
      <c r="B120" t="s">
        <v>561</v>
      </c>
      <c r="C120" t="s">
        <v>292</v>
      </c>
      <c r="D120" t="s">
        <v>562</v>
      </c>
      <c r="E120" t="s">
        <v>562</v>
      </c>
      <c r="F120" t="s">
        <v>292</v>
      </c>
      <c r="G120">
        <v>-20</v>
      </c>
      <c r="H120">
        <v>-20</v>
      </c>
      <c r="I120" t="s">
        <v>292</v>
      </c>
      <c r="J120" t="s">
        <v>78</v>
      </c>
      <c r="K120" t="s">
        <v>78</v>
      </c>
      <c r="L120" t="s">
        <v>292</v>
      </c>
      <c r="M120" t="s">
        <v>667</v>
      </c>
      <c r="O120" t="s">
        <v>466</v>
      </c>
      <c r="P120" t="s">
        <v>291</v>
      </c>
      <c r="Q120" t="s">
        <v>665</v>
      </c>
      <c r="R120" t="s">
        <v>666</v>
      </c>
      <c r="S120" t="s">
        <v>262</v>
      </c>
      <c r="T120" t="s">
        <v>534</v>
      </c>
      <c r="U120" t="s">
        <v>87</v>
      </c>
      <c r="V120" t="s">
        <v>87</v>
      </c>
      <c r="W120" t="s">
        <v>292</v>
      </c>
      <c r="Y120">
        <v>0</v>
      </c>
      <c r="Z120" t="s">
        <v>291</v>
      </c>
      <c r="AC120" t="s">
        <v>292</v>
      </c>
      <c r="AD120" t="s">
        <v>87</v>
      </c>
      <c r="AE120" t="s">
        <v>87</v>
      </c>
      <c r="AF120" t="s">
        <v>292</v>
      </c>
      <c r="AG120" t="s">
        <v>631</v>
      </c>
    </row>
    <row r="121" spans="1:33" x14ac:dyDescent="0.3">
      <c r="A121" t="s">
        <v>762</v>
      </c>
      <c r="B121" t="s">
        <v>762</v>
      </c>
      <c r="C121" t="s">
        <v>292</v>
      </c>
      <c r="D121" t="s">
        <v>568</v>
      </c>
      <c r="E121" t="s">
        <v>568</v>
      </c>
      <c r="F121" t="s">
        <v>292</v>
      </c>
      <c r="I121" t="s">
        <v>292</v>
      </c>
      <c r="J121" t="s">
        <v>339</v>
      </c>
      <c r="K121" t="s">
        <v>339</v>
      </c>
      <c r="L121" t="s">
        <v>292</v>
      </c>
      <c r="M121" t="s">
        <v>668</v>
      </c>
      <c r="O121" t="s">
        <v>462</v>
      </c>
      <c r="P121" t="s">
        <v>291</v>
      </c>
      <c r="R121" t="s">
        <v>388</v>
      </c>
      <c r="S121" t="s">
        <v>262</v>
      </c>
      <c r="T121" t="s">
        <v>534</v>
      </c>
      <c r="U121" t="s">
        <v>87</v>
      </c>
      <c r="V121" t="s">
        <v>87</v>
      </c>
      <c r="W121" t="s">
        <v>292</v>
      </c>
      <c r="Z121" t="s">
        <v>292</v>
      </c>
      <c r="AC121" t="s">
        <v>292</v>
      </c>
      <c r="AD121" t="s">
        <v>87</v>
      </c>
      <c r="AE121" t="s">
        <v>87</v>
      </c>
      <c r="AF121" t="s">
        <v>292</v>
      </c>
    </row>
    <row r="122" spans="1:33" x14ac:dyDescent="0.3">
      <c r="A122" t="s">
        <v>563</v>
      </c>
      <c r="B122" t="s">
        <v>563</v>
      </c>
      <c r="C122" t="s">
        <v>292</v>
      </c>
      <c r="D122" t="s">
        <v>562</v>
      </c>
      <c r="E122" t="s">
        <v>562</v>
      </c>
      <c r="F122" t="s">
        <v>292</v>
      </c>
      <c r="G122">
        <v>-20</v>
      </c>
      <c r="H122">
        <v>-20</v>
      </c>
      <c r="I122" t="s">
        <v>292</v>
      </c>
      <c r="J122" t="s">
        <v>78</v>
      </c>
      <c r="K122" t="s">
        <v>78</v>
      </c>
      <c r="L122" t="s">
        <v>292</v>
      </c>
      <c r="M122" t="s">
        <v>667</v>
      </c>
      <c r="O122" t="s">
        <v>466</v>
      </c>
      <c r="P122" t="s">
        <v>291</v>
      </c>
      <c r="Q122" t="s">
        <v>665</v>
      </c>
      <c r="R122" t="s">
        <v>666</v>
      </c>
      <c r="S122" t="s">
        <v>262</v>
      </c>
      <c r="T122" t="s">
        <v>534</v>
      </c>
      <c r="U122" t="s">
        <v>87</v>
      </c>
      <c r="V122" t="s">
        <v>87</v>
      </c>
      <c r="W122" t="s">
        <v>292</v>
      </c>
      <c r="Y122">
        <v>0</v>
      </c>
      <c r="Z122" t="s">
        <v>291</v>
      </c>
      <c r="AC122" t="s">
        <v>292</v>
      </c>
      <c r="AD122" t="s">
        <v>87</v>
      </c>
      <c r="AE122" t="s">
        <v>87</v>
      </c>
      <c r="AF122" t="s">
        <v>292</v>
      </c>
      <c r="AG122" t="s">
        <v>631</v>
      </c>
    </row>
    <row r="123" spans="1:33" x14ac:dyDescent="0.3">
      <c r="A123" t="s">
        <v>764</v>
      </c>
      <c r="B123" t="s">
        <v>764</v>
      </c>
      <c r="C123" t="s">
        <v>292</v>
      </c>
      <c r="D123" t="s">
        <v>568</v>
      </c>
      <c r="E123" t="s">
        <v>568</v>
      </c>
      <c r="F123" t="s">
        <v>292</v>
      </c>
      <c r="I123" t="s">
        <v>292</v>
      </c>
      <c r="J123" t="s">
        <v>339</v>
      </c>
      <c r="K123" t="s">
        <v>339</v>
      </c>
      <c r="L123" t="s">
        <v>292</v>
      </c>
      <c r="M123" t="s">
        <v>668</v>
      </c>
      <c r="O123" t="s">
        <v>462</v>
      </c>
      <c r="P123" t="s">
        <v>291</v>
      </c>
      <c r="R123" t="s">
        <v>388</v>
      </c>
      <c r="S123" t="s">
        <v>820</v>
      </c>
      <c r="T123" t="s">
        <v>534</v>
      </c>
      <c r="U123" t="s">
        <v>87</v>
      </c>
      <c r="V123" t="s">
        <v>87</v>
      </c>
      <c r="W123" t="s">
        <v>292</v>
      </c>
      <c r="Z123" t="s">
        <v>292</v>
      </c>
      <c r="AC123" t="s">
        <v>292</v>
      </c>
      <c r="AD123" t="s">
        <v>87</v>
      </c>
      <c r="AE123" t="s">
        <v>87</v>
      </c>
      <c r="AF123" t="s">
        <v>292</v>
      </c>
    </row>
    <row r="124" spans="1:33" x14ac:dyDescent="0.3">
      <c r="A124" t="s">
        <v>703</v>
      </c>
      <c r="B124" t="s">
        <v>703</v>
      </c>
      <c r="C124" t="s">
        <v>292</v>
      </c>
      <c r="D124" t="s">
        <v>546</v>
      </c>
      <c r="E124" t="s">
        <v>546</v>
      </c>
      <c r="F124" t="s">
        <v>292</v>
      </c>
      <c r="I124" t="s">
        <v>292</v>
      </c>
      <c r="J124" t="s">
        <v>74</v>
      </c>
      <c r="K124" t="s">
        <v>74</v>
      </c>
      <c r="L124" t="s">
        <v>292</v>
      </c>
      <c r="M124" t="s">
        <v>473</v>
      </c>
      <c r="O124" t="s">
        <v>462</v>
      </c>
      <c r="P124" t="s">
        <v>291</v>
      </c>
      <c r="R124" t="s">
        <v>341</v>
      </c>
      <c r="S124" t="s">
        <v>340</v>
      </c>
      <c r="T124" t="s">
        <v>534</v>
      </c>
      <c r="U124" t="s">
        <v>87</v>
      </c>
      <c r="V124" t="s">
        <v>87</v>
      </c>
      <c r="W124" t="s">
        <v>292</v>
      </c>
      <c r="Z124" t="s">
        <v>292</v>
      </c>
      <c r="AC124" t="s">
        <v>292</v>
      </c>
      <c r="AD124" t="s">
        <v>87</v>
      </c>
      <c r="AE124" t="s">
        <v>87</v>
      </c>
      <c r="AF124" t="s">
        <v>292</v>
      </c>
    </row>
    <row r="125" spans="1:33" x14ac:dyDescent="0.3">
      <c r="A125" t="s">
        <v>653</v>
      </c>
      <c r="B125" t="s">
        <v>653</v>
      </c>
      <c r="C125" t="s">
        <v>292</v>
      </c>
      <c r="D125" t="s">
        <v>638</v>
      </c>
      <c r="E125" t="s">
        <v>638</v>
      </c>
      <c r="F125" t="s">
        <v>292</v>
      </c>
      <c r="I125" t="s">
        <v>292</v>
      </c>
      <c r="J125" t="s">
        <v>339</v>
      </c>
      <c r="K125" t="s">
        <v>339</v>
      </c>
      <c r="L125" t="s">
        <v>292</v>
      </c>
      <c r="M125" t="s">
        <v>641</v>
      </c>
      <c r="O125" t="s">
        <v>462</v>
      </c>
      <c r="P125" t="s">
        <v>291</v>
      </c>
      <c r="Q125" t="s">
        <v>639</v>
      </c>
      <c r="R125" t="s">
        <v>640</v>
      </c>
      <c r="S125" t="s">
        <v>262</v>
      </c>
      <c r="T125" t="s">
        <v>534</v>
      </c>
      <c r="U125" t="s">
        <v>87</v>
      </c>
      <c r="V125" t="s">
        <v>87</v>
      </c>
      <c r="W125" t="s">
        <v>292</v>
      </c>
      <c r="Z125" t="s">
        <v>292</v>
      </c>
      <c r="AC125" t="s">
        <v>292</v>
      </c>
      <c r="AD125" t="s">
        <v>87</v>
      </c>
      <c r="AE125" t="s">
        <v>87</v>
      </c>
      <c r="AF125" t="s">
        <v>292</v>
      </c>
    </row>
    <row r="126" spans="1:33" x14ac:dyDescent="0.3">
      <c r="A126" t="s">
        <v>730</v>
      </c>
      <c r="B126" t="s">
        <v>730</v>
      </c>
      <c r="C126" t="s">
        <v>292</v>
      </c>
      <c r="D126" t="s">
        <v>546</v>
      </c>
      <c r="E126" t="s">
        <v>546</v>
      </c>
      <c r="F126" t="s">
        <v>292</v>
      </c>
      <c r="I126" t="s">
        <v>292</v>
      </c>
      <c r="J126" t="s">
        <v>74</v>
      </c>
      <c r="K126" t="s">
        <v>74</v>
      </c>
      <c r="L126" t="s">
        <v>292</v>
      </c>
      <c r="M126" t="s">
        <v>473</v>
      </c>
      <c r="O126" t="s">
        <v>462</v>
      </c>
      <c r="P126" t="s">
        <v>291</v>
      </c>
      <c r="R126" t="s">
        <v>341</v>
      </c>
      <c r="S126" t="s">
        <v>340</v>
      </c>
      <c r="T126" t="s">
        <v>534</v>
      </c>
      <c r="U126" t="s">
        <v>87</v>
      </c>
      <c r="V126" t="s">
        <v>87</v>
      </c>
      <c r="W126" t="s">
        <v>292</v>
      </c>
      <c r="Z126" t="s">
        <v>292</v>
      </c>
      <c r="AC126" t="s">
        <v>292</v>
      </c>
      <c r="AD126" t="s">
        <v>87</v>
      </c>
      <c r="AE126" t="s">
        <v>87</v>
      </c>
      <c r="AF126" t="s">
        <v>292</v>
      </c>
    </row>
    <row r="127" spans="1:33" x14ac:dyDescent="0.3">
      <c r="A127" t="s">
        <v>720</v>
      </c>
      <c r="B127" t="s">
        <v>720</v>
      </c>
      <c r="C127" t="s">
        <v>292</v>
      </c>
      <c r="D127" t="s">
        <v>546</v>
      </c>
      <c r="E127" t="s">
        <v>546</v>
      </c>
      <c r="F127" t="s">
        <v>292</v>
      </c>
      <c r="I127" t="s">
        <v>292</v>
      </c>
      <c r="J127" t="s">
        <v>74</v>
      </c>
      <c r="K127" t="s">
        <v>74</v>
      </c>
      <c r="L127" t="s">
        <v>292</v>
      </c>
      <c r="M127" t="s">
        <v>473</v>
      </c>
      <c r="O127" t="s">
        <v>462</v>
      </c>
      <c r="P127" t="s">
        <v>291</v>
      </c>
      <c r="R127" t="s">
        <v>341</v>
      </c>
      <c r="S127" t="s">
        <v>340</v>
      </c>
      <c r="T127" t="s">
        <v>534</v>
      </c>
      <c r="U127" t="s">
        <v>87</v>
      </c>
      <c r="V127" t="s">
        <v>87</v>
      </c>
      <c r="W127" t="s">
        <v>292</v>
      </c>
      <c r="Z127" t="s">
        <v>292</v>
      </c>
      <c r="AC127" t="s">
        <v>292</v>
      </c>
      <c r="AD127" t="s">
        <v>87</v>
      </c>
      <c r="AE127" t="s">
        <v>87</v>
      </c>
      <c r="AF127" t="s">
        <v>292</v>
      </c>
    </row>
    <row r="128" spans="1:33" x14ac:dyDescent="0.3">
      <c r="A128" t="s">
        <v>723</v>
      </c>
      <c r="B128" t="s">
        <v>723</v>
      </c>
      <c r="C128" t="s">
        <v>292</v>
      </c>
      <c r="D128" t="s">
        <v>546</v>
      </c>
      <c r="E128" t="s">
        <v>546</v>
      </c>
      <c r="F128" t="s">
        <v>292</v>
      </c>
      <c r="I128" t="s">
        <v>292</v>
      </c>
      <c r="J128" t="s">
        <v>74</v>
      </c>
      <c r="K128" t="s">
        <v>74</v>
      </c>
      <c r="L128" t="s">
        <v>292</v>
      </c>
      <c r="M128" t="s">
        <v>473</v>
      </c>
      <c r="O128" t="s">
        <v>462</v>
      </c>
      <c r="P128" t="s">
        <v>291</v>
      </c>
      <c r="R128" t="s">
        <v>341</v>
      </c>
      <c r="S128" t="s">
        <v>340</v>
      </c>
      <c r="T128" t="s">
        <v>534</v>
      </c>
      <c r="U128" t="s">
        <v>87</v>
      </c>
      <c r="V128" t="s">
        <v>87</v>
      </c>
      <c r="W128" t="s">
        <v>292</v>
      </c>
      <c r="Z128" t="s">
        <v>292</v>
      </c>
      <c r="AC128" t="s">
        <v>292</v>
      </c>
      <c r="AD128" t="s">
        <v>87</v>
      </c>
      <c r="AE128" t="s">
        <v>87</v>
      </c>
      <c r="AF128" t="s">
        <v>292</v>
      </c>
    </row>
    <row r="129" spans="1:33" x14ac:dyDescent="0.3">
      <c r="A129" t="s">
        <v>724</v>
      </c>
      <c r="B129" t="s">
        <v>724</v>
      </c>
      <c r="C129" t="s">
        <v>292</v>
      </c>
      <c r="D129" t="s">
        <v>546</v>
      </c>
      <c r="E129" t="s">
        <v>546</v>
      </c>
      <c r="F129" t="s">
        <v>292</v>
      </c>
      <c r="I129" t="s">
        <v>292</v>
      </c>
      <c r="J129" t="s">
        <v>74</v>
      </c>
      <c r="K129" t="s">
        <v>74</v>
      </c>
      <c r="L129" t="s">
        <v>292</v>
      </c>
      <c r="M129" t="s">
        <v>473</v>
      </c>
      <c r="O129" t="s">
        <v>462</v>
      </c>
      <c r="P129" t="s">
        <v>291</v>
      </c>
      <c r="R129" t="s">
        <v>341</v>
      </c>
      <c r="S129" t="s">
        <v>340</v>
      </c>
      <c r="T129" t="s">
        <v>534</v>
      </c>
      <c r="U129" t="s">
        <v>87</v>
      </c>
      <c r="V129" t="s">
        <v>87</v>
      </c>
      <c r="W129" t="s">
        <v>292</v>
      </c>
      <c r="Z129" t="s">
        <v>292</v>
      </c>
      <c r="AC129" t="s">
        <v>292</v>
      </c>
      <c r="AD129" t="s">
        <v>87</v>
      </c>
      <c r="AE129" t="s">
        <v>87</v>
      </c>
      <c r="AF129" t="s">
        <v>292</v>
      </c>
    </row>
    <row r="130" spans="1:33" x14ac:dyDescent="0.3">
      <c r="A130" t="s">
        <v>728</v>
      </c>
      <c r="B130" t="s">
        <v>728</v>
      </c>
      <c r="C130" t="s">
        <v>292</v>
      </c>
      <c r="D130" t="s">
        <v>546</v>
      </c>
      <c r="E130" t="s">
        <v>546</v>
      </c>
      <c r="F130" t="s">
        <v>292</v>
      </c>
      <c r="I130" t="s">
        <v>292</v>
      </c>
      <c r="J130" t="s">
        <v>74</v>
      </c>
      <c r="K130" t="s">
        <v>74</v>
      </c>
      <c r="L130" t="s">
        <v>292</v>
      </c>
      <c r="M130" t="s">
        <v>473</v>
      </c>
      <c r="O130" t="s">
        <v>462</v>
      </c>
      <c r="P130" t="s">
        <v>291</v>
      </c>
      <c r="R130" t="s">
        <v>341</v>
      </c>
      <c r="S130" t="s">
        <v>340</v>
      </c>
      <c r="T130" t="s">
        <v>534</v>
      </c>
      <c r="U130" t="s">
        <v>87</v>
      </c>
      <c r="V130" t="s">
        <v>87</v>
      </c>
      <c r="W130" t="s">
        <v>292</v>
      </c>
      <c r="Z130" t="s">
        <v>292</v>
      </c>
      <c r="AC130" t="s">
        <v>292</v>
      </c>
      <c r="AD130" t="s">
        <v>87</v>
      </c>
      <c r="AE130" t="s">
        <v>87</v>
      </c>
      <c r="AF130" t="s">
        <v>292</v>
      </c>
    </row>
    <row r="131" spans="1:33" x14ac:dyDescent="0.3">
      <c r="A131" t="s">
        <v>699</v>
      </c>
      <c r="B131" t="s">
        <v>699</v>
      </c>
      <c r="C131" t="s">
        <v>292</v>
      </c>
      <c r="D131" t="s">
        <v>546</v>
      </c>
      <c r="E131" t="s">
        <v>546</v>
      </c>
      <c r="F131" t="s">
        <v>292</v>
      </c>
      <c r="I131" t="s">
        <v>292</v>
      </c>
      <c r="J131" t="s">
        <v>74</v>
      </c>
      <c r="K131" t="s">
        <v>74</v>
      </c>
      <c r="L131" t="s">
        <v>292</v>
      </c>
      <c r="M131" t="s">
        <v>473</v>
      </c>
      <c r="O131" t="s">
        <v>462</v>
      </c>
      <c r="P131" t="s">
        <v>291</v>
      </c>
      <c r="R131" t="s">
        <v>341</v>
      </c>
      <c r="S131" t="s">
        <v>340</v>
      </c>
      <c r="T131" t="s">
        <v>534</v>
      </c>
      <c r="U131" t="s">
        <v>87</v>
      </c>
      <c r="V131" t="s">
        <v>87</v>
      </c>
      <c r="W131" t="s">
        <v>292</v>
      </c>
      <c r="Z131" t="s">
        <v>292</v>
      </c>
      <c r="AC131" t="s">
        <v>292</v>
      </c>
      <c r="AD131" t="s">
        <v>87</v>
      </c>
      <c r="AE131" t="s">
        <v>87</v>
      </c>
      <c r="AF131" t="s">
        <v>292</v>
      </c>
    </row>
    <row r="132" spans="1:33" x14ac:dyDescent="0.3">
      <c r="A132" t="s">
        <v>572</v>
      </c>
      <c r="B132" t="s">
        <v>572</v>
      </c>
      <c r="C132" t="s">
        <v>292</v>
      </c>
      <c r="D132" t="s">
        <v>574</v>
      </c>
      <c r="E132" t="s">
        <v>574</v>
      </c>
      <c r="F132" t="s">
        <v>292</v>
      </c>
      <c r="I132" t="s">
        <v>292</v>
      </c>
      <c r="J132" t="s">
        <v>78</v>
      </c>
      <c r="K132" t="s">
        <v>78</v>
      </c>
      <c r="L132" t="s">
        <v>292</v>
      </c>
      <c r="M132" t="s">
        <v>672</v>
      </c>
      <c r="O132" t="s">
        <v>465</v>
      </c>
      <c r="P132" t="s">
        <v>291</v>
      </c>
      <c r="R132" t="s">
        <v>671</v>
      </c>
      <c r="S132" t="s">
        <v>262</v>
      </c>
      <c r="T132" t="s">
        <v>534</v>
      </c>
      <c r="U132" t="s">
        <v>260</v>
      </c>
      <c r="V132" t="s">
        <v>573</v>
      </c>
      <c r="W132" t="s">
        <v>291</v>
      </c>
      <c r="Z132" t="s">
        <v>292</v>
      </c>
      <c r="AC132" t="s">
        <v>292</v>
      </c>
      <c r="AD132" t="s">
        <v>87</v>
      </c>
      <c r="AE132" t="s">
        <v>87</v>
      </c>
      <c r="AF132" t="s">
        <v>292</v>
      </c>
      <c r="AG132" t="s">
        <v>633</v>
      </c>
    </row>
    <row r="133" spans="1:33" x14ac:dyDescent="0.3">
      <c r="A133" t="s">
        <v>692</v>
      </c>
      <c r="B133" t="s">
        <v>692</v>
      </c>
      <c r="C133" t="s">
        <v>292</v>
      </c>
      <c r="D133" t="s">
        <v>546</v>
      </c>
      <c r="E133" t="s">
        <v>546</v>
      </c>
      <c r="F133" t="s">
        <v>292</v>
      </c>
      <c r="I133" t="s">
        <v>292</v>
      </c>
      <c r="J133" t="s">
        <v>74</v>
      </c>
      <c r="K133" t="s">
        <v>74</v>
      </c>
      <c r="L133" t="s">
        <v>292</v>
      </c>
      <c r="M133" t="s">
        <v>473</v>
      </c>
      <c r="O133" t="s">
        <v>462</v>
      </c>
      <c r="P133" t="s">
        <v>291</v>
      </c>
      <c r="R133" t="s">
        <v>341</v>
      </c>
      <c r="S133" t="s">
        <v>340</v>
      </c>
      <c r="T133" t="s">
        <v>534</v>
      </c>
      <c r="U133" t="s">
        <v>87</v>
      </c>
      <c r="V133" t="s">
        <v>87</v>
      </c>
      <c r="W133" t="s">
        <v>292</v>
      </c>
      <c r="Z133" t="s">
        <v>292</v>
      </c>
      <c r="AC133" t="s">
        <v>292</v>
      </c>
      <c r="AD133" t="s">
        <v>87</v>
      </c>
      <c r="AE133" t="s">
        <v>87</v>
      </c>
      <c r="AF133" t="s">
        <v>292</v>
      </c>
    </row>
    <row r="134" spans="1:33" x14ac:dyDescent="0.3">
      <c r="A134" t="s">
        <v>575</v>
      </c>
      <c r="B134" t="s">
        <v>575</v>
      </c>
      <c r="C134" t="s">
        <v>292</v>
      </c>
      <c r="D134" t="s">
        <v>576</v>
      </c>
      <c r="E134" t="s">
        <v>576</v>
      </c>
      <c r="F134" t="s">
        <v>292</v>
      </c>
      <c r="I134" t="s">
        <v>292</v>
      </c>
      <c r="J134" t="s">
        <v>339</v>
      </c>
      <c r="K134" t="s">
        <v>339</v>
      </c>
      <c r="L134" t="s">
        <v>292</v>
      </c>
      <c r="M134" t="s">
        <v>536</v>
      </c>
      <c r="O134" t="s">
        <v>462</v>
      </c>
      <c r="P134" t="s">
        <v>291</v>
      </c>
      <c r="R134" t="s">
        <v>255</v>
      </c>
      <c r="S134" t="s">
        <v>262</v>
      </c>
      <c r="T134" t="s">
        <v>534</v>
      </c>
      <c r="U134" t="s">
        <v>87</v>
      </c>
      <c r="V134" t="s">
        <v>87</v>
      </c>
      <c r="W134" t="s">
        <v>292</v>
      </c>
      <c r="Z134" t="s">
        <v>292</v>
      </c>
      <c r="AC134" t="s">
        <v>292</v>
      </c>
      <c r="AD134" t="s">
        <v>87</v>
      </c>
      <c r="AE134" t="s">
        <v>87</v>
      </c>
      <c r="AF134" t="s">
        <v>292</v>
      </c>
    </row>
    <row r="135" spans="1:33" x14ac:dyDescent="0.3">
      <c r="A135" t="s">
        <v>579</v>
      </c>
      <c r="B135" t="s">
        <v>579</v>
      </c>
      <c r="C135" t="s">
        <v>292</v>
      </c>
      <c r="D135" t="s">
        <v>580</v>
      </c>
      <c r="E135" t="s">
        <v>580</v>
      </c>
      <c r="F135" t="s">
        <v>292</v>
      </c>
      <c r="I135" t="s">
        <v>292</v>
      </c>
      <c r="J135" t="s">
        <v>76</v>
      </c>
      <c r="K135" t="s">
        <v>76</v>
      </c>
      <c r="L135" t="s">
        <v>292</v>
      </c>
      <c r="M135" t="s">
        <v>536</v>
      </c>
      <c r="O135" t="s">
        <v>462</v>
      </c>
      <c r="P135" t="s">
        <v>291</v>
      </c>
      <c r="R135" t="s">
        <v>255</v>
      </c>
      <c r="S135" t="s">
        <v>262</v>
      </c>
      <c r="T135" t="s">
        <v>534</v>
      </c>
      <c r="U135" t="s">
        <v>87</v>
      </c>
      <c r="V135" t="s">
        <v>87</v>
      </c>
      <c r="W135" t="s">
        <v>292</v>
      </c>
      <c r="Z135" t="s">
        <v>292</v>
      </c>
      <c r="AC135" t="s">
        <v>292</v>
      </c>
      <c r="AD135" t="s">
        <v>87</v>
      </c>
      <c r="AE135" t="s">
        <v>87</v>
      </c>
      <c r="AF135" t="s">
        <v>292</v>
      </c>
    </row>
    <row r="136" spans="1:33" x14ac:dyDescent="0.3">
      <c r="A136" t="s">
        <v>585</v>
      </c>
      <c r="B136" t="s">
        <v>585</v>
      </c>
      <c r="C136" t="s">
        <v>292</v>
      </c>
      <c r="D136" t="s">
        <v>546</v>
      </c>
      <c r="E136" t="s">
        <v>546</v>
      </c>
      <c r="F136" t="s">
        <v>292</v>
      </c>
      <c r="I136" t="s">
        <v>292</v>
      </c>
      <c r="J136" t="s">
        <v>74</v>
      </c>
      <c r="K136" t="s">
        <v>74</v>
      </c>
      <c r="L136" t="s">
        <v>292</v>
      </c>
      <c r="M136" t="s">
        <v>473</v>
      </c>
      <c r="O136" t="s">
        <v>465</v>
      </c>
      <c r="P136" t="s">
        <v>291</v>
      </c>
      <c r="R136" t="s">
        <v>341</v>
      </c>
      <c r="S136" t="s">
        <v>340</v>
      </c>
      <c r="T136" t="s">
        <v>534</v>
      </c>
      <c r="U136" t="s">
        <v>87</v>
      </c>
      <c r="V136" t="s">
        <v>87</v>
      </c>
      <c r="W136" t="s">
        <v>292</v>
      </c>
      <c r="Z136" t="s">
        <v>292</v>
      </c>
      <c r="AC136" t="s">
        <v>292</v>
      </c>
      <c r="AD136" t="s">
        <v>87</v>
      </c>
      <c r="AE136" t="s">
        <v>87</v>
      </c>
      <c r="AF136" t="s">
        <v>292</v>
      </c>
    </row>
    <row r="137" spans="1:33" x14ac:dyDescent="0.3">
      <c r="A137" t="s">
        <v>581</v>
      </c>
      <c r="B137" t="s">
        <v>581</v>
      </c>
      <c r="C137" t="s">
        <v>292</v>
      </c>
      <c r="D137" t="s">
        <v>546</v>
      </c>
      <c r="E137" t="s">
        <v>546</v>
      </c>
      <c r="F137" t="s">
        <v>292</v>
      </c>
      <c r="I137" t="s">
        <v>292</v>
      </c>
      <c r="J137" t="s">
        <v>74</v>
      </c>
      <c r="K137" t="s">
        <v>74</v>
      </c>
      <c r="L137" t="s">
        <v>292</v>
      </c>
      <c r="M137" t="s">
        <v>473</v>
      </c>
      <c r="O137" t="s">
        <v>465</v>
      </c>
      <c r="P137" t="s">
        <v>291</v>
      </c>
      <c r="R137" t="s">
        <v>341</v>
      </c>
      <c r="S137" t="s">
        <v>340</v>
      </c>
      <c r="T137" t="s">
        <v>534</v>
      </c>
      <c r="U137" t="s">
        <v>87</v>
      </c>
      <c r="V137" t="s">
        <v>87</v>
      </c>
      <c r="W137" t="s">
        <v>292</v>
      </c>
      <c r="Z137" t="s">
        <v>292</v>
      </c>
      <c r="AC137" t="s">
        <v>292</v>
      </c>
      <c r="AD137" t="s">
        <v>87</v>
      </c>
      <c r="AE137" t="s">
        <v>87</v>
      </c>
      <c r="AF137" t="s">
        <v>292</v>
      </c>
    </row>
    <row r="138" spans="1:33" x14ac:dyDescent="0.3">
      <c r="A138" t="s">
        <v>591</v>
      </c>
      <c r="B138" t="s">
        <v>591</v>
      </c>
      <c r="C138" t="s">
        <v>292</v>
      </c>
      <c r="D138" t="s">
        <v>546</v>
      </c>
      <c r="E138" t="s">
        <v>546</v>
      </c>
      <c r="F138" t="s">
        <v>292</v>
      </c>
      <c r="I138" t="s">
        <v>292</v>
      </c>
      <c r="J138" t="s">
        <v>74</v>
      </c>
      <c r="K138" t="s">
        <v>74</v>
      </c>
      <c r="L138" t="s">
        <v>292</v>
      </c>
      <c r="M138" t="s">
        <v>473</v>
      </c>
      <c r="O138" t="s">
        <v>465</v>
      </c>
      <c r="P138" t="s">
        <v>291</v>
      </c>
      <c r="R138" t="s">
        <v>341</v>
      </c>
      <c r="S138" t="s">
        <v>340</v>
      </c>
      <c r="T138" t="s">
        <v>534</v>
      </c>
      <c r="U138" t="s">
        <v>87</v>
      </c>
      <c r="V138" t="s">
        <v>87</v>
      </c>
      <c r="W138" t="s">
        <v>292</v>
      </c>
      <c r="Z138" t="s">
        <v>292</v>
      </c>
      <c r="AC138" t="s">
        <v>292</v>
      </c>
      <c r="AD138" t="s">
        <v>87</v>
      </c>
      <c r="AE138" t="s">
        <v>87</v>
      </c>
      <c r="AF138" t="s">
        <v>292</v>
      </c>
    </row>
    <row r="139" spans="1:33" x14ac:dyDescent="0.3">
      <c r="A139" t="s">
        <v>582</v>
      </c>
      <c r="B139" t="s">
        <v>582</v>
      </c>
      <c r="C139" t="s">
        <v>292</v>
      </c>
      <c r="D139" t="s">
        <v>546</v>
      </c>
      <c r="E139" t="s">
        <v>546</v>
      </c>
      <c r="F139" t="s">
        <v>292</v>
      </c>
      <c r="I139" t="s">
        <v>292</v>
      </c>
      <c r="J139" t="s">
        <v>74</v>
      </c>
      <c r="K139" t="s">
        <v>74</v>
      </c>
      <c r="L139" t="s">
        <v>292</v>
      </c>
      <c r="M139" t="s">
        <v>473</v>
      </c>
      <c r="O139" t="s">
        <v>179</v>
      </c>
      <c r="P139" t="s">
        <v>291</v>
      </c>
      <c r="R139" t="s">
        <v>341</v>
      </c>
      <c r="S139" t="s">
        <v>340</v>
      </c>
      <c r="T139" t="s">
        <v>534</v>
      </c>
      <c r="U139" t="s">
        <v>87</v>
      </c>
      <c r="V139" t="s">
        <v>87</v>
      </c>
      <c r="W139" t="s">
        <v>292</v>
      </c>
      <c r="Z139" t="s">
        <v>292</v>
      </c>
      <c r="AC139" t="s">
        <v>292</v>
      </c>
      <c r="AD139" t="s">
        <v>87</v>
      </c>
      <c r="AE139" t="s">
        <v>87</v>
      </c>
      <c r="AF139" t="s">
        <v>292</v>
      </c>
    </row>
    <row r="140" spans="1:33" x14ac:dyDescent="0.3">
      <c r="A140" t="s">
        <v>743</v>
      </c>
      <c r="B140" t="s">
        <v>743</v>
      </c>
      <c r="C140" t="s">
        <v>292</v>
      </c>
      <c r="D140" t="s">
        <v>580</v>
      </c>
      <c r="E140" t="s">
        <v>580</v>
      </c>
      <c r="F140" t="s">
        <v>292</v>
      </c>
      <c r="I140" t="s">
        <v>292</v>
      </c>
      <c r="J140" t="s">
        <v>76</v>
      </c>
      <c r="K140" t="s">
        <v>76</v>
      </c>
      <c r="L140" t="s">
        <v>292</v>
      </c>
      <c r="M140" t="s">
        <v>536</v>
      </c>
      <c r="O140" t="s">
        <v>462</v>
      </c>
      <c r="P140" t="s">
        <v>291</v>
      </c>
      <c r="R140" t="s">
        <v>255</v>
      </c>
      <c r="S140" t="s">
        <v>262</v>
      </c>
      <c r="T140" t="s">
        <v>534</v>
      </c>
      <c r="U140" t="s">
        <v>87</v>
      </c>
      <c r="V140" t="s">
        <v>87</v>
      </c>
      <c r="W140" t="s">
        <v>292</v>
      </c>
      <c r="Z140" t="s">
        <v>292</v>
      </c>
      <c r="AC140" t="s">
        <v>292</v>
      </c>
      <c r="AD140" t="s">
        <v>87</v>
      </c>
      <c r="AE140" t="s">
        <v>87</v>
      </c>
      <c r="AF140" t="s">
        <v>292</v>
      </c>
    </row>
    <row r="141" spans="1:33" x14ac:dyDescent="0.3">
      <c r="A141" t="s">
        <v>584</v>
      </c>
      <c r="B141" t="s">
        <v>584</v>
      </c>
      <c r="C141" t="s">
        <v>292</v>
      </c>
      <c r="D141" t="s">
        <v>546</v>
      </c>
      <c r="E141" t="s">
        <v>546</v>
      </c>
      <c r="F141" t="s">
        <v>292</v>
      </c>
      <c r="I141" t="s">
        <v>292</v>
      </c>
      <c r="J141" t="s">
        <v>74</v>
      </c>
      <c r="K141" t="s">
        <v>74</v>
      </c>
      <c r="L141" t="s">
        <v>292</v>
      </c>
      <c r="M141" t="s">
        <v>473</v>
      </c>
      <c r="O141" t="s">
        <v>465</v>
      </c>
      <c r="P141" t="s">
        <v>291</v>
      </c>
      <c r="R141" t="s">
        <v>341</v>
      </c>
      <c r="S141" t="s">
        <v>340</v>
      </c>
      <c r="T141" t="s">
        <v>534</v>
      </c>
      <c r="U141" t="s">
        <v>87</v>
      </c>
      <c r="V141" t="s">
        <v>87</v>
      </c>
      <c r="W141" t="s">
        <v>292</v>
      </c>
      <c r="Z141" t="s">
        <v>292</v>
      </c>
      <c r="AC141" t="s">
        <v>292</v>
      </c>
      <c r="AD141" t="s">
        <v>87</v>
      </c>
      <c r="AE141" t="s">
        <v>87</v>
      </c>
      <c r="AF141" t="s">
        <v>292</v>
      </c>
    </row>
    <row r="142" spans="1:33" x14ac:dyDescent="0.3">
      <c r="A142" t="s">
        <v>731</v>
      </c>
      <c r="B142" t="s">
        <v>731</v>
      </c>
      <c r="C142" t="s">
        <v>292</v>
      </c>
      <c r="D142" t="s">
        <v>576</v>
      </c>
      <c r="E142" t="s">
        <v>576</v>
      </c>
      <c r="F142" t="s">
        <v>292</v>
      </c>
      <c r="I142" t="s">
        <v>292</v>
      </c>
      <c r="J142" t="s">
        <v>339</v>
      </c>
      <c r="K142" t="s">
        <v>339</v>
      </c>
      <c r="L142" t="s">
        <v>292</v>
      </c>
      <c r="M142" t="s">
        <v>536</v>
      </c>
      <c r="O142" t="s">
        <v>462</v>
      </c>
      <c r="P142" t="s">
        <v>291</v>
      </c>
      <c r="R142" t="s">
        <v>255</v>
      </c>
      <c r="S142" t="s">
        <v>262</v>
      </c>
      <c r="T142" t="s">
        <v>534</v>
      </c>
      <c r="U142" t="s">
        <v>87</v>
      </c>
      <c r="V142" t="s">
        <v>87</v>
      </c>
      <c r="W142" t="s">
        <v>292</v>
      </c>
      <c r="Z142" t="s">
        <v>292</v>
      </c>
      <c r="AC142" t="s">
        <v>292</v>
      </c>
      <c r="AD142" t="s">
        <v>87</v>
      </c>
      <c r="AE142" t="s">
        <v>87</v>
      </c>
      <c r="AF142" t="s">
        <v>292</v>
      </c>
    </row>
    <row r="143" spans="1:33" x14ac:dyDescent="0.3">
      <c r="A143" t="s">
        <v>616</v>
      </c>
      <c r="B143" t="s">
        <v>616</v>
      </c>
      <c r="C143" t="s">
        <v>292</v>
      </c>
      <c r="D143" t="s">
        <v>617</v>
      </c>
      <c r="E143" t="s">
        <v>617</v>
      </c>
      <c r="F143" t="s">
        <v>292</v>
      </c>
      <c r="I143" t="s">
        <v>292</v>
      </c>
      <c r="J143" t="s">
        <v>78</v>
      </c>
      <c r="K143" t="s">
        <v>78</v>
      </c>
      <c r="L143" t="s">
        <v>292</v>
      </c>
      <c r="M143" t="s">
        <v>536</v>
      </c>
      <c r="O143" t="s">
        <v>465</v>
      </c>
      <c r="P143" t="s">
        <v>291</v>
      </c>
      <c r="R143" t="s">
        <v>255</v>
      </c>
      <c r="S143" t="s">
        <v>262</v>
      </c>
      <c r="T143" t="s">
        <v>534</v>
      </c>
      <c r="U143" t="s">
        <v>87</v>
      </c>
      <c r="V143" t="s">
        <v>87</v>
      </c>
      <c r="W143" t="s">
        <v>292</v>
      </c>
      <c r="Z143" t="s">
        <v>292</v>
      </c>
      <c r="AC143" t="s">
        <v>292</v>
      </c>
      <c r="AD143" t="s">
        <v>87</v>
      </c>
      <c r="AE143" t="s">
        <v>87</v>
      </c>
      <c r="AF143" t="s">
        <v>292</v>
      </c>
    </row>
    <row r="144" spans="1:33" x14ac:dyDescent="0.3">
      <c r="A144" t="s">
        <v>738</v>
      </c>
      <c r="B144" t="s">
        <v>738</v>
      </c>
      <c r="C144" t="s">
        <v>292</v>
      </c>
      <c r="D144" t="s">
        <v>617</v>
      </c>
      <c r="E144" t="s">
        <v>617</v>
      </c>
      <c r="F144" t="s">
        <v>292</v>
      </c>
      <c r="I144" t="s">
        <v>292</v>
      </c>
      <c r="J144" t="s">
        <v>78</v>
      </c>
      <c r="K144" t="s">
        <v>78</v>
      </c>
      <c r="L144" t="s">
        <v>292</v>
      </c>
      <c r="M144" t="s">
        <v>536</v>
      </c>
      <c r="O144" t="s">
        <v>465</v>
      </c>
      <c r="P144" t="s">
        <v>291</v>
      </c>
      <c r="R144" t="s">
        <v>255</v>
      </c>
      <c r="S144" t="s">
        <v>262</v>
      </c>
      <c r="T144" t="s">
        <v>534</v>
      </c>
      <c r="U144" t="s">
        <v>87</v>
      </c>
      <c r="V144" t="s">
        <v>87</v>
      </c>
      <c r="W144" t="s">
        <v>292</v>
      </c>
      <c r="Z144" t="s">
        <v>292</v>
      </c>
      <c r="AC144" t="s">
        <v>292</v>
      </c>
      <c r="AD144" t="s">
        <v>87</v>
      </c>
      <c r="AE144" t="s">
        <v>87</v>
      </c>
      <c r="AF144" t="s">
        <v>292</v>
      </c>
    </row>
    <row r="145" spans="1:32" x14ac:dyDescent="0.3">
      <c r="A145" t="s">
        <v>587</v>
      </c>
      <c r="B145" t="s">
        <v>587</v>
      </c>
      <c r="C145" t="s">
        <v>292</v>
      </c>
      <c r="D145" t="s">
        <v>546</v>
      </c>
      <c r="E145" t="s">
        <v>546</v>
      </c>
      <c r="F145" t="s">
        <v>292</v>
      </c>
      <c r="I145" t="s">
        <v>292</v>
      </c>
      <c r="J145" t="s">
        <v>74</v>
      </c>
      <c r="K145" t="s">
        <v>74</v>
      </c>
      <c r="L145" t="s">
        <v>292</v>
      </c>
      <c r="M145" t="s">
        <v>473</v>
      </c>
      <c r="O145" t="s">
        <v>465</v>
      </c>
      <c r="P145" t="s">
        <v>291</v>
      </c>
      <c r="R145" t="s">
        <v>341</v>
      </c>
      <c r="S145" t="s">
        <v>340</v>
      </c>
      <c r="T145" t="s">
        <v>534</v>
      </c>
      <c r="U145" t="s">
        <v>87</v>
      </c>
      <c r="V145" t="s">
        <v>87</v>
      </c>
      <c r="W145" t="s">
        <v>292</v>
      </c>
      <c r="Z145" t="s">
        <v>292</v>
      </c>
      <c r="AC145" t="s">
        <v>292</v>
      </c>
      <c r="AD145" t="s">
        <v>87</v>
      </c>
      <c r="AE145" t="s">
        <v>87</v>
      </c>
      <c r="AF145" t="s">
        <v>292</v>
      </c>
    </row>
    <row r="146" spans="1:32" x14ac:dyDescent="0.3">
      <c r="A146" t="s">
        <v>588</v>
      </c>
      <c r="B146" t="s">
        <v>588</v>
      </c>
      <c r="C146" t="s">
        <v>292</v>
      </c>
      <c r="D146" t="s">
        <v>546</v>
      </c>
      <c r="E146" t="s">
        <v>546</v>
      </c>
      <c r="F146" t="s">
        <v>292</v>
      </c>
      <c r="I146" t="s">
        <v>292</v>
      </c>
      <c r="J146" t="s">
        <v>74</v>
      </c>
      <c r="K146" t="s">
        <v>74</v>
      </c>
      <c r="L146" t="s">
        <v>292</v>
      </c>
      <c r="M146" t="s">
        <v>473</v>
      </c>
      <c r="O146" t="s">
        <v>179</v>
      </c>
      <c r="P146" t="s">
        <v>291</v>
      </c>
      <c r="R146" t="s">
        <v>341</v>
      </c>
      <c r="S146" t="s">
        <v>340</v>
      </c>
      <c r="T146" t="s">
        <v>534</v>
      </c>
      <c r="U146" t="s">
        <v>87</v>
      </c>
      <c r="V146" t="s">
        <v>87</v>
      </c>
      <c r="W146" t="s">
        <v>292</v>
      </c>
      <c r="Z146" t="s">
        <v>292</v>
      </c>
      <c r="AC146" t="s">
        <v>292</v>
      </c>
      <c r="AD146" t="s">
        <v>87</v>
      </c>
      <c r="AE146" t="s">
        <v>87</v>
      </c>
      <c r="AF146" t="s">
        <v>292</v>
      </c>
    </row>
    <row r="147" spans="1:32" x14ac:dyDescent="0.3">
      <c r="A147" t="s">
        <v>590</v>
      </c>
      <c r="B147" t="s">
        <v>590</v>
      </c>
      <c r="C147" t="s">
        <v>292</v>
      </c>
      <c r="D147" t="s">
        <v>546</v>
      </c>
      <c r="E147" t="s">
        <v>546</v>
      </c>
      <c r="F147" t="s">
        <v>292</v>
      </c>
      <c r="I147" t="s">
        <v>292</v>
      </c>
      <c r="J147" t="s">
        <v>74</v>
      </c>
      <c r="K147" t="s">
        <v>74</v>
      </c>
      <c r="L147" t="s">
        <v>292</v>
      </c>
      <c r="M147" t="s">
        <v>473</v>
      </c>
      <c r="O147" t="s">
        <v>465</v>
      </c>
      <c r="P147" t="s">
        <v>291</v>
      </c>
      <c r="R147" t="s">
        <v>341</v>
      </c>
      <c r="S147" t="s">
        <v>340</v>
      </c>
      <c r="T147" t="s">
        <v>534</v>
      </c>
      <c r="U147" t="s">
        <v>87</v>
      </c>
      <c r="V147" t="s">
        <v>87</v>
      </c>
      <c r="W147" t="s">
        <v>292</v>
      </c>
      <c r="Z147" t="s">
        <v>292</v>
      </c>
      <c r="AC147" t="s">
        <v>292</v>
      </c>
      <c r="AD147" t="s">
        <v>87</v>
      </c>
      <c r="AE147" t="s">
        <v>87</v>
      </c>
      <c r="AF147" t="s">
        <v>292</v>
      </c>
    </row>
    <row r="148" spans="1:32" x14ac:dyDescent="0.3">
      <c r="A148" t="s">
        <v>592</v>
      </c>
      <c r="B148" t="s">
        <v>592</v>
      </c>
      <c r="C148" t="s">
        <v>292</v>
      </c>
      <c r="D148" t="s">
        <v>546</v>
      </c>
      <c r="E148" t="s">
        <v>546</v>
      </c>
      <c r="F148" t="s">
        <v>292</v>
      </c>
      <c r="I148" t="s">
        <v>292</v>
      </c>
      <c r="J148" t="s">
        <v>74</v>
      </c>
      <c r="K148" t="s">
        <v>74</v>
      </c>
      <c r="L148" t="s">
        <v>292</v>
      </c>
      <c r="M148" t="s">
        <v>473</v>
      </c>
      <c r="O148" t="s">
        <v>465</v>
      </c>
      <c r="P148" t="s">
        <v>291</v>
      </c>
      <c r="R148" t="s">
        <v>341</v>
      </c>
      <c r="S148" t="s">
        <v>340</v>
      </c>
      <c r="T148" t="s">
        <v>534</v>
      </c>
      <c r="U148" t="s">
        <v>87</v>
      </c>
      <c r="V148" t="s">
        <v>87</v>
      </c>
      <c r="W148" t="s">
        <v>292</v>
      </c>
      <c r="Z148" t="s">
        <v>292</v>
      </c>
      <c r="AC148" t="s">
        <v>292</v>
      </c>
      <c r="AD148" t="s">
        <v>87</v>
      </c>
      <c r="AE148" t="s">
        <v>87</v>
      </c>
      <c r="AF148" t="s">
        <v>292</v>
      </c>
    </row>
    <row r="149" spans="1:32" x14ac:dyDescent="0.3">
      <c r="A149" t="s">
        <v>749</v>
      </c>
      <c r="B149" t="s">
        <v>749</v>
      </c>
      <c r="C149" t="s">
        <v>292</v>
      </c>
      <c r="D149" t="s">
        <v>549</v>
      </c>
      <c r="E149" t="s">
        <v>549</v>
      </c>
      <c r="F149" t="s">
        <v>292</v>
      </c>
      <c r="I149" t="s">
        <v>292</v>
      </c>
      <c r="J149" t="s">
        <v>76</v>
      </c>
      <c r="K149" t="s">
        <v>76</v>
      </c>
      <c r="L149" t="s">
        <v>292</v>
      </c>
      <c r="M149" t="s">
        <v>536</v>
      </c>
      <c r="O149" t="s">
        <v>465</v>
      </c>
      <c r="P149" t="s">
        <v>291</v>
      </c>
      <c r="R149" t="s">
        <v>255</v>
      </c>
      <c r="S149" t="s">
        <v>262</v>
      </c>
      <c r="T149" t="s">
        <v>534</v>
      </c>
      <c r="U149" t="s">
        <v>87</v>
      </c>
      <c r="V149" t="s">
        <v>87</v>
      </c>
      <c r="W149" t="s">
        <v>292</v>
      </c>
      <c r="Z149" t="s">
        <v>292</v>
      </c>
      <c r="AC149" t="s">
        <v>292</v>
      </c>
      <c r="AD149" t="s">
        <v>87</v>
      </c>
      <c r="AE149" t="s">
        <v>87</v>
      </c>
      <c r="AF149" t="s">
        <v>292</v>
      </c>
    </row>
    <row r="150" spans="1:32" x14ac:dyDescent="0.3">
      <c r="A150" t="s">
        <v>593</v>
      </c>
      <c r="B150" t="s">
        <v>593</v>
      </c>
      <c r="C150" t="s">
        <v>292</v>
      </c>
      <c r="D150" t="s">
        <v>546</v>
      </c>
      <c r="E150" t="s">
        <v>546</v>
      </c>
      <c r="F150" t="s">
        <v>292</v>
      </c>
      <c r="I150" t="s">
        <v>292</v>
      </c>
      <c r="J150" t="s">
        <v>74</v>
      </c>
      <c r="K150" t="s">
        <v>74</v>
      </c>
      <c r="L150" t="s">
        <v>292</v>
      </c>
      <c r="M150" t="s">
        <v>473</v>
      </c>
      <c r="O150" t="s">
        <v>465</v>
      </c>
      <c r="P150" t="s">
        <v>291</v>
      </c>
      <c r="R150" t="s">
        <v>341</v>
      </c>
      <c r="S150" t="s">
        <v>340</v>
      </c>
      <c r="T150" t="s">
        <v>534</v>
      </c>
      <c r="U150" t="s">
        <v>87</v>
      </c>
      <c r="V150" t="s">
        <v>87</v>
      </c>
      <c r="W150" t="s">
        <v>292</v>
      </c>
      <c r="Z150" t="s">
        <v>292</v>
      </c>
      <c r="AC150" t="s">
        <v>292</v>
      </c>
      <c r="AD150" t="s">
        <v>87</v>
      </c>
      <c r="AE150" t="s">
        <v>87</v>
      </c>
      <c r="AF150" t="s">
        <v>292</v>
      </c>
    </row>
    <row r="151" spans="1:32" x14ac:dyDescent="0.3">
      <c r="A151" t="s">
        <v>595</v>
      </c>
      <c r="B151" t="s">
        <v>595</v>
      </c>
      <c r="C151" t="s">
        <v>292</v>
      </c>
      <c r="D151" t="s">
        <v>546</v>
      </c>
      <c r="E151" t="s">
        <v>546</v>
      </c>
      <c r="F151" t="s">
        <v>292</v>
      </c>
      <c r="I151" t="s">
        <v>292</v>
      </c>
      <c r="J151" t="s">
        <v>74</v>
      </c>
      <c r="K151" t="s">
        <v>74</v>
      </c>
      <c r="L151" t="s">
        <v>292</v>
      </c>
      <c r="M151" t="s">
        <v>473</v>
      </c>
      <c r="O151" t="s">
        <v>465</v>
      </c>
      <c r="P151" t="s">
        <v>291</v>
      </c>
      <c r="R151" t="s">
        <v>341</v>
      </c>
      <c r="S151" t="s">
        <v>340</v>
      </c>
      <c r="T151" t="s">
        <v>534</v>
      </c>
      <c r="U151" t="s">
        <v>87</v>
      </c>
      <c r="V151" t="s">
        <v>87</v>
      </c>
      <c r="W151" t="s">
        <v>292</v>
      </c>
      <c r="Z151" t="s">
        <v>292</v>
      </c>
      <c r="AC151" t="s">
        <v>292</v>
      </c>
      <c r="AD151" t="s">
        <v>87</v>
      </c>
      <c r="AE151" t="s">
        <v>87</v>
      </c>
      <c r="AF151" t="s">
        <v>292</v>
      </c>
    </row>
    <row r="152" spans="1:32" x14ac:dyDescent="0.3">
      <c r="A152" t="s">
        <v>707</v>
      </c>
      <c r="B152" t="s">
        <v>707</v>
      </c>
      <c r="C152" t="s">
        <v>292</v>
      </c>
      <c r="D152" t="s">
        <v>546</v>
      </c>
      <c r="E152" t="s">
        <v>546</v>
      </c>
      <c r="F152" t="s">
        <v>292</v>
      </c>
      <c r="I152" t="s">
        <v>292</v>
      </c>
      <c r="J152" t="s">
        <v>74</v>
      </c>
      <c r="K152" t="s">
        <v>74</v>
      </c>
      <c r="L152" t="s">
        <v>292</v>
      </c>
      <c r="M152" t="s">
        <v>473</v>
      </c>
      <c r="O152" t="s">
        <v>462</v>
      </c>
      <c r="P152" t="s">
        <v>291</v>
      </c>
      <c r="R152" t="s">
        <v>341</v>
      </c>
      <c r="S152" t="s">
        <v>340</v>
      </c>
      <c r="T152" t="s">
        <v>534</v>
      </c>
      <c r="U152" t="s">
        <v>87</v>
      </c>
      <c r="V152" t="s">
        <v>87</v>
      </c>
      <c r="W152" t="s">
        <v>292</v>
      </c>
      <c r="Z152" t="s">
        <v>292</v>
      </c>
      <c r="AC152" t="s">
        <v>292</v>
      </c>
      <c r="AD152" t="s">
        <v>87</v>
      </c>
      <c r="AE152" t="s">
        <v>87</v>
      </c>
      <c r="AF152" t="s">
        <v>292</v>
      </c>
    </row>
    <row r="153" spans="1:32" x14ac:dyDescent="0.3">
      <c r="A153" t="s">
        <v>708</v>
      </c>
      <c r="B153" t="s">
        <v>708</v>
      </c>
      <c r="C153" t="s">
        <v>292</v>
      </c>
      <c r="D153" t="s">
        <v>546</v>
      </c>
      <c r="E153" t="s">
        <v>546</v>
      </c>
      <c r="F153" t="s">
        <v>292</v>
      </c>
      <c r="I153" t="s">
        <v>292</v>
      </c>
      <c r="J153" t="s">
        <v>74</v>
      </c>
      <c r="K153" t="s">
        <v>74</v>
      </c>
      <c r="L153" t="s">
        <v>292</v>
      </c>
      <c r="M153" t="s">
        <v>473</v>
      </c>
      <c r="O153" t="s">
        <v>462</v>
      </c>
      <c r="P153" t="s">
        <v>291</v>
      </c>
      <c r="R153" t="s">
        <v>341</v>
      </c>
      <c r="S153" t="s">
        <v>340</v>
      </c>
      <c r="T153" t="s">
        <v>534</v>
      </c>
      <c r="U153" t="s">
        <v>87</v>
      </c>
      <c r="V153" t="s">
        <v>87</v>
      </c>
      <c r="W153" t="s">
        <v>292</v>
      </c>
      <c r="Z153" t="s">
        <v>292</v>
      </c>
      <c r="AC153" t="s">
        <v>292</v>
      </c>
      <c r="AD153" t="s">
        <v>87</v>
      </c>
      <c r="AE153" t="s">
        <v>87</v>
      </c>
      <c r="AF153" t="s">
        <v>292</v>
      </c>
    </row>
    <row r="154" spans="1:32" x14ac:dyDescent="0.3">
      <c r="A154" t="s">
        <v>597</v>
      </c>
      <c r="B154" t="s">
        <v>597</v>
      </c>
      <c r="C154" t="s">
        <v>292</v>
      </c>
      <c r="D154" t="s">
        <v>546</v>
      </c>
      <c r="E154" t="s">
        <v>546</v>
      </c>
      <c r="F154" t="s">
        <v>292</v>
      </c>
      <c r="I154" t="s">
        <v>292</v>
      </c>
      <c r="J154" t="s">
        <v>74</v>
      </c>
      <c r="K154" t="s">
        <v>74</v>
      </c>
      <c r="L154" t="s">
        <v>292</v>
      </c>
      <c r="M154" t="s">
        <v>473</v>
      </c>
      <c r="O154" t="s">
        <v>465</v>
      </c>
      <c r="P154" t="s">
        <v>291</v>
      </c>
      <c r="R154" t="s">
        <v>341</v>
      </c>
      <c r="S154" t="s">
        <v>340</v>
      </c>
      <c r="T154" t="s">
        <v>534</v>
      </c>
      <c r="U154" t="s">
        <v>87</v>
      </c>
      <c r="V154" t="s">
        <v>87</v>
      </c>
      <c r="W154" t="s">
        <v>292</v>
      </c>
      <c r="Z154" t="s">
        <v>292</v>
      </c>
      <c r="AC154" t="s">
        <v>292</v>
      </c>
      <c r="AD154" t="s">
        <v>87</v>
      </c>
      <c r="AE154" t="s">
        <v>87</v>
      </c>
      <c r="AF154" t="s">
        <v>292</v>
      </c>
    </row>
    <row r="155" spans="1:32" x14ac:dyDescent="0.3">
      <c r="A155" t="s">
        <v>709</v>
      </c>
      <c r="B155" t="s">
        <v>709</v>
      </c>
      <c r="C155" t="s">
        <v>292</v>
      </c>
      <c r="D155" t="s">
        <v>546</v>
      </c>
      <c r="E155" t="s">
        <v>546</v>
      </c>
      <c r="F155" t="s">
        <v>292</v>
      </c>
      <c r="I155" t="s">
        <v>292</v>
      </c>
      <c r="J155" t="s">
        <v>74</v>
      </c>
      <c r="K155" t="s">
        <v>74</v>
      </c>
      <c r="L155" t="s">
        <v>292</v>
      </c>
      <c r="M155" t="s">
        <v>473</v>
      </c>
      <c r="O155" t="s">
        <v>462</v>
      </c>
      <c r="P155" t="s">
        <v>291</v>
      </c>
      <c r="R155" t="s">
        <v>341</v>
      </c>
      <c r="S155" t="s">
        <v>340</v>
      </c>
      <c r="T155" t="s">
        <v>534</v>
      </c>
      <c r="U155" t="s">
        <v>87</v>
      </c>
      <c r="V155" t="s">
        <v>87</v>
      </c>
      <c r="W155" t="s">
        <v>292</v>
      </c>
      <c r="Z155" t="s">
        <v>292</v>
      </c>
      <c r="AC155" t="s">
        <v>292</v>
      </c>
      <c r="AD155" t="s">
        <v>87</v>
      </c>
      <c r="AE155" t="s">
        <v>87</v>
      </c>
      <c r="AF155" t="s">
        <v>292</v>
      </c>
    </row>
    <row r="156" spans="1:32" x14ac:dyDescent="0.3">
      <c r="A156" t="s">
        <v>598</v>
      </c>
      <c r="B156" t="s">
        <v>598</v>
      </c>
      <c r="C156" t="s">
        <v>292</v>
      </c>
      <c r="D156" t="s">
        <v>546</v>
      </c>
      <c r="E156" t="s">
        <v>546</v>
      </c>
      <c r="F156" t="s">
        <v>292</v>
      </c>
      <c r="I156" t="s">
        <v>292</v>
      </c>
      <c r="J156" t="s">
        <v>74</v>
      </c>
      <c r="K156" t="s">
        <v>74</v>
      </c>
      <c r="L156" t="s">
        <v>292</v>
      </c>
      <c r="M156" t="s">
        <v>473</v>
      </c>
      <c r="O156" t="s">
        <v>465</v>
      </c>
      <c r="P156" t="s">
        <v>291</v>
      </c>
      <c r="R156" t="s">
        <v>341</v>
      </c>
      <c r="S156" t="s">
        <v>340</v>
      </c>
      <c r="T156" t="s">
        <v>534</v>
      </c>
      <c r="U156" t="s">
        <v>87</v>
      </c>
      <c r="V156" t="s">
        <v>87</v>
      </c>
      <c r="W156" t="s">
        <v>292</v>
      </c>
      <c r="Z156" t="s">
        <v>292</v>
      </c>
      <c r="AC156" t="s">
        <v>292</v>
      </c>
      <c r="AD156" t="s">
        <v>87</v>
      </c>
      <c r="AE156" t="s">
        <v>87</v>
      </c>
      <c r="AF156" t="s">
        <v>292</v>
      </c>
    </row>
    <row r="157" spans="1:32" x14ac:dyDescent="0.3">
      <c r="A157" t="s">
        <v>714</v>
      </c>
      <c r="B157" t="s">
        <v>714</v>
      </c>
      <c r="C157" t="s">
        <v>292</v>
      </c>
      <c r="D157" t="s">
        <v>546</v>
      </c>
      <c r="E157" t="s">
        <v>546</v>
      </c>
      <c r="F157" t="s">
        <v>292</v>
      </c>
      <c r="I157" t="s">
        <v>292</v>
      </c>
      <c r="J157" t="s">
        <v>74</v>
      </c>
      <c r="K157" t="s">
        <v>74</v>
      </c>
      <c r="L157" t="s">
        <v>292</v>
      </c>
      <c r="M157" t="s">
        <v>473</v>
      </c>
      <c r="O157" t="s">
        <v>462</v>
      </c>
      <c r="P157" t="s">
        <v>291</v>
      </c>
      <c r="R157" t="s">
        <v>341</v>
      </c>
      <c r="S157" t="s">
        <v>340</v>
      </c>
      <c r="T157" t="s">
        <v>534</v>
      </c>
      <c r="U157" t="s">
        <v>87</v>
      </c>
      <c r="V157" t="s">
        <v>87</v>
      </c>
      <c r="W157" t="s">
        <v>292</v>
      </c>
      <c r="Z157" t="s">
        <v>292</v>
      </c>
      <c r="AC157" t="s">
        <v>292</v>
      </c>
      <c r="AD157" t="s">
        <v>87</v>
      </c>
      <c r="AE157" t="s">
        <v>87</v>
      </c>
      <c r="AF157" t="s">
        <v>292</v>
      </c>
    </row>
    <row r="158" spans="1:32" x14ac:dyDescent="0.3">
      <c r="A158" t="s">
        <v>716</v>
      </c>
      <c r="B158" t="s">
        <v>716</v>
      </c>
      <c r="C158" t="s">
        <v>292</v>
      </c>
      <c r="D158" t="s">
        <v>546</v>
      </c>
      <c r="E158" t="s">
        <v>546</v>
      </c>
      <c r="F158" t="s">
        <v>292</v>
      </c>
      <c r="I158" t="s">
        <v>292</v>
      </c>
      <c r="J158" t="s">
        <v>74</v>
      </c>
      <c r="K158" t="s">
        <v>74</v>
      </c>
      <c r="L158" t="s">
        <v>292</v>
      </c>
      <c r="M158" t="s">
        <v>473</v>
      </c>
      <c r="O158" t="s">
        <v>462</v>
      </c>
      <c r="P158" t="s">
        <v>291</v>
      </c>
      <c r="R158" t="s">
        <v>341</v>
      </c>
      <c r="S158" t="s">
        <v>340</v>
      </c>
      <c r="T158" t="s">
        <v>534</v>
      </c>
      <c r="U158" t="s">
        <v>87</v>
      </c>
      <c r="V158" t="s">
        <v>87</v>
      </c>
      <c r="W158" t="s">
        <v>292</v>
      </c>
      <c r="Z158" t="s">
        <v>292</v>
      </c>
      <c r="AC158" t="s">
        <v>292</v>
      </c>
      <c r="AD158" t="s">
        <v>87</v>
      </c>
      <c r="AE158" t="s">
        <v>87</v>
      </c>
      <c r="AF158" t="s">
        <v>292</v>
      </c>
    </row>
    <row r="159" spans="1:32" x14ac:dyDescent="0.3">
      <c r="A159" t="s">
        <v>600</v>
      </c>
      <c r="B159" t="s">
        <v>600</v>
      </c>
      <c r="C159" t="s">
        <v>292</v>
      </c>
      <c r="D159" t="s">
        <v>546</v>
      </c>
      <c r="E159" t="s">
        <v>546</v>
      </c>
      <c r="F159" t="s">
        <v>292</v>
      </c>
      <c r="I159" t="s">
        <v>292</v>
      </c>
      <c r="J159" t="s">
        <v>74</v>
      </c>
      <c r="K159" t="s">
        <v>74</v>
      </c>
      <c r="L159" t="s">
        <v>292</v>
      </c>
      <c r="M159" t="s">
        <v>473</v>
      </c>
      <c r="O159" t="s">
        <v>465</v>
      </c>
      <c r="P159" t="s">
        <v>291</v>
      </c>
      <c r="R159" t="s">
        <v>341</v>
      </c>
      <c r="S159" t="s">
        <v>340</v>
      </c>
      <c r="T159" t="s">
        <v>534</v>
      </c>
      <c r="U159" t="s">
        <v>87</v>
      </c>
      <c r="V159" t="s">
        <v>87</v>
      </c>
      <c r="W159" t="s">
        <v>292</v>
      </c>
      <c r="Z159" t="s">
        <v>292</v>
      </c>
      <c r="AC159" t="s">
        <v>292</v>
      </c>
      <c r="AD159" t="s">
        <v>87</v>
      </c>
      <c r="AE159" t="s">
        <v>87</v>
      </c>
      <c r="AF159" t="s">
        <v>292</v>
      </c>
    </row>
    <row r="160" spans="1:32" x14ac:dyDescent="0.3">
      <c r="A160" t="s">
        <v>690</v>
      </c>
      <c r="B160" t="s">
        <v>690</v>
      </c>
      <c r="C160" t="s">
        <v>292</v>
      </c>
      <c r="D160" t="s">
        <v>546</v>
      </c>
      <c r="E160" t="s">
        <v>546</v>
      </c>
      <c r="F160" t="s">
        <v>292</v>
      </c>
      <c r="I160" t="s">
        <v>292</v>
      </c>
      <c r="J160" t="s">
        <v>74</v>
      </c>
      <c r="K160" t="s">
        <v>74</v>
      </c>
      <c r="L160" t="s">
        <v>292</v>
      </c>
      <c r="M160" t="s">
        <v>473</v>
      </c>
      <c r="O160" t="s">
        <v>462</v>
      </c>
      <c r="P160" t="s">
        <v>291</v>
      </c>
      <c r="R160" t="s">
        <v>341</v>
      </c>
      <c r="S160" t="s">
        <v>340</v>
      </c>
      <c r="T160" t="s">
        <v>534</v>
      </c>
      <c r="U160" t="s">
        <v>87</v>
      </c>
      <c r="V160" t="s">
        <v>87</v>
      </c>
      <c r="W160" t="s">
        <v>292</v>
      </c>
      <c r="Z160" t="s">
        <v>292</v>
      </c>
      <c r="AC160" t="s">
        <v>292</v>
      </c>
      <c r="AD160" t="s">
        <v>87</v>
      </c>
      <c r="AE160" t="s">
        <v>87</v>
      </c>
      <c r="AF160" t="s">
        <v>292</v>
      </c>
    </row>
    <row r="161" spans="1:32" x14ac:dyDescent="0.3">
      <c r="A161" t="s">
        <v>601</v>
      </c>
      <c r="B161" t="s">
        <v>601</v>
      </c>
      <c r="C161" t="s">
        <v>292</v>
      </c>
      <c r="D161" t="s">
        <v>546</v>
      </c>
      <c r="E161" t="s">
        <v>546</v>
      </c>
      <c r="F161" t="s">
        <v>292</v>
      </c>
      <c r="I161" t="s">
        <v>292</v>
      </c>
      <c r="J161" t="s">
        <v>74</v>
      </c>
      <c r="K161" t="s">
        <v>74</v>
      </c>
      <c r="L161" t="s">
        <v>292</v>
      </c>
      <c r="M161" t="s">
        <v>473</v>
      </c>
      <c r="O161" t="s">
        <v>465</v>
      </c>
      <c r="P161" t="s">
        <v>291</v>
      </c>
      <c r="R161" t="s">
        <v>341</v>
      </c>
      <c r="S161" t="s">
        <v>340</v>
      </c>
      <c r="T161" t="s">
        <v>534</v>
      </c>
      <c r="U161" t="s">
        <v>87</v>
      </c>
      <c r="V161" t="s">
        <v>87</v>
      </c>
      <c r="W161" t="s">
        <v>292</v>
      </c>
      <c r="Z161" t="s">
        <v>292</v>
      </c>
      <c r="AC161" t="s">
        <v>292</v>
      </c>
      <c r="AD161" t="s">
        <v>87</v>
      </c>
      <c r="AE161" t="s">
        <v>87</v>
      </c>
      <c r="AF161" t="s">
        <v>292</v>
      </c>
    </row>
    <row r="162" spans="1:32" x14ac:dyDescent="0.3">
      <c r="A162" t="s">
        <v>689</v>
      </c>
      <c r="B162" t="s">
        <v>689</v>
      </c>
      <c r="C162" t="s">
        <v>292</v>
      </c>
      <c r="D162" t="s">
        <v>546</v>
      </c>
      <c r="E162" t="s">
        <v>546</v>
      </c>
      <c r="F162" t="s">
        <v>292</v>
      </c>
      <c r="I162" t="s">
        <v>292</v>
      </c>
      <c r="J162" t="s">
        <v>74</v>
      </c>
      <c r="K162" t="s">
        <v>74</v>
      </c>
      <c r="L162" t="s">
        <v>292</v>
      </c>
      <c r="M162" t="s">
        <v>473</v>
      </c>
      <c r="O162" t="s">
        <v>462</v>
      </c>
      <c r="P162" t="s">
        <v>291</v>
      </c>
      <c r="R162" t="s">
        <v>341</v>
      </c>
      <c r="S162" t="s">
        <v>340</v>
      </c>
      <c r="T162" t="s">
        <v>534</v>
      </c>
      <c r="U162" t="s">
        <v>87</v>
      </c>
      <c r="V162" t="s">
        <v>87</v>
      </c>
      <c r="W162" t="s">
        <v>292</v>
      </c>
      <c r="Z162" t="s">
        <v>292</v>
      </c>
      <c r="AC162" t="s">
        <v>292</v>
      </c>
      <c r="AD162" t="s">
        <v>87</v>
      </c>
      <c r="AE162" t="s">
        <v>87</v>
      </c>
      <c r="AF162" t="s">
        <v>292</v>
      </c>
    </row>
    <row r="163" spans="1:32" x14ac:dyDescent="0.3">
      <c r="A163" t="s">
        <v>602</v>
      </c>
      <c r="B163" t="s">
        <v>602</v>
      </c>
      <c r="C163" t="s">
        <v>292</v>
      </c>
      <c r="D163" t="s">
        <v>546</v>
      </c>
      <c r="E163" t="s">
        <v>546</v>
      </c>
      <c r="F163" t="s">
        <v>292</v>
      </c>
      <c r="I163" t="s">
        <v>292</v>
      </c>
      <c r="J163" t="s">
        <v>74</v>
      </c>
      <c r="K163" t="s">
        <v>74</v>
      </c>
      <c r="L163" t="s">
        <v>292</v>
      </c>
      <c r="M163" t="s">
        <v>473</v>
      </c>
      <c r="O163" t="s">
        <v>455</v>
      </c>
      <c r="P163" t="s">
        <v>291</v>
      </c>
      <c r="R163" t="s">
        <v>341</v>
      </c>
      <c r="S163" t="s">
        <v>340</v>
      </c>
      <c r="T163" t="s">
        <v>534</v>
      </c>
      <c r="U163" t="s">
        <v>87</v>
      </c>
      <c r="V163" t="s">
        <v>87</v>
      </c>
      <c r="W163" t="s">
        <v>292</v>
      </c>
      <c r="Z163" t="s">
        <v>292</v>
      </c>
      <c r="AC163" t="s">
        <v>292</v>
      </c>
      <c r="AD163" t="s">
        <v>87</v>
      </c>
      <c r="AE163" t="s">
        <v>87</v>
      </c>
      <c r="AF163" t="s">
        <v>292</v>
      </c>
    </row>
    <row r="164" spans="1:32" x14ac:dyDescent="0.3">
      <c r="A164" t="s">
        <v>604</v>
      </c>
      <c r="B164" t="s">
        <v>604</v>
      </c>
      <c r="C164" t="s">
        <v>292</v>
      </c>
      <c r="D164" t="s">
        <v>546</v>
      </c>
      <c r="E164" t="s">
        <v>546</v>
      </c>
      <c r="F164" t="s">
        <v>292</v>
      </c>
      <c r="I164" t="s">
        <v>292</v>
      </c>
      <c r="J164" t="s">
        <v>74</v>
      </c>
      <c r="K164" t="s">
        <v>74</v>
      </c>
      <c r="L164" t="s">
        <v>292</v>
      </c>
      <c r="M164" t="s">
        <v>473</v>
      </c>
      <c r="O164" t="s">
        <v>465</v>
      </c>
      <c r="P164" t="s">
        <v>291</v>
      </c>
      <c r="R164" t="s">
        <v>341</v>
      </c>
      <c r="S164" t="s">
        <v>340</v>
      </c>
      <c r="T164" t="s">
        <v>534</v>
      </c>
      <c r="U164" t="s">
        <v>87</v>
      </c>
      <c r="V164" t="s">
        <v>87</v>
      </c>
      <c r="W164" t="s">
        <v>292</v>
      </c>
      <c r="Z164" t="s">
        <v>292</v>
      </c>
      <c r="AC164" t="s">
        <v>292</v>
      </c>
      <c r="AD164" t="s">
        <v>87</v>
      </c>
      <c r="AE164" t="s">
        <v>87</v>
      </c>
      <c r="AF164" t="s">
        <v>292</v>
      </c>
    </row>
    <row r="165" spans="1:32" x14ac:dyDescent="0.3">
      <c r="A165" t="s">
        <v>608</v>
      </c>
      <c r="B165" t="s">
        <v>608</v>
      </c>
      <c r="C165" t="s">
        <v>292</v>
      </c>
      <c r="D165" t="s">
        <v>546</v>
      </c>
      <c r="E165" t="s">
        <v>546</v>
      </c>
      <c r="F165" t="s">
        <v>292</v>
      </c>
      <c r="I165" t="s">
        <v>292</v>
      </c>
      <c r="J165" t="s">
        <v>74</v>
      </c>
      <c r="K165" t="s">
        <v>74</v>
      </c>
      <c r="L165" t="s">
        <v>292</v>
      </c>
      <c r="M165" t="s">
        <v>473</v>
      </c>
      <c r="O165" t="s">
        <v>465</v>
      </c>
      <c r="P165" t="s">
        <v>291</v>
      </c>
      <c r="R165" t="s">
        <v>341</v>
      </c>
      <c r="S165" t="s">
        <v>340</v>
      </c>
      <c r="T165" t="s">
        <v>534</v>
      </c>
      <c r="U165" t="s">
        <v>87</v>
      </c>
      <c r="V165" t="s">
        <v>87</v>
      </c>
      <c r="W165" t="s">
        <v>292</v>
      </c>
      <c r="Z165" t="s">
        <v>292</v>
      </c>
      <c r="AC165" t="s">
        <v>292</v>
      </c>
      <c r="AD165" t="s">
        <v>87</v>
      </c>
      <c r="AE165" t="s">
        <v>87</v>
      </c>
      <c r="AF165" t="s">
        <v>292</v>
      </c>
    </row>
    <row r="166" spans="1:32" x14ac:dyDescent="0.3">
      <c r="A166" t="s">
        <v>605</v>
      </c>
      <c r="B166" t="s">
        <v>605</v>
      </c>
      <c r="C166" t="s">
        <v>292</v>
      </c>
      <c r="D166" t="s">
        <v>546</v>
      </c>
      <c r="E166" t="s">
        <v>546</v>
      </c>
      <c r="F166" t="s">
        <v>292</v>
      </c>
      <c r="I166" t="s">
        <v>292</v>
      </c>
      <c r="J166" t="s">
        <v>74</v>
      </c>
      <c r="K166" t="s">
        <v>74</v>
      </c>
      <c r="L166" t="s">
        <v>292</v>
      </c>
      <c r="M166" t="s">
        <v>473</v>
      </c>
      <c r="O166" t="s">
        <v>465</v>
      </c>
      <c r="P166" t="s">
        <v>291</v>
      </c>
      <c r="R166" t="s">
        <v>341</v>
      </c>
      <c r="S166" t="s">
        <v>340</v>
      </c>
      <c r="T166" t="s">
        <v>534</v>
      </c>
      <c r="U166" t="s">
        <v>87</v>
      </c>
      <c r="V166" t="s">
        <v>87</v>
      </c>
      <c r="W166" t="s">
        <v>292</v>
      </c>
      <c r="Z166" t="s">
        <v>292</v>
      </c>
      <c r="AC166" t="s">
        <v>292</v>
      </c>
      <c r="AD166" t="s">
        <v>87</v>
      </c>
      <c r="AE166" t="s">
        <v>87</v>
      </c>
      <c r="AF166" t="s">
        <v>292</v>
      </c>
    </row>
    <row r="167" spans="1:32" x14ac:dyDescent="0.3">
      <c r="A167" t="s">
        <v>609</v>
      </c>
      <c r="B167" t="s">
        <v>609</v>
      </c>
      <c r="C167" t="s">
        <v>292</v>
      </c>
      <c r="D167" t="s">
        <v>546</v>
      </c>
      <c r="E167" t="s">
        <v>546</v>
      </c>
      <c r="F167" t="s">
        <v>292</v>
      </c>
      <c r="I167" t="s">
        <v>292</v>
      </c>
      <c r="J167" t="s">
        <v>74</v>
      </c>
      <c r="K167" t="s">
        <v>74</v>
      </c>
      <c r="L167" t="s">
        <v>292</v>
      </c>
      <c r="M167" t="s">
        <v>473</v>
      </c>
      <c r="O167" t="s">
        <v>465</v>
      </c>
      <c r="P167" t="s">
        <v>291</v>
      </c>
      <c r="R167" t="s">
        <v>341</v>
      </c>
      <c r="S167" t="s">
        <v>340</v>
      </c>
      <c r="T167" t="s">
        <v>534</v>
      </c>
      <c r="U167" t="s">
        <v>87</v>
      </c>
      <c r="V167" t="s">
        <v>87</v>
      </c>
      <c r="W167" t="s">
        <v>292</v>
      </c>
      <c r="Z167" t="s">
        <v>292</v>
      </c>
      <c r="AC167" t="s">
        <v>292</v>
      </c>
      <c r="AD167" t="s">
        <v>87</v>
      </c>
      <c r="AE167" t="s">
        <v>87</v>
      </c>
      <c r="AF167" t="s">
        <v>292</v>
      </c>
    </row>
    <row r="168" spans="1:32" x14ac:dyDescent="0.3">
      <c r="A168" t="s">
        <v>737</v>
      </c>
      <c r="B168" t="s">
        <v>737</v>
      </c>
      <c r="C168" t="s">
        <v>292</v>
      </c>
      <c r="D168" t="s">
        <v>580</v>
      </c>
      <c r="E168" t="s">
        <v>580</v>
      </c>
      <c r="F168" t="s">
        <v>292</v>
      </c>
      <c r="I168" t="s">
        <v>292</v>
      </c>
      <c r="J168" t="s">
        <v>76</v>
      </c>
      <c r="K168" t="s">
        <v>76</v>
      </c>
      <c r="L168" t="s">
        <v>292</v>
      </c>
      <c r="M168" t="s">
        <v>536</v>
      </c>
      <c r="O168" t="s">
        <v>462</v>
      </c>
      <c r="P168" t="s">
        <v>291</v>
      </c>
      <c r="R168" t="s">
        <v>255</v>
      </c>
      <c r="S168" t="s">
        <v>262</v>
      </c>
      <c r="T168" t="s">
        <v>534</v>
      </c>
      <c r="U168" t="s">
        <v>87</v>
      </c>
      <c r="V168" t="s">
        <v>87</v>
      </c>
      <c r="W168" t="s">
        <v>292</v>
      </c>
      <c r="Z168" t="s">
        <v>292</v>
      </c>
      <c r="AC168" t="s">
        <v>292</v>
      </c>
      <c r="AD168" t="s">
        <v>87</v>
      </c>
      <c r="AE168" t="s">
        <v>87</v>
      </c>
      <c r="AF168" t="s">
        <v>292</v>
      </c>
    </row>
    <row r="169" spans="1:32" x14ac:dyDescent="0.3">
      <c r="A169" t="s">
        <v>610</v>
      </c>
      <c r="B169" t="s">
        <v>610</v>
      </c>
      <c r="C169" t="s">
        <v>292</v>
      </c>
      <c r="D169" t="s">
        <v>568</v>
      </c>
      <c r="E169" t="s">
        <v>568</v>
      </c>
      <c r="F169" t="s">
        <v>292</v>
      </c>
      <c r="I169" t="s">
        <v>292</v>
      </c>
      <c r="J169" t="s">
        <v>339</v>
      </c>
      <c r="K169" t="s">
        <v>339</v>
      </c>
      <c r="L169" t="s">
        <v>292</v>
      </c>
      <c r="M169" t="s">
        <v>668</v>
      </c>
      <c r="O169" t="s">
        <v>462</v>
      </c>
      <c r="P169" t="s">
        <v>291</v>
      </c>
      <c r="R169" t="s">
        <v>388</v>
      </c>
      <c r="S169" t="s">
        <v>262</v>
      </c>
      <c r="T169" t="s">
        <v>534</v>
      </c>
      <c r="U169" t="s">
        <v>87</v>
      </c>
      <c r="V169" t="s">
        <v>87</v>
      </c>
      <c r="W169" t="s">
        <v>292</v>
      </c>
      <c r="Z169" t="s">
        <v>292</v>
      </c>
      <c r="AC169" t="s">
        <v>292</v>
      </c>
      <c r="AD169" t="s">
        <v>87</v>
      </c>
      <c r="AE169" t="s">
        <v>87</v>
      </c>
      <c r="AF169" t="s">
        <v>292</v>
      </c>
    </row>
    <row r="170" spans="1:32" x14ac:dyDescent="0.3">
      <c r="A170" t="s">
        <v>623</v>
      </c>
      <c r="B170" t="s">
        <v>623</v>
      </c>
      <c r="C170" t="s">
        <v>292</v>
      </c>
      <c r="D170" t="s">
        <v>576</v>
      </c>
      <c r="E170" t="s">
        <v>576</v>
      </c>
      <c r="F170" t="s">
        <v>292</v>
      </c>
      <c r="I170" t="s">
        <v>292</v>
      </c>
      <c r="J170" t="s">
        <v>339</v>
      </c>
      <c r="K170" t="s">
        <v>339</v>
      </c>
      <c r="L170" t="s">
        <v>292</v>
      </c>
      <c r="M170" t="s">
        <v>536</v>
      </c>
      <c r="O170" t="s">
        <v>462</v>
      </c>
      <c r="P170" t="s">
        <v>291</v>
      </c>
      <c r="R170" t="s">
        <v>255</v>
      </c>
      <c r="S170" t="s">
        <v>262</v>
      </c>
      <c r="T170" t="s">
        <v>534</v>
      </c>
      <c r="U170" t="s">
        <v>87</v>
      </c>
      <c r="V170" t="s">
        <v>87</v>
      </c>
      <c r="W170" t="s">
        <v>292</v>
      </c>
      <c r="Z170" t="s">
        <v>292</v>
      </c>
      <c r="AC170" t="s">
        <v>292</v>
      </c>
      <c r="AD170" t="s">
        <v>87</v>
      </c>
      <c r="AE170" t="s">
        <v>87</v>
      </c>
      <c r="AF170" t="s">
        <v>292</v>
      </c>
    </row>
    <row r="171" spans="1:32" x14ac:dyDescent="0.3">
      <c r="A171" t="s">
        <v>741</v>
      </c>
      <c r="B171" t="s">
        <v>741</v>
      </c>
      <c r="C171" t="s">
        <v>292</v>
      </c>
      <c r="D171" t="s">
        <v>576</v>
      </c>
      <c r="E171" t="s">
        <v>576</v>
      </c>
      <c r="F171" t="s">
        <v>292</v>
      </c>
      <c r="I171" t="s">
        <v>292</v>
      </c>
      <c r="J171" t="s">
        <v>339</v>
      </c>
      <c r="K171" t="s">
        <v>339</v>
      </c>
      <c r="L171" t="s">
        <v>292</v>
      </c>
      <c r="M171" t="s">
        <v>536</v>
      </c>
      <c r="O171" t="s">
        <v>462</v>
      </c>
      <c r="P171" t="s">
        <v>291</v>
      </c>
      <c r="R171" t="s">
        <v>255</v>
      </c>
      <c r="S171" t="s">
        <v>262</v>
      </c>
      <c r="T171" t="s">
        <v>534</v>
      </c>
      <c r="U171" t="s">
        <v>87</v>
      </c>
      <c r="V171" t="s">
        <v>87</v>
      </c>
      <c r="W171" t="s">
        <v>292</v>
      </c>
      <c r="Z171" t="s">
        <v>292</v>
      </c>
      <c r="AC171" t="s">
        <v>292</v>
      </c>
      <c r="AD171" t="s">
        <v>87</v>
      </c>
      <c r="AE171" t="s">
        <v>87</v>
      </c>
      <c r="AF171" t="s">
        <v>292</v>
      </c>
    </row>
    <row r="172" spans="1:32" x14ac:dyDescent="0.3">
      <c r="A172" t="s">
        <v>612</v>
      </c>
      <c r="B172" t="s">
        <v>612</v>
      </c>
      <c r="C172" t="s">
        <v>292</v>
      </c>
      <c r="D172" t="s">
        <v>578</v>
      </c>
      <c r="E172" t="s">
        <v>578</v>
      </c>
      <c r="F172" t="s">
        <v>292</v>
      </c>
      <c r="I172" t="s">
        <v>292</v>
      </c>
      <c r="J172" t="s">
        <v>78</v>
      </c>
      <c r="K172" t="s">
        <v>78</v>
      </c>
      <c r="L172" t="s">
        <v>292</v>
      </c>
      <c r="M172" t="s">
        <v>536</v>
      </c>
      <c r="O172" t="s">
        <v>462</v>
      </c>
      <c r="P172" t="s">
        <v>291</v>
      </c>
      <c r="R172" t="s">
        <v>255</v>
      </c>
      <c r="S172" t="s">
        <v>262</v>
      </c>
      <c r="T172" t="s">
        <v>534</v>
      </c>
      <c r="U172" t="s">
        <v>87</v>
      </c>
      <c r="V172" t="s">
        <v>87</v>
      </c>
      <c r="W172" t="s">
        <v>292</v>
      </c>
      <c r="Z172" t="s">
        <v>292</v>
      </c>
      <c r="AC172" t="s">
        <v>292</v>
      </c>
      <c r="AD172" t="s">
        <v>87</v>
      </c>
      <c r="AE172" t="s">
        <v>87</v>
      </c>
      <c r="AF172" t="s">
        <v>292</v>
      </c>
    </row>
    <row r="173" spans="1:32" x14ac:dyDescent="0.3">
      <c r="A173" t="s">
        <v>765</v>
      </c>
      <c r="B173" t="s">
        <v>765</v>
      </c>
      <c r="C173" t="s">
        <v>292</v>
      </c>
      <c r="D173" t="s">
        <v>568</v>
      </c>
      <c r="E173" t="s">
        <v>568</v>
      </c>
      <c r="F173" t="s">
        <v>292</v>
      </c>
      <c r="I173" t="s">
        <v>292</v>
      </c>
      <c r="J173" t="s">
        <v>339</v>
      </c>
      <c r="K173" t="s">
        <v>339</v>
      </c>
      <c r="L173" t="s">
        <v>292</v>
      </c>
      <c r="M173" t="s">
        <v>668</v>
      </c>
      <c r="O173" t="s">
        <v>468</v>
      </c>
      <c r="P173" t="s">
        <v>291</v>
      </c>
      <c r="R173" t="s">
        <v>388</v>
      </c>
      <c r="S173" t="s">
        <v>262</v>
      </c>
      <c r="T173" t="s">
        <v>534</v>
      </c>
      <c r="U173" t="s">
        <v>87</v>
      </c>
      <c r="V173" t="s">
        <v>87</v>
      </c>
      <c r="W173" t="s">
        <v>292</v>
      </c>
      <c r="Z173" t="s">
        <v>292</v>
      </c>
      <c r="AC173" t="s">
        <v>292</v>
      </c>
      <c r="AD173" t="s">
        <v>87</v>
      </c>
      <c r="AE173" t="s">
        <v>87</v>
      </c>
      <c r="AF173" t="s">
        <v>292</v>
      </c>
    </row>
    <row r="174" spans="1:32" x14ac:dyDescent="0.3">
      <c r="A174" t="s">
        <v>611</v>
      </c>
      <c r="B174" t="s">
        <v>611</v>
      </c>
      <c r="C174" t="s">
        <v>292</v>
      </c>
      <c r="D174" t="s">
        <v>578</v>
      </c>
      <c r="E174" t="s">
        <v>578</v>
      </c>
      <c r="F174" t="s">
        <v>292</v>
      </c>
      <c r="I174" t="s">
        <v>292</v>
      </c>
      <c r="J174" t="s">
        <v>78</v>
      </c>
      <c r="K174" t="s">
        <v>78</v>
      </c>
      <c r="L174" t="s">
        <v>292</v>
      </c>
      <c r="M174" t="s">
        <v>536</v>
      </c>
      <c r="O174" t="s">
        <v>462</v>
      </c>
      <c r="P174" t="s">
        <v>291</v>
      </c>
      <c r="R174" t="s">
        <v>255</v>
      </c>
      <c r="S174" t="s">
        <v>262</v>
      </c>
      <c r="T174" t="s">
        <v>534</v>
      </c>
      <c r="U174" t="s">
        <v>87</v>
      </c>
      <c r="V174" t="s">
        <v>87</v>
      </c>
      <c r="W174" t="s">
        <v>292</v>
      </c>
      <c r="Z174" t="s">
        <v>292</v>
      </c>
      <c r="AC174" t="s">
        <v>292</v>
      </c>
      <c r="AD174" t="s">
        <v>87</v>
      </c>
      <c r="AE174" t="s">
        <v>87</v>
      </c>
      <c r="AF174" t="s">
        <v>292</v>
      </c>
    </row>
    <row r="175" spans="1:32" x14ac:dyDescent="0.3">
      <c r="A175" t="s">
        <v>710</v>
      </c>
      <c r="B175" t="s">
        <v>710</v>
      </c>
      <c r="C175" t="s">
        <v>292</v>
      </c>
      <c r="D175" t="s">
        <v>546</v>
      </c>
      <c r="E175" t="s">
        <v>546</v>
      </c>
      <c r="F175" t="s">
        <v>292</v>
      </c>
      <c r="I175" t="s">
        <v>292</v>
      </c>
      <c r="J175" t="s">
        <v>74</v>
      </c>
      <c r="K175" t="s">
        <v>74</v>
      </c>
      <c r="L175" t="s">
        <v>292</v>
      </c>
      <c r="M175" t="s">
        <v>473</v>
      </c>
      <c r="O175" t="s">
        <v>178</v>
      </c>
      <c r="P175" t="s">
        <v>291</v>
      </c>
      <c r="R175" t="s">
        <v>341</v>
      </c>
      <c r="S175" t="s">
        <v>340</v>
      </c>
      <c r="T175" t="s">
        <v>534</v>
      </c>
      <c r="U175" t="s">
        <v>87</v>
      </c>
      <c r="V175" t="s">
        <v>87</v>
      </c>
      <c r="W175" t="s">
        <v>292</v>
      </c>
      <c r="Z175" t="s">
        <v>292</v>
      </c>
      <c r="AC175" t="s">
        <v>292</v>
      </c>
      <c r="AD175" t="s">
        <v>87</v>
      </c>
      <c r="AE175" t="s">
        <v>87</v>
      </c>
      <c r="AF175" t="s">
        <v>292</v>
      </c>
    </row>
    <row r="176" spans="1:32" x14ac:dyDescent="0.3">
      <c r="A176" t="s">
        <v>614</v>
      </c>
      <c r="B176" t="s">
        <v>614</v>
      </c>
      <c r="C176" t="s">
        <v>292</v>
      </c>
      <c r="D176" t="s">
        <v>549</v>
      </c>
      <c r="E176" t="s">
        <v>549</v>
      </c>
      <c r="F176" t="s">
        <v>292</v>
      </c>
      <c r="I176" t="s">
        <v>292</v>
      </c>
      <c r="J176" t="s">
        <v>76</v>
      </c>
      <c r="K176" t="s">
        <v>76</v>
      </c>
      <c r="L176" t="s">
        <v>292</v>
      </c>
      <c r="M176" t="s">
        <v>536</v>
      </c>
      <c r="O176" t="s">
        <v>465</v>
      </c>
      <c r="P176" t="s">
        <v>291</v>
      </c>
      <c r="R176" t="s">
        <v>255</v>
      </c>
      <c r="S176" t="s">
        <v>262</v>
      </c>
      <c r="T176" t="s">
        <v>534</v>
      </c>
      <c r="U176" t="s">
        <v>87</v>
      </c>
      <c r="V176" t="s">
        <v>87</v>
      </c>
      <c r="W176" t="s">
        <v>292</v>
      </c>
      <c r="Z176" t="s">
        <v>292</v>
      </c>
      <c r="AC176" t="s">
        <v>292</v>
      </c>
      <c r="AD176" t="s">
        <v>87</v>
      </c>
      <c r="AE176" t="s">
        <v>87</v>
      </c>
      <c r="AF176" t="s">
        <v>292</v>
      </c>
    </row>
    <row r="177" spans="1:33" x14ac:dyDescent="0.3">
      <c r="A177" t="s">
        <v>721</v>
      </c>
      <c r="B177" t="s">
        <v>721</v>
      </c>
      <c r="C177" t="s">
        <v>292</v>
      </c>
      <c r="D177" t="s">
        <v>546</v>
      </c>
      <c r="E177" t="s">
        <v>546</v>
      </c>
      <c r="F177" t="s">
        <v>292</v>
      </c>
      <c r="I177" t="s">
        <v>292</v>
      </c>
      <c r="J177" t="s">
        <v>74</v>
      </c>
      <c r="K177" t="s">
        <v>74</v>
      </c>
      <c r="L177" t="s">
        <v>292</v>
      </c>
      <c r="M177" t="s">
        <v>473</v>
      </c>
      <c r="O177" t="s">
        <v>462</v>
      </c>
      <c r="P177" t="s">
        <v>291</v>
      </c>
      <c r="R177" t="s">
        <v>341</v>
      </c>
      <c r="S177" t="s">
        <v>340</v>
      </c>
      <c r="T177" t="s">
        <v>534</v>
      </c>
      <c r="U177" t="s">
        <v>87</v>
      </c>
      <c r="V177" t="s">
        <v>87</v>
      </c>
      <c r="W177" t="s">
        <v>292</v>
      </c>
      <c r="Z177" t="s">
        <v>292</v>
      </c>
      <c r="AC177" t="s">
        <v>292</v>
      </c>
      <c r="AD177" t="s">
        <v>87</v>
      </c>
      <c r="AE177" t="s">
        <v>87</v>
      </c>
      <c r="AF177" t="s">
        <v>292</v>
      </c>
    </row>
    <row r="178" spans="1:33" x14ac:dyDescent="0.3">
      <c r="A178" t="s">
        <v>615</v>
      </c>
      <c r="B178" t="s">
        <v>615</v>
      </c>
      <c r="C178" t="s">
        <v>292</v>
      </c>
      <c r="D178" t="s">
        <v>549</v>
      </c>
      <c r="E178" t="s">
        <v>549</v>
      </c>
      <c r="F178" t="s">
        <v>292</v>
      </c>
      <c r="I178" t="s">
        <v>292</v>
      </c>
      <c r="J178" t="s">
        <v>76</v>
      </c>
      <c r="K178" t="s">
        <v>76</v>
      </c>
      <c r="L178" t="s">
        <v>292</v>
      </c>
      <c r="M178" t="s">
        <v>536</v>
      </c>
      <c r="O178" t="s">
        <v>465</v>
      </c>
      <c r="P178" t="s">
        <v>291</v>
      </c>
      <c r="R178" t="s">
        <v>255</v>
      </c>
      <c r="S178" t="s">
        <v>262</v>
      </c>
      <c r="T178" t="s">
        <v>534</v>
      </c>
      <c r="U178" t="s">
        <v>87</v>
      </c>
      <c r="V178" t="s">
        <v>87</v>
      </c>
      <c r="W178" t="s">
        <v>292</v>
      </c>
      <c r="Z178" t="s">
        <v>292</v>
      </c>
      <c r="AC178" t="s">
        <v>292</v>
      </c>
      <c r="AD178" t="s">
        <v>87</v>
      </c>
      <c r="AE178" t="s">
        <v>87</v>
      </c>
      <c r="AF178" t="s">
        <v>292</v>
      </c>
    </row>
    <row r="179" spans="1:33" x14ac:dyDescent="0.3">
      <c r="A179" t="s">
        <v>695</v>
      </c>
      <c r="B179" t="s">
        <v>695</v>
      </c>
      <c r="C179" t="s">
        <v>292</v>
      </c>
      <c r="D179" t="s">
        <v>546</v>
      </c>
      <c r="E179" t="s">
        <v>546</v>
      </c>
      <c r="F179" t="s">
        <v>292</v>
      </c>
      <c r="I179" t="s">
        <v>292</v>
      </c>
      <c r="J179" t="s">
        <v>74</v>
      </c>
      <c r="K179" t="s">
        <v>74</v>
      </c>
      <c r="L179" t="s">
        <v>292</v>
      </c>
      <c r="M179" t="s">
        <v>473</v>
      </c>
      <c r="O179" t="s">
        <v>468</v>
      </c>
      <c r="P179" t="s">
        <v>291</v>
      </c>
      <c r="R179" t="s">
        <v>341</v>
      </c>
      <c r="S179" t="s">
        <v>340</v>
      </c>
      <c r="T179" t="s">
        <v>534</v>
      </c>
      <c r="U179" t="s">
        <v>87</v>
      </c>
      <c r="V179" t="s">
        <v>87</v>
      </c>
      <c r="W179" t="s">
        <v>292</v>
      </c>
      <c r="Z179" t="s">
        <v>292</v>
      </c>
      <c r="AC179" t="s">
        <v>292</v>
      </c>
      <c r="AD179" t="s">
        <v>87</v>
      </c>
      <c r="AE179" t="s">
        <v>87</v>
      </c>
      <c r="AF179" t="s">
        <v>292</v>
      </c>
    </row>
    <row r="180" spans="1:33" x14ac:dyDescent="0.3">
      <c r="A180" t="s">
        <v>618</v>
      </c>
      <c r="B180" t="s">
        <v>618</v>
      </c>
      <c r="C180" t="s">
        <v>292</v>
      </c>
      <c r="D180" t="s">
        <v>580</v>
      </c>
      <c r="E180" t="s">
        <v>580</v>
      </c>
      <c r="F180" t="s">
        <v>292</v>
      </c>
      <c r="I180" t="s">
        <v>292</v>
      </c>
      <c r="J180" t="s">
        <v>76</v>
      </c>
      <c r="K180" t="s">
        <v>76</v>
      </c>
      <c r="L180" t="s">
        <v>292</v>
      </c>
      <c r="M180" t="s">
        <v>536</v>
      </c>
      <c r="O180" t="s">
        <v>462</v>
      </c>
      <c r="P180" t="s">
        <v>291</v>
      </c>
      <c r="R180" t="s">
        <v>255</v>
      </c>
      <c r="S180" t="s">
        <v>262</v>
      </c>
      <c r="T180" t="s">
        <v>534</v>
      </c>
      <c r="U180" t="s">
        <v>87</v>
      </c>
      <c r="V180" t="s">
        <v>87</v>
      </c>
      <c r="W180" t="s">
        <v>292</v>
      </c>
      <c r="Z180" t="s">
        <v>292</v>
      </c>
      <c r="AC180" t="s">
        <v>292</v>
      </c>
      <c r="AD180" t="s">
        <v>87</v>
      </c>
      <c r="AE180" t="s">
        <v>87</v>
      </c>
      <c r="AF180" t="s">
        <v>292</v>
      </c>
    </row>
    <row r="181" spans="1:33" x14ac:dyDescent="0.3">
      <c r="A181" t="s">
        <v>621</v>
      </c>
      <c r="B181" t="s">
        <v>621</v>
      </c>
      <c r="C181" t="s">
        <v>292</v>
      </c>
      <c r="D181" t="s">
        <v>576</v>
      </c>
      <c r="E181" t="s">
        <v>576</v>
      </c>
      <c r="F181" t="s">
        <v>292</v>
      </c>
      <c r="I181" t="s">
        <v>292</v>
      </c>
      <c r="J181" t="s">
        <v>339</v>
      </c>
      <c r="K181" t="s">
        <v>339</v>
      </c>
      <c r="L181" t="s">
        <v>292</v>
      </c>
      <c r="M181" t="s">
        <v>536</v>
      </c>
      <c r="O181" t="s">
        <v>462</v>
      </c>
      <c r="P181" t="s">
        <v>291</v>
      </c>
      <c r="R181" t="s">
        <v>255</v>
      </c>
      <c r="S181" t="s">
        <v>262</v>
      </c>
      <c r="T181" t="s">
        <v>534</v>
      </c>
      <c r="U181" t="s">
        <v>87</v>
      </c>
      <c r="V181" t="s">
        <v>87</v>
      </c>
      <c r="W181" t="s">
        <v>292</v>
      </c>
      <c r="Z181" t="s">
        <v>292</v>
      </c>
      <c r="AC181" t="s">
        <v>292</v>
      </c>
      <c r="AD181" t="s">
        <v>87</v>
      </c>
      <c r="AE181" t="s">
        <v>87</v>
      </c>
      <c r="AF181" t="s">
        <v>292</v>
      </c>
    </row>
    <row r="182" spans="1:33" x14ac:dyDescent="0.3">
      <c r="A182" t="s">
        <v>622</v>
      </c>
      <c r="B182" t="s">
        <v>622</v>
      </c>
      <c r="C182" t="s">
        <v>292</v>
      </c>
      <c r="D182" t="s">
        <v>576</v>
      </c>
      <c r="E182" t="s">
        <v>576</v>
      </c>
      <c r="F182" t="s">
        <v>292</v>
      </c>
      <c r="I182" t="s">
        <v>292</v>
      </c>
      <c r="J182" t="s">
        <v>339</v>
      </c>
      <c r="K182" t="s">
        <v>339</v>
      </c>
      <c r="L182" t="s">
        <v>292</v>
      </c>
      <c r="M182" t="s">
        <v>536</v>
      </c>
      <c r="O182" t="s">
        <v>462</v>
      </c>
      <c r="P182" t="s">
        <v>291</v>
      </c>
      <c r="R182" t="s">
        <v>255</v>
      </c>
      <c r="S182" t="s">
        <v>262</v>
      </c>
      <c r="T182" t="s">
        <v>534</v>
      </c>
      <c r="U182" t="s">
        <v>87</v>
      </c>
      <c r="V182" t="s">
        <v>87</v>
      </c>
      <c r="W182" t="s">
        <v>292</v>
      </c>
      <c r="Z182" t="s">
        <v>292</v>
      </c>
      <c r="AC182" t="s">
        <v>292</v>
      </c>
      <c r="AD182" t="s">
        <v>87</v>
      </c>
      <c r="AE182" t="s">
        <v>87</v>
      </c>
      <c r="AF182" t="s">
        <v>292</v>
      </c>
    </row>
    <row r="183" spans="1:33" x14ac:dyDescent="0.3">
      <c r="A183" t="s">
        <v>739</v>
      </c>
      <c r="B183" t="s">
        <v>739</v>
      </c>
      <c r="C183" t="s">
        <v>292</v>
      </c>
      <c r="D183" t="s">
        <v>617</v>
      </c>
      <c r="E183" t="s">
        <v>617</v>
      </c>
      <c r="F183" t="s">
        <v>292</v>
      </c>
      <c r="I183" t="s">
        <v>292</v>
      </c>
      <c r="J183" t="s">
        <v>78</v>
      </c>
      <c r="K183" t="s">
        <v>78</v>
      </c>
      <c r="L183" t="s">
        <v>292</v>
      </c>
      <c r="M183" t="s">
        <v>536</v>
      </c>
      <c r="O183" t="s">
        <v>465</v>
      </c>
      <c r="P183" t="s">
        <v>291</v>
      </c>
      <c r="R183" t="s">
        <v>255</v>
      </c>
      <c r="S183" t="s">
        <v>262</v>
      </c>
      <c r="T183" t="s">
        <v>534</v>
      </c>
      <c r="U183" t="s">
        <v>87</v>
      </c>
      <c r="V183" t="s">
        <v>87</v>
      </c>
      <c r="W183" t="s">
        <v>292</v>
      </c>
      <c r="Z183" t="s">
        <v>292</v>
      </c>
      <c r="AC183" t="s">
        <v>292</v>
      </c>
      <c r="AD183" t="s">
        <v>87</v>
      </c>
      <c r="AE183" t="s">
        <v>87</v>
      </c>
      <c r="AF183" t="s">
        <v>292</v>
      </c>
    </row>
    <row r="184" spans="1:33" x14ac:dyDescent="0.3">
      <c r="A184" t="s">
        <v>627</v>
      </c>
      <c r="B184" t="s">
        <v>627</v>
      </c>
      <c r="C184" t="s">
        <v>292</v>
      </c>
      <c r="D184" t="s">
        <v>576</v>
      </c>
      <c r="E184" t="s">
        <v>576</v>
      </c>
      <c r="F184" t="s">
        <v>292</v>
      </c>
      <c r="I184" t="s">
        <v>292</v>
      </c>
      <c r="J184" t="s">
        <v>339</v>
      </c>
      <c r="K184" t="s">
        <v>339</v>
      </c>
      <c r="L184" t="s">
        <v>292</v>
      </c>
      <c r="M184" t="s">
        <v>536</v>
      </c>
      <c r="O184" t="s">
        <v>468</v>
      </c>
      <c r="P184" t="s">
        <v>291</v>
      </c>
      <c r="R184" t="s">
        <v>255</v>
      </c>
      <c r="S184" t="s">
        <v>262</v>
      </c>
      <c r="T184" t="s">
        <v>534</v>
      </c>
      <c r="U184" t="s">
        <v>87</v>
      </c>
      <c r="V184" t="s">
        <v>87</v>
      </c>
      <c r="W184" t="s">
        <v>292</v>
      </c>
      <c r="Z184" t="s">
        <v>292</v>
      </c>
      <c r="AC184" t="s">
        <v>292</v>
      </c>
      <c r="AD184" t="s">
        <v>87</v>
      </c>
      <c r="AE184" t="s">
        <v>87</v>
      </c>
      <c r="AF184" t="s">
        <v>292</v>
      </c>
    </row>
    <row r="185" spans="1:33" x14ac:dyDescent="0.3">
      <c r="A185" t="s">
        <v>742</v>
      </c>
      <c r="B185" t="s">
        <v>742</v>
      </c>
      <c r="C185" t="s">
        <v>292</v>
      </c>
      <c r="D185" t="s">
        <v>578</v>
      </c>
      <c r="E185" t="s">
        <v>578</v>
      </c>
      <c r="F185" t="s">
        <v>292</v>
      </c>
      <c r="I185" t="s">
        <v>292</v>
      </c>
      <c r="J185" t="s">
        <v>78</v>
      </c>
      <c r="K185" t="s">
        <v>78</v>
      </c>
      <c r="L185" t="s">
        <v>292</v>
      </c>
      <c r="M185" t="s">
        <v>536</v>
      </c>
      <c r="O185" t="s">
        <v>462</v>
      </c>
      <c r="P185" t="s">
        <v>291</v>
      </c>
      <c r="R185" t="s">
        <v>255</v>
      </c>
      <c r="S185" t="s">
        <v>262</v>
      </c>
      <c r="T185" t="s">
        <v>534</v>
      </c>
      <c r="U185" t="s">
        <v>87</v>
      </c>
      <c r="V185" t="s">
        <v>87</v>
      </c>
      <c r="W185" t="s">
        <v>292</v>
      </c>
      <c r="Z185" t="s">
        <v>292</v>
      </c>
      <c r="AC185" t="s">
        <v>292</v>
      </c>
      <c r="AD185" t="s">
        <v>87</v>
      </c>
      <c r="AE185" t="s">
        <v>87</v>
      </c>
      <c r="AF185" t="s">
        <v>292</v>
      </c>
    </row>
    <row r="186" spans="1:33" x14ac:dyDescent="0.3">
      <c r="A186" t="s">
        <v>747</v>
      </c>
      <c r="B186" t="s">
        <v>747</v>
      </c>
      <c r="C186" t="s">
        <v>292</v>
      </c>
      <c r="D186" t="s">
        <v>748</v>
      </c>
      <c r="E186" t="s">
        <v>748</v>
      </c>
      <c r="F186" t="s">
        <v>292</v>
      </c>
      <c r="I186" t="s">
        <v>292</v>
      </c>
      <c r="J186" t="s">
        <v>393</v>
      </c>
      <c r="K186" t="s">
        <v>393</v>
      </c>
      <c r="L186" t="s">
        <v>292</v>
      </c>
      <c r="M186" t="s">
        <v>473</v>
      </c>
      <c r="O186" t="s">
        <v>466</v>
      </c>
      <c r="P186" t="s">
        <v>291</v>
      </c>
      <c r="R186" t="s">
        <v>341</v>
      </c>
      <c r="S186" t="s">
        <v>340</v>
      </c>
      <c r="T186" t="s">
        <v>534</v>
      </c>
      <c r="U186" t="s">
        <v>87</v>
      </c>
      <c r="V186" t="s">
        <v>87</v>
      </c>
      <c r="W186" t="s">
        <v>292</v>
      </c>
      <c r="Z186" t="s">
        <v>292</v>
      </c>
      <c r="AC186" t="s">
        <v>292</v>
      </c>
      <c r="AD186" t="s">
        <v>87</v>
      </c>
      <c r="AE186" t="s">
        <v>87</v>
      </c>
      <c r="AF186" t="s">
        <v>292</v>
      </c>
    </row>
    <row r="187" spans="1:33" x14ac:dyDescent="0.3">
      <c r="A187" t="s">
        <v>750</v>
      </c>
      <c r="B187" t="s">
        <v>750</v>
      </c>
      <c r="C187" t="s">
        <v>292</v>
      </c>
      <c r="D187" t="s">
        <v>675</v>
      </c>
      <c r="E187" t="s">
        <v>675</v>
      </c>
      <c r="F187" t="s">
        <v>292</v>
      </c>
      <c r="I187" t="s">
        <v>292</v>
      </c>
      <c r="J187" t="s">
        <v>78</v>
      </c>
      <c r="K187" t="s">
        <v>78</v>
      </c>
      <c r="L187" t="s">
        <v>292</v>
      </c>
      <c r="M187" t="s">
        <v>473</v>
      </c>
      <c r="O187" t="s">
        <v>754</v>
      </c>
      <c r="P187" t="s">
        <v>291</v>
      </c>
      <c r="Q187" t="s">
        <v>684</v>
      </c>
      <c r="R187" t="s">
        <v>478</v>
      </c>
      <c r="S187" t="s">
        <v>340</v>
      </c>
      <c r="T187" t="s">
        <v>534</v>
      </c>
      <c r="U187" t="s">
        <v>260</v>
      </c>
      <c r="V187" t="s">
        <v>686</v>
      </c>
      <c r="W187" t="s">
        <v>291</v>
      </c>
      <c r="Z187" t="s">
        <v>292</v>
      </c>
      <c r="AC187" t="s">
        <v>292</v>
      </c>
      <c r="AD187" t="s">
        <v>87</v>
      </c>
      <c r="AE187" t="s">
        <v>87</v>
      </c>
      <c r="AF187" t="s">
        <v>292</v>
      </c>
      <c r="AG187" t="s">
        <v>805</v>
      </c>
    </row>
    <row r="188" spans="1:33" x14ac:dyDescent="0.3">
      <c r="A188" t="s">
        <v>735</v>
      </c>
      <c r="B188" t="s">
        <v>735</v>
      </c>
      <c r="C188" t="s">
        <v>292</v>
      </c>
      <c r="D188" t="s">
        <v>549</v>
      </c>
      <c r="E188" t="s">
        <v>549</v>
      </c>
      <c r="F188" t="s">
        <v>292</v>
      </c>
      <c r="I188" t="s">
        <v>292</v>
      </c>
      <c r="J188" t="s">
        <v>76</v>
      </c>
      <c r="K188" t="s">
        <v>76</v>
      </c>
      <c r="L188" t="s">
        <v>292</v>
      </c>
      <c r="M188" t="s">
        <v>536</v>
      </c>
      <c r="O188" t="s">
        <v>465</v>
      </c>
      <c r="P188" t="s">
        <v>291</v>
      </c>
      <c r="R188" t="s">
        <v>255</v>
      </c>
      <c r="S188" t="s">
        <v>262</v>
      </c>
      <c r="T188" t="s">
        <v>534</v>
      </c>
      <c r="U188" t="s">
        <v>87</v>
      </c>
      <c r="V188" t="s">
        <v>87</v>
      </c>
      <c r="W188" t="s">
        <v>292</v>
      </c>
      <c r="Z188" t="s">
        <v>292</v>
      </c>
      <c r="AC188" t="s">
        <v>292</v>
      </c>
      <c r="AD188" t="s">
        <v>87</v>
      </c>
      <c r="AE188" t="s">
        <v>87</v>
      </c>
      <c r="AF188" t="s">
        <v>292</v>
      </c>
    </row>
    <row r="189" spans="1:33" x14ac:dyDescent="0.3">
      <c r="A189" t="s">
        <v>704</v>
      </c>
      <c r="B189" t="s">
        <v>704</v>
      </c>
      <c r="C189" t="s">
        <v>292</v>
      </c>
      <c r="D189" t="s">
        <v>546</v>
      </c>
      <c r="E189" t="s">
        <v>546</v>
      </c>
      <c r="F189" t="s">
        <v>292</v>
      </c>
      <c r="I189" t="s">
        <v>292</v>
      </c>
      <c r="J189" t="s">
        <v>74</v>
      </c>
      <c r="K189" t="s">
        <v>74</v>
      </c>
      <c r="L189" t="s">
        <v>292</v>
      </c>
      <c r="M189" t="s">
        <v>473</v>
      </c>
      <c r="O189" t="s">
        <v>462</v>
      </c>
      <c r="P189" t="s">
        <v>291</v>
      </c>
      <c r="R189" t="s">
        <v>341</v>
      </c>
      <c r="S189" t="s">
        <v>340</v>
      </c>
      <c r="T189" t="s">
        <v>534</v>
      </c>
      <c r="U189" t="s">
        <v>87</v>
      </c>
      <c r="V189" t="s">
        <v>87</v>
      </c>
      <c r="W189" t="s">
        <v>292</v>
      </c>
      <c r="Z189" t="s">
        <v>292</v>
      </c>
      <c r="AC189" t="s">
        <v>292</v>
      </c>
      <c r="AD189" t="s">
        <v>87</v>
      </c>
      <c r="AE189" t="s">
        <v>87</v>
      </c>
      <c r="AF189" t="s">
        <v>292</v>
      </c>
    </row>
    <row r="190" spans="1:33" x14ac:dyDescent="0.3">
      <c r="A190" t="s">
        <v>726</v>
      </c>
      <c r="B190" t="s">
        <v>726</v>
      </c>
      <c r="C190" t="s">
        <v>292</v>
      </c>
      <c r="D190" t="s">
        <v>546</v>
      </c>
      <c r="E190" t="s">
        <v>546</v>
      </c>
      <c r="F190" t="s">
        <v>292</v>
      </c>
      <c r="I190" t="s">
        <v>292</v>
      </c>
      <c r="J190" t="s">
        <v>74</v>
      </c>
      <c r="K190" t="s">
        <v>74</v>
      </c>
      <c r="L190" t="s">
        <v>292</v>
      </c>
      <c r="M190" t="s">
        <v>473</v>
      </c>
      <c r="O190" t="s">
        <v>178</v>
      </c>
      <c r="P190" t="s">
        <v>291</v>
      </c>
      <c r="R190" t="s">
        <v>341</v>
      </c>
      <c r="S190" t="s">
        <v>340</v>
      </c>
      <c r="T190" t="s">
        <v>534</v>
      </c>
      <c r="U190" t="s">
        <v>87</v>
      </c>
      <c r="V190" t="s">
        <v>87</v>
      </c>
      <c r="W190" t="s">
        <v>292</v>
      </c>
      <c r="Z190" t="s">
        <v>292</v>
      </c>
      <c r="AC190" t="s">
        <v>292</v>
      </c>
      <c r="AD190" t="s">
        <v>87</v>
      </c>
      <c r="AE190" t="s">
        <v>87</v>
      </c>
      <c r="AF190" t="s">
        <v>292</v>
      </c>
    </row>
    <row r="191" spans="1:33" x14ac:dyDescent="0.3">
      <c r="A191" t="s">
        <v>727</v>
      </c>
      <c r="B191" t="s">
        <v>727</v>
      </c>
      <c r="C191" t="s">
        <v>292</v>
      </c>
      <c r="D191" t="s">
        <v>546</v>
      </c>
      <c r="E191" t="s">
        <v>546</v>
      </c>
      <c r="F191" t="s">
        <v>292</v>
      </c>
      <c r="I191" t="s">
        <v>292</v>
      </c>
      <c r="J191" t="s">
        <v>74</v>
      </c>
      <c r="K191" t="s">
        <v>74</v>
      </c>
      <c r="L191" t="s">
        <v>292</v>
      </c>
      <c r="M191" t="s">
        <v>473</v>
      </c>
      <c r="O191" t="s">
        <v>462</v>
      </c>
      <c r="P191" t="s">
        <v>291</v>
      </c>
      <c r="R191" t="s">
        <v>341</v>
      </c>
      <c r="S191" t="s">
        <v>340</v>
      </c>
      <c r="T191" t="s">
        <v>534</v>
      </c>
      <c r="U191" t="s">
        <v>87</v>
      </c>
      <c r="V191" t="s">
        <v>87</v>
      </c>
      <c r="W191" t="s">
        <v>292</v>
      </c>
      <c r="Z191" t="s">
        <v>292</v>
      </c>
      <c r="AC191" t="s">
        <v>292</v>
      </c>
      <c r="AD191" t="s">
        <v>87</v>
      </c>
      <c r="AE191" t="s">
        <v>87</v>
      </c>
      <c r="AF191" t="s">
        <v>292</v>
      </c>
    </row>
    <row r="192" spans="1:33" x14ac:dyDescent="0.3">
      <c r="A192" t="s">
        <v>722</v>
      </c>
      <c r="B192" t="s">
        <v>722</v>
      </c>
      <c r="C192" t="s">
        <v>292</v>
      </c>
      <c r="D192" t="s">
        <v>546</v>
      </c>
      <c r="E192" t="s">
        <v>546</v>
      </c>
      <c r="F192" t="s">
        <v>292</v>
      </c>
      <c r="I192" t="s">
        <v>292</v>
      </c>
      <c r="J192" t="s">
        <v>74</v>
      </c>
      <c r="K192" t="s">
        <v>74</v>
      </c>
      <c r="L192" t="s">
        <v>292</v>
      </c>
      <c r="M192" t="s">
        <v>473</v>
      </c>
      <c r="O192" t="s">
        <v>462</v>
      </c>
      <c r="P192" t="s">
        <v>291</v>
      </c>
      <c r="R192" t="s">
        <v>341</v>
      </c>
      <c r="S192" t="s">
        <v>340</v>
      </c>
      <c r="T192" t="s">
        <v>534</v>
      </c>
      <c r="U192" t="s">
        <v>87</v>
      </c>
      <c r="V192" t="s">
        <v>87</v>
      </c>
      <c r="W192" t="s">
        <v>292</v>
      </c>
      <c r="Z192" t="s">
        <v>292</v>
      </c>
      <c r="AC192" t="s">
        <v>292</v>
      </c>
      <c r="AD192" t="s">
        <v>87</v>
      </c>
      <c r="AE192" t="s">
        <v>87</v>
      </c>
      <c r="AF192" t="s">
        <v>292</v>
      </c>
    </row>
    <row r="193" spans="1:33" x14ac:dyDescent="0.3">
      <c r="A193" t="s">
        <v>751</v>
      </c>
      <c r="B193" t="s">
        <v>751</v>
      </c>
      <c r="C193" t="s">
        <v>292</v>
      </c>
      <c r="D193" t="s">
        <v>638</v>
      </c>
      <c r="E193" t="s">
        <v>638</v>
      </c>
      <c r="F193" t="s">
        <v>292</v>
      </c>
      <c r="I193" t="s">
        <v>292</v>
      </c>
      <c r="J193" t="s">
        <v>339</v>
      </c>
      <c r="K193" t="s">
        <v>339</v>
      </c>
      <c r="L193" t="s">
        <v>292</v>
      </c>
      <c r="M193" t="s">
        <v>641</v>
      </c>
      <c r="O193" t="s">
        <v>462</v>
      </c>
      <c r="P193" t="s">
        <v>291</v>
      </c>
      <c r="Q193" t="s">
        <v>639</v>
      </c>
      <c r="R193" t="s">
        <v>640</v>
      </c>
      <c r="S193" t="s">
        <v>262</v>
      </c>
      <c r="T193" t="s">
        <v>534</v>
      </c>
      <c r="U193" t="s">
        <v>87</v>
      </c>
      <c r="V193" t="s">
        <v>87</v>
      </c>
      <c r="W193" t="s">
        <v>292</v>
      </c>
      <c r="Z193" t="s">
        <v>292</v>
      </c>
      <c r="AC193" t="s">
        <v>292</v>
      </c>
      <c r="AD193" t="s">
        <v>87</v>
      </c>
      <c r="AE193" t="s">
        <v>87</v>
      </c>
      <c r="AF193" t="s">
        <v>292</v>
      </c>
    </row>
    <row r="194" spans="1:33" x14ac:dyDescent="0.3">
      <c r="A194" t="s">
        <v>661</v>
      </c>
      <c r="B194" t="s">
        <v>661</v>
      </c>
      <c r="C194" t="s">
        <v>292</v>
      </c>
      <c r="D194" t="s">
        <v>662</v>
      </c>
      <c r="E194" t="s">
        <v>662</v>
      </c>
      <c r="F194" t="s">
        <v>292</v>
      </c>
      <c r="I194" t="s">
        <v>292</v>
      </c>
      <c r="J194" t="s">
        <v>78</v>
      </c>
      <c r="K194" t="s">
        <v>78</v>
      </c>
      <c r="L194" t="s">
        <v>292</v>
      </c>
      <c r="M194" t="s">
        <v>475</v>
      </c>
      <c r="O194" t="s">
        <v>465</v>
      </c>
      <c r="P194" t="s">
        <v>291</v>
      </c>
      <c r="Q194" t="s">
        <v>663</v>
      </c>
      <c r="R194" t="s">
        <v>664</v>
      </c>
      <c r="S194" t="s">
        <v>262</v>
      </c>
      <c r="T194" t="s">
        <v>534</v>
      </c>
      <c r="U194" t="s">
        <v>87</v>
      </c>
      <c r="V194" t="s">
        <v>87</v>
      </c>
      <c r="W194" t="s">
        <v>292</v>
      </c>
      <c r="Z194" t="s">
        <v>292</v>
      </c>
      <c r="AC194" t="s">
        <v>292</v>
      </c>
      <c r="AD194" t="s">
        <v>87</v>
      </c>
      <c r="AE194" t="s">
        <v>87</v>
      </c>
      <c r="AF194" t="s">
        <v>292</v>
      </c>
      <c r="AG194" t="s">
        <v>804</v>
      </c>
    </row>
    <row r="195" spans="1:33" x14ac:dyDescent="0.3">
      <c r="A195" t="s">
        <v>744</v>
      </c>
      <c r="B195" t="s">
        <v>744</v>
      </c>
      <c r="C195" t="s">
        <v>292</v>
      </c>
      <c r="D195" t="s">
        <v>576</v>
      </c>
      <c r="E195" t="s">
        <v>576</v>
      </c>
      <c r="F195" t="s">
        <v>292</v>
      </c>
      <c r="I195" t="s">
        <v>292</v>
      </c>
      <c r="J195" t="s">
        <v>339</v>
      </c>
      <c r="K195" t="s">
        <v>339</v>
      </c>
      <c r="L195" t="s">
        <v>292</v>
      </c>
      <c r="M195" t="s">
        <v>536</v>
      </c>
      <c r="O195" t="s">
        <v>462</v>
      </c>
      <c r="P195" t="s">
        <v>291</v>
      </c>
      <c r="R195" t="s">
        <v>255</v>
      </c>
      <c r="S195" t="s">
        <v>262</v>
      </c>
      <c r="T195" t="s">
        <v>534</v>
      </c>
      <c r="U195" t="s">
        <v>87</v>
      </c>
      <c r="V195" t="s">
        <v>87</v>
      </c>
      <c r="W195" t="s">
        <v>292</v>
      </c>
      <c r="Z195" t="s">
        <v>292</v>
      </c>
      <c r="AC195" t="s">
        <v>292</v>
      </c>
      <c r="AD195" t="s">
        <v>87</v>
      </c>
      <c r="AE195" t="s">
        <v>87</v>
      </c>
      <c r="AF195" t="s">
        <v>292</v>
      </c>
    </row>
    <row r="196" spans="1:33" x14ac:dyDescent="0.3">
      <c r="A196" t="s">
        <v>746</v>
      </c>
      <c r="B196" t="s">
        <v>746</v>
      </c>
      <c r="C196" t="s">
        <v>292</v>
      </c>
      <c r="D196" t="s">
        <v>617</v>
      </c>
      <c r="E196" t="s">
        <v>617</v>
      </c>
      <c r="F196" t="s">
        <v>292</v>
      </c>
      <c r="I196" t="s">
        <v>292</v>
      </c>
      <c r="J196" t="s">
        <v>78</v>
      </c>
      <c r="K196" t="s">
        <v>78</v>
      </c>
      <c r="L196" t="s">
        <v>292</v>
      </c>
      <c r="M196" t="s">
        <v>536</v>
      </c>
      <c r="O196" t="s">
        <v>465</v>
      </c>
      <c r="P196" t="s">
        <v>291</v>
      </c>
      <c r="R196" t="s">
        <v>255</v>
      </c>
      <c r="S196" t="s">
        <v>262</v>
      </c>
      <c r="T196" t="s">
        <v>534</v>
      </c>
      <c r="U196" t="s">
        <v>87</v>
      </c>
      <c r="V196" t="s">
        <v>87</v>
      </c>
      <c r="W196" t="s">
        <v>292</v>
      </c>
      <c r="Z196" t="s">
        <v>292</v>
      </c>
      <c r="AC196" t="s">
        <v>292</v>
      </c>
      <c r="AD196" t="s">
        <v>87</v>
      </c>
      <c r="AE196" t="s">
        <v>87</v>
      </c>
      <c r="AF196" t="s">
        <v>292</v>
      </c>
    </row>
    <row r="197" spans="1:33" x14ac:dyDescent="0.3">
      <c r="A197" t="s">
        <v>637</v>
      </c>
      <c r="B197" t="s">
        <v>637</v>
      </c>
      <c r="C197" t="s">
        <v>292</v>
      </c>
      <c r="D197" t="s">
        <v>638</v>
      </c>
      <c r="E197" t="s">
        <v>638</v>
      </c>
      <c r="F197" t="s">
        <v>292</v>
      </c>
      <c r="I197" t="s">
        <v>292</v>
      </c>
      <c r="J197" t="s">
        <v>339</v>
      </c>
      <c r="K197" t="s">
        <v>339</v>
      </c>
      <c r="L197" t="s">
        <v>292</v>
      </c>
      <c r="M197" t="s">
        <v>641</v>
      </c>
      <c r="O197" t="s">
        <v>465</v>
      </c>
      <c r="P197" t="s">
        <v>291</v>
      </c>
      <c r="Q197" t="s">
        <v>639</v>
      </c>
      <c r="R197" t="s">
        <v>640</v>
      </c>
      <c r="S197" t="s">
        <v>262</v>
      </c>
      <c r="T197" t="s">
        <v>534</v>
      </c>
      <c r="U197" t="s">
        <v>87</v>
      </c>
      <c r="V197" t="s">
        <v>87</v>
      </c>
      <c r="W197" t="s">
        <v>292</v>
      </c>
      <c r="Z197" t="s">
        <v>292</v>
      </c>
      <c r="AC197" t="s">
        <v>292</v>
      </c>
      <c r="AD197" t="s">
        <v>87</v>
      </c>
      <c r="AE197" t="s">
        <v>87</v>
      </c>
      <c r="AF197" t="s">
        <v>292</v>
      </c>
    </row>
    <row r="198" spans="1:33" x14ac:dyDescent="0.3">
      <c r="A198" t="s">
        <v>752</v>
      </c>
      <c r="B198" t="s">
        <v>752</v>
      </c>
      <c r="C198" t="s">
        <v>292</v>
      </c>
      <c r="D198" t="s">
        <v>617</v>
      </c>
      <c r="E198" t="s">
        <v>617</v>
      </c>
      <c r="F198" t="s">
        <v>292</v>
      </c>
      <c r="I198" t="s">
        <v>292</v>
      </c>
      <c r="J198" t="s">
        <v>78</v>
      </c>
      <c r="K198" t="s">
        <v>78</v>
      </c>
      <c r="L198" t="s">
        <v>292</v>
      </c>
      <c r="M198" t="s">
        <v>536</v>
      </c>
      <c r="O198" t="s">
        <v>465</v>
      </c>
      <c r="P198" t="s">
        <v>291</v>
      </c>
      <c r="R198" t="s">
        <v>255</v>
      </c>
      <c r="S198" t="s">
        <v>262</v>
      </c>
      <c r="T198" t="s">
        <v>534</v>
      </c>
      <c r="U198" t="s">
        <v>87</v>
      </c>
      <c r="V198" t="s">
        <v>87</v>
      </c>
      <c r="W198" t="s">
        <v>292</v>
      </c>
      <c r="Z198" t="s">
        <v>292</v>
      </c>
      <c r="AC198" t="s">
        <v>292</v>
      </c>
      <c r="AD198" t="s">
        <v>87</v>
      </c>
      <c r="AE198" t="s">
        <v>87</v>
      </c>
      <c r="AF198" t="s">
        <v>292</v>
      </c>
    </row>
    <row r="199" spans="1:33" x14ac:dyDescent="0.3">
      <c r="A199" t="s">
        <v>766</v>
      </c>
      <c r="B199" t="s">
        <v>766</v>
      </c>
      <c r="C199" t="s">
        <v>292</v>
      </c>
      <c r="D199" t="s">
        <v>549</v>
      </c>
      <c r="E199" t="s">
        <v>549</v>
      </c>
      <c r="F199" t="s">
        <v>292</v>
      </c>
      <c r="I199" t="s">
        <v>292</v>
      </c>
      <c r="J199" t="s">
        <v>76</v>
      </c>
      <c r="K199" t="s">
        <v>76</v>
      </c>
      <c r="L199" t="s">
        <v>292</v>
      </c>
      <c r="M199" t="s">
        <v>536</v>
      </c>
      <c r="O199" t="s">
        <v>179</v>
      </c>
      <c r="P199" t="s">
        <v>291</v>
      </c>
      <c r="R199" t="s">
        <v>255</v>
      </c>
      <c r="S199" t="s">
        <v>262</v>
      </c>
      <c r="T199" t="s">
        <v>534</v>
      </c>
      <c r="U199" t="s">
        <v>87</v>
      </c>
      <c r="V199" t="s">
        <v>87</v>
      </c>
      <c r="W199" t="s">
        <v>292</v>
      </c>
      <c r="Z199" t="s">
        <v>292</v>
      </c>
      <c r="AC199" t="s">
        <v>292</v>
      </c>
      <c r="AD199" t="s">
        <v>87</v>
      </c>
      <c r="AE199" t="s">
        <v>87</v>
      </c>
      <c r="AF199" t="s">
        <v>292</v>
      </c>
    </row>
    <row r="200" spans="1:33" x14ac:dyDescent="0.3">
      <c r="A200" t="s">
        <v>656</v>
      </c>
      <c r="B200" t="s">
        <v>656</v>
      </c>
      <c r="C200" t="s">
        <v>292</v>
      </c>
      <c r="D200" t="s">
        <v>657</v>
      </c>
      <c r="E200" t="s">
        <v>657</v>
      </c>
      <c r="F200" t="s">
        <v>292</v>
      </c>
      <c r="G200">
        <v>-25</v>
      </c>
      <c r="H200">
        <v>-25</v>
      </c>
      <c r="I200" t="s">
        <v>292</v>
      </c>
      <c r="J200" t="s">
        <v>339</v>
      </c>
      <c r="K200" t="s">
        <v>339</v>
      </c>
      <c r="L200" t="s">
        <v>292</v>
      </c>
      <c r="M200" t="s">
        <v>659</v>
      </c>
      <c r="O200" t="s">
        <v>466</v>
      </c>
      <c r="P200" t="s">
        <v>291</v>
      </c>
      <c r="Q200" t="s">
        <v>658</v>
      </c>
      <c r="R200" t="s">
        <v>257</v>
      </c>
      <c r="S200" t="s">
        <v>262</v>
      </c>
      <c r="T200" t="s">
        <v>534</v>
      </c>
      <c r="U200" t="s">
        <v>87</v>
      </c>
      <c r="V200" t="s">
        <v>87</v>
      </c>
      <c r="W200" t="s">
        <v>292</v>
      </c>
      <c r="Y200">
        <v>0</v>
      </c>
      <c r="Z200" t="s">
        <v>291</v>
      </c>
      <c r="AC200" t="s">
        <v>292</v>
      </c>
      <c r="AD200" t="s">
        <v>87</v>
      </c>
      <c r="AE200" t="s">
        <v>87</v>
      </c>
      <c r="AF200" t="s">
        <v>292</v>
      </c>
    </row>
    <row r="201" spans="1:33" x14ac:dyDescent="0.3">
      <c r="A201" t="s">
        <v>767</v>
      </c>
      <c r="B201" t="s">
        <v>767</v>
      </c>
      <c r="C201" t="s">
        <v>292</v>
      </c>
      <c r="D201" t="s">
        <v>546</v>
      </c>
      <c r="E201" t="s">
        <v>546</v>
      </c>
      <c r="F201" t="s">
        <v>292</v>
      </c>
      <c r="I201" t="s">
        <v>292</v>
      </c>
      <c r="J201" t="s">
        <v>74</v>
      </c>
      <c r="K201" t="s">
        <v>74</v>
      </c>
      <c r="L201" t="s">
        <v>292</v>
      </c>
      <c r="M201" t="s">
        <v>473</v>
      </c>
      <c r="O201" t="s">
        <v>462</v>
      </c>
      <c r="P201" t="s">
        <v>291</v>
      </c>
      <c r="R201" t="s">
        <v>341</v>
      </c>
      <c r="S201" t="s">
        <v>340</v>
      </c>
      <c r="T201" t="s">
        <v>534</v>
      </c>
      <c r="U201" t="s">
        <v>87</v>
      </c>
      <c r="V201" t="s">
        <v>87</v>
      </c>
      <c r="W201" t="s">
        <v>292</v>
      </c>
      <c r="Z201" t="s">
        <v>292</v>
      </c>
      <c r="AC201" t="s">
        <v>292</v>
      </c>
      <c r="AD201" t="s">
        <v>87</v>
      </c>
      <c r="AE201" t="s">
        <v>87</v>
      </c>
      <c r="AF201" t="s">
        <v>292</v>
      </c>
    </row>
    <row r="202" spans="1:33" x14ac:dyDescent="0.3">
      <c r="A202" t="s">
        <v>768</v>
      </c>
      <c r="B202" t="s">
        <v>768</v>
      </c>
      <c r="C202" t="s">
        <v>292</v>
      </c>
      <c r="D202" t="s">
        <v>546</v>
      </c>
      <c r="E202" t="s">
        <v>546</v>
      </c>
      <c r="F202" t="s">
        <v>292</v>
      </c>
      <c r="I202" t="s">
        <v>292</v>
      </c>
      <c r="J202" t="s">
        <v>74</v>
      </c>
      <c r="K202" t="s">
        <v>74</v>
      </c>
      <c r="L202" t="s">
        <v>292</v>
      </c>
      <c r="M202" t="s">
        <v>473</v>
      </c>
      <c r="O202" t="s">
        <v>462</v>
      </c>
      <c r="P202" t="s">
        <v>291</v>
      </c>
      <c r="R202" t="s">
        <v>341</v>
      </c>
      <c r="S202" t="s">
        <v>340</v>
      </c>
      <c r="T202" t="s">
        <v>534</v>
      </c>
      <c r="U202" t="s">
        <v>87</v>
      </c>
      <c r="V202" t="s">
        <v>87</v>
      </c>
      <c r="W202" t="s">
        <v>292</v>
      </c>
      <c r="Z202" t="s">
        <v>292</v>
      </c>
      <c r="AC202" t="s">
        <v>292</v>
      </c>
      <c r="AD202" t="s">
        <v>87</v>
      </c>
      <c r="AE202" t="s">
        <v>87</v>
      </c>
      <c r="AF202" t="s">
        <v>292</v>
      </c>
    </row>
    <row r="203" spans="1:33" x14ac:dyDescent="0.3">
      <c r="A203" t="s">
        <v>769</v>
      </c>
      <c r="B203" t="s">
        <v>769</v>
      </c>
      <c r="C203" t="s">
        <v>292</v>
      </c>
      <c r="D203" t="s">
        <v>546</v>
      </c>
      <c r="E203" t="s">
        <v>546</v>
      </c>
      <c r="F203" t="s">
        <v>292</v>
      </c>
      <c r="I203" t="s">
        <v>292</v>
      </c>
      <c r="J203" t="s">
        <v>74</v>
      </c>
      <c r="K203" t="s">
        <v>74</v>
      </c>
      <c r="L203" t="s">
        <v>292</v>
      </c>
      <c r="M203" t="s">
        <v>473</v>
      </c>
      <c r="O203" t="s">
        <v>462</v>
      </c>
      <c r="P203" t="s">
        <v>291</v>
      </c>
      <c r="R203" t="s">
        <v>341</v>
      </c>
      <c r="S203" t="s">
        <v>340</v>
      </c>
      <c r="T203" t="s">
        <v>534</v>
      </c>
      <c r="U203" t="s">
        <v>87</v>
      </c>
      <c r="V203" t="s">
        <v>87</v>
      </c>
      <c r="W203" t="s">
        <v>292</v>
      </c>
      <c r="Z203" t="s">
        <v>292</v>
      </c>
      <c r="AC203" t="s">
        <v>292</v>
      </c>
      <c r="AD203" t="s">
        <v>87</v>
      </c>
      <c r="AE203" t="s">
        <v>87</v>
      </c>
      <c r="AF203" t="s">
        <v>292</v>
      </c>
    </row>
    <row r="204" spans="1:33" x14ac:dyDescent="0.3">
      <c r="A204" t="s">
        <v>512</v>
      </c>
      <c r="B204" t="s">
        <v>512</v>
      </c>
      <c r="C204" t="s">
        <v>292</v>
      </c>
      <c r="D204" t="s">
        <v>546</v>
      </c>
      <c r="E204" t="s">
        <v>546</v>
      </c>
      <c r="F204" t="s">
        <v>292</v>
      </c>
      <c r="I204" t="s">
        <v>292</v>
      </c>
      <c r="J204" t="s">
        <v>74</v>
      </c>
      <c r="K204" t="s">
        <v>74</v>
      </c>
      <c r="L204" t="s">
        <v>292</v>
      </c>
      <c r="M204" t="s">
        <v>473</v>
      </c>
      <c r="O204" t="s">
        <v>462</v>
      </c>
      <c r="P204" t="s">
        <v>291</v>
      </c>
      <c r="R204" t="s">
        <v>341</v>
      </c>
      <c r="S204" t="s">
        <v>340</v>
      </c>
      <c r="T204" t="s">
        <v>534</v>
      </c>
      <c r="U204" t="s">
        <v>87</v>
      </c>
      <c r="V204" t="s">
        <v>87</v>
      </c>
      <c r="W204" t="s">
        <v>292</v>
      </c>
      <c r="Z204" t="s">
        <v>292</v>
      </c>
      <c r="AC204" t="s">
        <v>292</v>
      </c>
      <c r="AD204" t="s">
        <v>87</v>
      </c>
      <c r="AE204" t="s">
        <v>87</v>
      </c>
      <c r="AF204" t="s">
        <v>292</v>
      </c>
    </row>
    <row r="205" spans="1:33" x14ac:dyDescent="0.3">
      <c r="A205" t="s">
        <v>770</v>
      </c>
      <c r="B205" t="s">
        <v>770</v>
      </c>
      <c r="C205" t="s">
        <v>292</v>
      </c>
      <c r="D205" t="s">
        <v>546</v>
      </c>
      <c r="E205" t="s">
        <v>546</v>
      </c>
      <c r="F205" t="s">
        <v>292</v>
      </c>
      <c r="I205" t="s">
        <v>292</v>
      </c>
      <c r="J205" t="s">
        <v>74</v>
      </c>
      <c r="K205" t="s">
        <v>74</v>
      </c>
      <c r="L205" t="s">
        <v>292</v>
      </c>
      <c r="M205" t="s">
        <v>473</v>
      </c>
      <c r="O205" t="s">
        <v>178</v>
      </c>
      <c r="P205" t="s">
        <v>291</v>
      </c>
      <c r="R205" t="s">
        <v>341</v>
      </c>
      <c r="S205" t="s">
        <v>340</v>
      </c>
      <c r="T205" t="s">
        <v>534</v>
      </c>
      <c r="U205" t="s">
        <v>87</v>
      </c>
      <c r="V205" t="s">
        <v>87</v>
      </c>
      <c r="W205" t="s">
        <v>292</v>
      </c>
      <c r="Z205" t="s">
        <v>292</v>
      </c>
      <c r="AC205" t="s">
        <v>292</v>
      </c>
      <c r="AD205" t="s">
        <v>87</v>
      </c>
      <c r="AE205" t="s">
        <v>87</v>
      </c>
      <c r="AF205" t="s">
        <v>292</v>
      </c>
    </row>
    <row r="206" spans="1:33" x14ac:dyDescent="0.3">
      <c r="A206" t="s">
        <v>771</v>
      </c>
      <c r="B206" t="s">
        <v>771</v>
      </c>
      <c r="C206" t="s">
        <v>292</v>
      </c>
      <c r="D206" t="s">
        <v>546</v>
      </c>
      <c r="E206" t="s">
        <v>546</v>
      </c>
      <c r="F206" t="s">
        <v>292</v>
      </c>
      <c r="I206" t="s">
        <v>292</v>
      </c>
      <c r="J206" t="s">
        <v>74</v>
      </c>
      <c r="K206" t="s">
        <v>74</v>
      </c>
      <c r="L206" t="s">
        <v>292</v>
      </c>
      <c r="M206" t="s">
        <v>473</v>
      </c>
      <c r="O206" t="s">
        <v>462</v>
      </c>
      <c r="P206" t="s">
        <v>291</v>
      </c>
      <c r="R206" t="s">
        <v>341</v>
      </c>
      <c r="S206" t="s">
        <v>340</v>
      </c>
      <c r="T206" t="s">
        <v>534</v>
      </c>
      <c r="U206" t="s">
        <v>87</v>
      </c>
      <c r="V206" t="s">
        <v>87</v>
      </c>
      <c r="W206" t="s">
        <v>292</v>
      </c>
      <c r="Z206" t="s">
        <v>292</v>
      </c>
      <c r="AC206" t="s">
        <v>292</v>
      </c>
      <c r="AD206" t="s">
        <v>87</v>
      </c>
      <c r="AE206" t="s">
        <v>87</v>
      </c>
      <c r="AF206" t="s">
        <v>292</v>
      </c>
    </row>
    <row r="207" spans="1:33" x14ac:dyDescent="0.3">
      <c r="A207" t="s">
        <v>772</v>
      </c>
      <c r="B207" t="s">
        <v>772</v>
      </c>
      <c r="C207" t="s">
        <v>292</v>
      </c>
      <c r="D207" t="s">
        <v>546</v>
      </c>
      <c r="E207" t="s">
        <v>546</v>
      </c>
      <c r="F207" t="s">
        <v>292</v>
      </c>
      <c r="I207" t="s">
        <v>292</v>
      </c>
      <c r="J207" t="s">
        <v>74</v>
      </c>
      <c r="K207" t="s">
        <v>74</v>
      </c>
      <c r="L207" t="s">
        <v>292</v>
      </c>
      <c r="M207" t="s">
        <v>473</v>
      </c>
      <c r="O207" t="s">
        <v>462</v>
      </c>
      <c r="P207" t="s">
        <v>291</v>
      </c>
      <c r="R207" t="s">
        <v>341</v>
      </c>
      <c r="S207" t="s">
        <v>340</v>
      </c>
      <c r="T207" t="s">
        <v>534</v>
      </c>
      <c r="U207" t="s">
        <v>87</v>
      </c>
      <c r="V207" t="s">
        <v>87</v>
      </c>
      <c r="W207" t="s">
        <v>292</v>
      </c>
      <c r="Z207" t="s">
        <v>292</v>
      </c>
      <c r="AC207" t="s">
        <v>292</v>
      </c>
      <c r="AD207" t="s">
        <v>87</v>
      </c>
      <c r="AE207" t="s">
        <v>87</v>
      </c>
      <c r="AF207" t="s">
        <v>292</v>
      </c>
    </row>
    <row r="208" spans="1:33" x14ac:dyDescent="0.3">
      <c r="A208" t="s">
        <v>773</v>
      </c>
      <c r="B208" t="s">
        <v>773</v>
      </c>
      <c r="C208" t="s">
        <v>292</v>
      </c>
      <c r="D208" t="s">
        <v>546</v>
      </c>
      <c r="E208" t="s">
        <v>546</v>
      </c>
      <c r="F208" t="s">
        <v>292</v>
      </c>
      <c r="I208" t="s">
        <v>292</v>
      </c>
      <c r="J208" t="s">
        <v>74</v>
      </c>
      <c r="K208" t="s">
        <v>74</v>
      </c>
      <c r="L208" t="s">
        <v>292</v>
      </c>
      <c r="M208" t="s">
        <v>473</v>
      </c>
      <c r="O208" t="s">
        <v>462</v>
      </c>
      <c r="P208" t="s">
        <v>291</v>
      </c>
      <c r="R208" t="s">
        <v>341</v>
      </c>
      <c r="S208" t="s">
        <v>340</v>
      </c>
      <c r="T208" t="s">
        <v>534</v>
      </c>
      <c r="U208" t="s">
        <v>87</v>
      </c>
      <c r="V208" t="s">
        <v>87</v>
      </c>
      <c r="W208" t="s">
        <v>292</v>
      </c>
      <c r="Z208" t="s">
        <v>292</v>
      </c>
      <c r="AC208" t="s">
        <v>292</v>
      </c>
      <c r="AD208" t="s">
        <v>87</v>
      </c>
      <c r="AE208" t="s">
        <v>87</v>
      </c>
      <c r="AF208" t="s">
        <v>292</v>
      </c>
    </row>
    <row r="209" spans="1:33" x14ac:dyDescent="0.3">
      <c r="A209" t="s">
        <v>774</v>
      </c>
      <c r="B209" t="s">
        <v>774</v>
      </c>
      <c r="C209" t="s">
        <v>292</v>
      </c>
      <c r="D209" t="s">
        <v>748</v>
      </c>
      <c r="E209" t="s">
        <v>748</v>
      </c>
      <c r="F209" t="s">
        <v>292</v>
      </c>
      <c r="I209" t="s">
        <v>292</v>
      </c>
      <c r="J209" t="s">
        <v>393</v>
      </c>
      <c r="K209" t="s">
        <v>393</v>
      </c>
      <c r="L209" t="s">
        <v>292</v>
      </c>
      <c r="M209" t="s">
        <v>473</v>
      </c>
      <c r="O209" t="s">
        <v>258</v>
      </c>
      <c r="P209" t="s">
        <v>291</v>
      </c>
      <c r="R209" t="s">
        <v>341</v>
      </c>
      <c r="S209" t="s">
        <v>340</v>
      </c>
      <c r="T209" t="s">
        <v>534</v>
      </c>
      <c r="U209" t="s">
        <v>87</v>
      </c>
      <c r="V209" t="s">
        <v>87</v>
      </c>
      <c r="W209" t="s">
        <v>292</v>
      </c>
      <c r="Z209" t="s">
        <v>292</v>
      </c>
      <c r="AC209" t="s">
        <v>292</v>
      </c>
      <c r="AD209" t="s">
        <v>87</v>
      </c>
      <c r="AE209" t="s">
        <v>87</v>
      </c>
      <c r="AF209" t="s">
        <v>292</v>
      </c>
    </row>
    <row r="210" spans="1:33" x14ac:dyDescent="0.3">
      <c r="A210" t="s">
        <v>775</v>
      </c>
      <c r="B210" t="s">
        <v>775</v>
      </c>
      <c r="C210" t="s">
        <v>292</v>
      </c>
      <c r="D210" t="s">
        <v>748</v>
      </c>
      <c r="E210" t="s">
        <v>748</v>
      </c>
      <c r="F210" t="s">
        <v>292</v>
      </c>
      <c r="I210" t="s">
        <v>292</v>
      </c>
      <c r="J210" t="s">
        <v>393</v>
      </c>
      <c r="K210" t="s">
        <v>393</v>
      </c>
      <c r="L210" t="s">
        <v>292</v>
      </c>
      <c r="M210" t="s">
        <v>473</v>
      </c>
      <c r="O210" t="s">
        <v>466</v>
      </c>
      <c r="P210" t="s">
        <v>291</v>
      </c>
      <c r="R210" t="s">
        <v>341</v>
      </c>
      <c r="S210" t="s">
        <v>340</v>
      </c>
      <c r="T210" t="s">
        <v>534</v>
      </c>
      <c r="U210" t="s">
        <v>87</v>
      </c>
      <c r="V210" t="s">
        <v>87</v>
      </c>
      <c r="W210" t="s">
        <v>292</v>
      </c>
      <c r="Z210" t="s">
        <v>292</v>
      </c>
      <c r="AC210" t="s">
        <v>292</v>
      </c>
      <c r="AD210" t="s">
        <v>87</v>
      </c>
      <c r="AE210" t="s">
        <v>87</v>
      </c>
      <c r="AF210" t="s">
        <v>292</v>
      </c>
    </row>
    <row r="211" spans="1:33" x14ac:dyDescent="0.3">
      <c r="A211" t="s">
        <v>776</v>
      </c>
      <c r="B211" t="s">
        <v>776</v>
      </c>
      <c r="C211" t="s">
        <v>292</v>
      </c>
      <c r="D211" t="s">
        <v>748</v>
      </c>
      <c r="E211" t="s">
        <v>748</v>
      </c>
      <c r="F211" t="s">
        <v>292</v>
      </c>
      <c r="I211" t="s">
        <v>292</v>
      </c>
      <c r="J211" t="s">
        <v>393</v>
      </c>
      <c r="K211" t="s">
        <v>393</v>
      </c>
      <c r="L211" t="s">
        <v>292</v>
      </c>
      <c r="M211" t="s">
        <v>473</v>
      </c>
      <c r="O211" t="s">
        <v>466</v>
      </c>
      <c r="P211" t="s">
        <v>291</v>
      </c>
      <c r="R211" t="s">
        <v>341</v>
      </c>
      <c r="S211" t="s">
        <v>340</v>
      </c>
      <c r="T211" t="s">
        <v>534</v>
      </c>
      <c r="U211" t="s">
        <v>87</v>
      </c>
      <c r="V211" t="s">
        <v>87</v>
      </c>
      <c r="W211" t="s">
        <v>292</v>
      </c>
      <c r="Z211" t="s">
        <v>292</v>
      </c>
      <c r="AC211" t="s">
        <v>292</v>
      </c>
      <c r="AD211" t="s">
        <v>87</v>
      </c>
      <c r="AE211" t="s">
        <v>87</v>
      </c>
      <c r="AF211" t="s">
        <v>292</v>
      </c>
    </row>
    <row r="212" spans="1:33" x14ac:dyDescent="0.3">
      <c r="A212" t="s">
        <v>777</v>
      </c>
      <c r="B212" t="s">
        <v>777</v>
      </c>
      <c r="C212" t="s">
        <v>292</v>
      </c>
      <c r="D212" t="s">
        <v>748</v>
      </c>
      <c r="E212" t="s">
        <v>748</v>
      </c>
      <c r="F212" t="s">
        <v>292</v>
      </c>
      <c r="I212" t="s">
        <v>292</v>
      </c>
      <c r="J212" t="s">
        <v>393</v>
      </c>
      <c r="K212" t="s">
        <v>393</v>
      </c>
      <c r="L212" t="s">
        <v>292</v>
      </c>
      <c r="M212" t="s">
        <v>473</v>
      </c>
      <c r="O212" t="s">
        <v>466</v>
      </c>
      <c r="P212" t="s">
        <v>291</v>
      </c>
      <c r="R212" t="s">
        <v>341</v>
      </c>
      <c r="S212" t="s">
        <v>340</v>
      </c>
      <c r="T212" t="s">
        <v>534</v>
      </c>
      <c r="U212" t="s">
        <v>87</v>
      </c>
      <c r="V212" t="s">
        <v>87</v>
      </c>
      <c r="W212" t="s">
        <v>292</v>
      </c>
      <c r="Z212" t="s">
        <v>292</v>
      </c>
      <c r="AC212" t="s">
        <v>292</v>
      </c>
      <c r="AD212" t="s">
        <v>87</v>
      </c>
      <c r="AE212" t="s">
        <v>87</v>
      </c>
      <c r="AF212" t="s">
        <v>292</v>
      </c>
    </row>
    <row r="213" spans="1:33" x14ac:dyDescent="0.3">
      <c r="A213" t="s">
        <v>755</v>
      </c>
      <c r="B213" t="s">
        <v>755</v>
      </c>
      <c r="C213" t="s">
        <v>292</v>
      </c>
      <c r="D213" t="s">
        <v>642</v>
      </c>
      <c r="E213" t="s">
        <v>642</v>
      </c>
      <c r="F213" t="s">
        <v>292</v>
      </c>
      <c r="I213" t="s">
        <v>292</v>
      </c>
      <c r="J213" t="s">
        <v>394</v>
      </c>
      <c r="K213" t="s">
        <v>394</v>
      </c>
      <c r="L213" t="s">
        <v>292</v>
      </c>
      <c r="M213" t="s">
        <v>812</v>
      </c>
      <c r="O213" t="s">
        <v>806</v>
      </c>
      <c r="P213" t="s">
        <v>291</v>
      </c>
      <c r="Q213" t="s">
        <v>643</v>
      </c>
      <c r="R213" t="s">
        <v>539</v>
      </c>
      <c r="S213" t="s">
        <v>470</v>
      </c>
      <c r="T213" t="s">
        <v>180</v>
      </c>
      <c r="U213" t="s">
        <v>87</v>
      </c>
      <c r="V213" t="s">
        <v>87</v>
      </c>
      <c r="W213" t="s">
        <v>292</v>
      </c>
      <c r="Z213" t="s">
        <v>292</v>
      </c>
      <c r="AC213" t="s">
        <v>292</v>
      </c>
      <c r="AD213" t="s">
        <v>87</v>
      </c>
      <c r="AE213" t="s">
        <v>87</v>
      </c>
      <c r="AF213" t="s">
        <v>292</v>
      </c>
    </row>
    <row r="214" spans="1:33" x14ac:dyDescent="0.3">
      <c r="A214" t="s">
        <v>756</v>
      </c>
      <c r="B214" t="s">
        <v>756</v>
      </c>
      <c r="C214" t="s">
        <v>292</v>
      </c>
      <c r="D214" t="s">
        <v>635</v>
      </c>
      <c r="E214" t="s">
        <v>635</v>
      </c>
      <c r="F214" t="s">
        <v>292</v>
      </c>
      <c r="G214">
        <v>-25</v>
      </c>
      <c r="H214">
        <v>-25</v>
      </c>
      <c r="I214" t="s">
        <v>292</v>
      </c>
      <c r="J214" t="s">
        <v>78</v>
      </c>
      <c r="K214" t="s">
        <v>78</v>
      </c>
      <c r="L214" t="s">
        <v>292</v>
      </c>
      <c r="M214" t="s">
        <v>472</v>
      </c>
      <c r="O214" t="s">
        <v>183</v>
      </c>
      <c r="P214" t="s">
        <v>291</v>
      </c>
      <c r="Q214" t="s">
        <v>636</v>
      </c>
      <c r="R214" t="s">
        <v>257</v>
      </c>
      <c r="S214" t="s">
        <v>262</v>
      </c>
      <c r="T214" t="s">
        <v>534</v>
      </c>
      <c r="U214" t="s">
        <v>87</v>
      </c>
      <c r="V214" t="s">
        <v>87</v>
      </c>
      <c r="W214" t="s">
        <v>292</v>
      </c>
      <c r="Y214">
        <v>0</v>
      </c>
      <c r="Z214" t="s">
        <v>291</v>
      </c>
      <c r="AC214" t="s">
        <v>292</v>
      </c>
      <c r="AD214" t="s">
        <v>87</v>
      </c>
      <c r="AE214" t="s">
        <v>87</v>
      </c>
      <c r="AF214" t="s">
        <v>292</v>
      </c>
    </row>
    <row r="215" spans="1:33" x14ac:dyDescent="0.3">
      <c r="A215" t="s">
        <v>676</v>
      </c>
      <c r="B215" t="s">
        <v>676</v>
      </c>
      <c r="C215" t="s">
        <v>292</v>
      </c>
      <c r="D215" t="s">
        <v>650</v>
      </c>
      <c r="E215" t="s">
        <v>650</v>
      </c>
      <c r="F215" t="s">
        <v>292</v>
      </c>
      <c r="I215" t="s">
        <v>292</v>
      </c>
      <c r="J215" t="s">
        <v>76</v>
      </c>
      <c r="K215" t="s">
        <v>76</v>
      </c>
      <c r="L215" t="s">
        <v>292</v>
      </c>
      <c r="M215" t="s">
        <v>652</v>
      </c>
      <c r="O215" t="s">
        <v>465</v>
      </c>
      <c r="P215" t="s">
        <v>291</v>
      </c>
      <c r="Q215" t="s">
        <v>651</v>
      </c>
      <c r="R215" t="s">
        <v>474</v>
      </c>
      <c r="S215" t="s">
        <v>262</v>
      </c>
      <c r="T215" t="s">
        <v>534</v>
      </c>
      <c r="U215" t="s">
        <v>87</v>
      </c>
      <c r="V215" t="s">
        <v>87</v>
      </c>
      <c r="W215" t="s">
        <v>292</v>
      </c>
      <c r="Z215" t="s">
        <v>292</v>
      </c>
      <c r="AC215" t="s">
        <v>292</v>
      </c>
      <c r="AD215" t="s">
        <v>87</v>
      </c>
      <c r="AE215" t="s">
        <v>87</v>
      </c>
      <c r="AF215" t="s">
        <v>292</v>
      </c>
      <c r="AG215" t="s">
        <v>807</v>
      </c>
    </row>
    <row r="216" spans="1:33" x14ac:dyDescent="0.3">
      <c r="A216" t="s">
        <v>778</v>
      </c>
      <c r="B216" t="s">
        <v>778</v>
      </c>
      <c r="C216" t="s">
        <v>292</v>
      </c>
      <c r="D216" t="s">
        <v>748</v>
      </c>
      <c r="E216" t="s">
        <v>748</v>
      </c>
      <c r="F216" t="s">
        <v>292</v>
      </c>
      <c r="I216" t="s">
        <v>292</v>
      </c>
      <c r="J216" t="s">
        <v>393</v>
      </c>
      <c r="K216" t="s">
        <v>393</v>
      </c>
      <c r="L216" t="s">
        <v>292</v>
      </c>
      <c r="M216" t="s">
        <v>473</v>
      </c>
      <c r="O216" t="s">
        <v>466</v>
      </c>
      <c r="P216" t="s">
        <v>291</v>
      </c>
      <c r="R216" t="s">
        <v>341</v>
      </c>
      <c r="S216" t="s">
        <v>340</v>
      </c>
      <c r="T216" t="s">
        <v>534</v>
      </c>
      <c r="U216" t="s">
        <v>87</v>
      </c>
      <c r="V216" t="s">
        <v>87</v>
      </c>
      <c r="W216" t="s">
        <v>292</v>
      </c>
      <c r="Z216" t="s">
        <v>292</v>
      </c>
      <c r="AC216" t="s">
        <v>292</v>
      </c>
      <c r="AD216" t="s">
        <v>87</v>
      </c>
      <c r="AE216" t="s">
        <v>87</v>
      </c>
      <c r="AF216" t="s">
        <v>292</v>
      </c>
    </row>
    <row r="217" spans="1:33" x14ac:dyDescent="0.3">
      <c r="A217" t="s">
        <v>779</v>
      </c>
      <c r="B217" t="s">
        <v>779</v>
      </c>
      <c r="C217" t="s">
        <v>292</v>
      </c>
      <c r="D217" t="s">
        <v>748</v>
      </c>
      <c r="E217" t="s">
        <v>748</v>
      </c>
      <c r="F217" t="s">
        <v>292</v>
      </c>
      <c r="I217" t="s">
        <v>292</v>
      </c>
      <c r="J217" t="s">
        <v>393</v>
      </c>
      <c r="K217" t="s">
        <v>393</v>
      </c>
      <c r="L217" t="s">
        <v>292</v>
      </c>
      <c r="M217" t="s">
        <v>473</v>
      </c>
      <c r="O217" t="s">
        <v>466</v>
      </c>
      <c r="P217" t="s">
        <v>291</v>
      </c>
      <c r="R217" t="s">
        <v>341</v>
      </c>
      <c r="S217" t="s">
        <v>340</v>
      </c>
      <c r="T217" t="s">
        <v>534</v>
      </c>
      <c r="U217" t="s">
        <v>87</v>
      </c>
      <c r="V217" t="s">
        <v>87</v>
      </c>
      <c r="W217" t="s">
        <v>292</v>
      </c>
      <c r="Z217" t="s">
        <v>292</v>
      </c>
      <c r="AC217" t="s">
        <v>292</v>
      </c>
      <c r="AD217" t="s">
        <v>87</v>
      </c>
      <c r="AE217" t="s">
        <v>87</v>
      </c>
      <c r="AF217" t="s">
        <v>292</v>
      </c>
    </row>
    <row r="218" spans="1:33" x14ac:dyDescent="0.3">
      <c r="A218" t="s">
        <v>780</v>
      </c>
      <c r="B218" t="s">
        <v>780</v>
      </c>
      <c r="C218" t="s">
        <v>292</v>
      </c>
      <c r="D218" t="s">
        <v>748</v>
      </c>
      <c r="E218" t="s">
        <v>748</v>
      </c>
      <c r="F218" t="s">
        <v>292</v>
      </c>
      <c r="I218" t="s">
        <v>292</v>
      </c>
      <c r="J218" t="s">
        <v>393</v>
      </c>
      <c r="K218" t="s">
        <v>393</v>
      </c>
      <c r="L218" t="s">
        <v>292</v>
      </c>
      <c r="M218" t="s">
        <v>473</v>
      </c>
      <c r="O218" t="s">
        <v>466</v>
      </c>
      <c r="P218" t="s">
        <v>291</v>
      </c>
      <c r="R218" t="s">
        <v>341</v>
      </c>
      <c r="S218" t="s">
        <v>340</v>
      </c>
      <c r="T218" t="s">
        <v>534</v>
      </c>
      <c r="U218" t="s">
        <v>87</v>
      </c>
      <c r="V218" t="s">
        <v>87</v>
      </c>
      <c r="W218" t="s">
        <v>292</v>
      </c>
      <c r="Z218" t="s">
        <v>292</v>
      </c>
      <c r="AC218" t="s">
        <v>292</v>
      </c>
      <c r="AD218" t="s">
        <v>87</v>
      </c>
      <c r="AE218" t="s">
        <v>87</v>
      </c>
      <c r="AF218" t="s">
        <v>292</v>
      </c>
    </row>
    <row r="219" spans="1:33" x14ac:dyDescent="0.3">
      <c r="A219" t="s">
        <v>781</v>
      </c>
      <c r="B219" t="s">
        <v>781</v>
      </c>
      <c r="C219" t="s">
        <v>292</v>
      </c>
      <c r="D219" t="s">
        <v>748</v>
      </c>
      <c r="E219" t="s">
        <v>748</v>
      </c>
      <c r="F219" t="s">
        <v>292</v>
      </c>
      <c r="I219" t="s">
        <v>292</v>
      </c>
      <c r="J219" t="s">
        <v>393</v>
      </c>
      <c r="K219" t="s">
        <v>393</v>
      </c>
      <c r="L219" t="s">
        <v>292</v>
      </c>
      <c r="M219" t="s">
        <v>473</v>
      </c>
      <c r="O219" t="s">
        <v>466</v>
      </c>
      <c r="P219" t="s">
        <v>291</v>
      </c>
      <c r="R219" t="s">
        <v>341</v>
      </c>
      <c r="S219" t="s">
        <v>340</v>
      </c>
      <c r="T219" t="s">
        <v>534</v>
      </c>
      <c r="U219" t="s">
        <v>87</v>
      </c>
      <c r="V219" t="s">
        <v>87</v>
      </c>
      <c r="W219" t="s">
        <v>292</v>
      </c>
      <c r="Z219" t="s">
        <v>292</v>
      </c>
      <c r="AC219" t="s">
        <v>292</v>
      </c>
      <c r="AD219" t="s">
        <v>87</v>
      </c>
      <c r="AE219" t="s">
        <v>87</v>
      </c>
      <c r="AF219" t="s">
        <v>292</v>
      </c>
    </row>
    <row r="220" spans="1:33" x14ac:dyDescent="0.3">
      <c r="A220" t="s">
        <v>782</v>
      </c>
      <c r="B220" t="s">
        <v>782</v>
      </c>
      <c r="C220" t="s">
        <v>292</v>
      </c>
      <c r="D220" t="s">
        <v>617</v>
      </c>
      <c r="E220" t="s">
        <v>617</v>
      </c>
      <c r="F220" t="s">
        <v>292</v>
      </c>
      <c r="I220" t="s">
        <v>292</v>
      </c>
      <c r="J220" t="s">
        <v>78</v>
      </c>
      <c r="K220" t="s">
        <v>78</v>
      </c>
      <c r="L220" t="s">
        <v>292</v>
      </c>
      <c r="M220" t="s">
        <v>536</v>
      </c>
      <c r="O220" t="s">
        <v>465</v>
      </c>
      <c r="P220" t="s">
        <v>291</v>
      </c>
      <c r="R220" t="s">
        <v>255</v>
      </c>
      <c r="S220" t="s">
        <v>262</v>
      </c>
      <c r="T220" t="s">
        <v>534</v>
      </c>
      <c r="U220" t="s">
        <v>87</v>
      </c>
      <c r="V220" t="s">
        <v>87</v>
      </c>
      <c r="W220" t="s">
        <v>292</v>
      </c>
      <c r="Z220" t="s">
        <v>292</v>
      </c>
      <c r="AC220" t="s">
        <v>292</v>
      </c>
      <c r="AD220" t="s">
        <v>87</v>
      </c>
      <c r="AE220" t="s">
        <v>87</v>
      </c>
      <c r="AF220" t="s">
        <v>292</v>
      </c>
    </row>
    <row r="221" spans="1:33" x14ac:dyDescent="0.3">
      <c r="A221" t="s">
        <v>783</v>
      </c>
      <c r="B221" t="s">
        <v>783</v>
      </c>
      <c r="C221" t="s">
        <v>292</v>
      </c>
      <c r="D221" t="s">
        <v>617</v>
      </c>
      <c r="E221" t="s">
        <v>617</v>
      </c>
      <c r="F221" t="s">
        <v>292</v>
      </c>
      <c r="I221" t="s">
        <v>292</v>
      </c>
      <c r="J221" t="s">
        <v>78</v>
      </c>
      <c r="K221" t="s">
        <v>78</v>
      </c>
      <c r="L221" t="s">
        <v>292</v>
      </c>
      <c r="M221" t="s">
        <v>536</v>
      </c>
      <c r="O221" t="s">
        <v>465</v>
      </c>
      <c r="P221" t="s">
        <v>291</v>
      </c>
      <c r="R221" t="s">
        <v>255</v>
      </c>
      <c r="S221" t="s">
        <v>262</v>
      </c>
      <c r="T221" t="s">
        <v>534</v>
      </c>
      <c r="U221" t="s">
        <v>87</v>
      </c>
      <c r="V221" t="s">
        <v>87</v>
      </c>
      <c r="W221" t="s">
        <v>292</v>
      </c>
      <c r="Z221" t="s">
        <v>292</v>
      </c>
      <c r="AC221" t="s">
        <v>292</v>
      </c>
      <c r="AD221" t="s">
        <v>87</v>
      </c>
      <c r="AE221" t="s">
        <v>87</v>
      </c>
      <c r="AF221" t="s">
        <v>292</v>
      </c>
    </row>
    <row r="222" spans="1:33" x14ac:dyDescent="0.3">
      <c r="A222" t="s">
        <v>784</v>
      </c>
      <c r="B222" t="s">
        <v>784</v>
      </c>
      <c r="C222" t="s">
        <v>292</v>
      </c>
      <c r="D222" t="s">
        <v>549</v>
      </c>
      <c r="E222" t="s">
        <v>549</v>
      </c>
      <c r="F222" t="s">
        <v>292</v>
      </c>
      <c r="I222" t="s">
        <v>292</v>
      </c>
      <c r="J222" t="s">
        <v>76</v>
      </c>
      <c r="K222" t="s">
        <v>76</v>
      </c>
      <c r="L222" t="s">
        <v>292</v>
      </c>
      <c r="M222" t="s">
        <v>536</v>
      </c>
      <c r="O222" t="s">
        <v>179</v>
      </c>
      <c r="P222" t="s">
        <v>291</v>
      </c>
      <c r="R222" t="s">
        <v>255</v>
      </c>
      <c r="S222" t="s">
        <v>262</v>
      </c>
      <c r="T222" t="s">
        <v>534</v>
      </c>
      <c r="U222" t="s">
        <v>87</v>
      </c>
      <c r="V222" t="s">
        <v>87</v>
      </c>
      <c r="W222" t="s">
        <v>292</v>
      </c>
      <c r="Z222" t="s">
        <v>292</v>
      </c>
      <c r="AC222" t="s">
        <v>292</v>
      </c>
      <c r="AD222" t="s">
        <v>87</v>
      </c>
      <c r="AE222" t="s">
        <v>87</v>
      </c>
      <c r="AF222" t="s">
        <v>292</v>
      </c>
    </row>
    <row r="223" spans="1:33" x14ac:dyDescent="0.3">
      <c r="A223" t="s">
        <v>785</v>
      </c>
      <c r="B223" t="s">
        <v>785</v>
      </c>
      <c r="C223" t="s">
        <v>292</v>
      </c>
      <c r="D223" t="s">
        <v>549</v>
      </c>
      <c r="E223" t="s">
        <v>549</v>
      </c>
      <c r="F223" t="s">
        <v>292</v>
      </c>
      <c r="I223" t="s">
        <v>292</v>
      </c>
      <c r="J223" t="s">
        <v>76</v>
      </c>
      <c r="K223" t="s">
        <v>76</v>
      </c>
      <c r="L223" t="s">
        <v>292</v>
      </c>
      <c r="M223" t="s">
        <v>536</v>
      </c>
      <c r="O223" t="s">
        <v>465</v>
      </c>
      <c r="P223" t="s">
        <v>291</v>
      </c>
      <c r="R223" t="s">
        <v>255</v>
      </c>
      <c r="S223" t="s">
        <v>262</v>
      </c>
      <c r="T223" t="s">
        <v>534</v>
      </c>
      <c r="U223" t="s">
        <v>87</v>
      </c>
      <c r="V223" t="s">
        <v>87</v>
      </c>
      <c r="W223" t="s">
        <v>292</v>
      </c>
      <c r="Z223" t="s">
        <v>292</v>
      </c>
      <c r="AC223" t="s">
        <v>292</v>
      </c>
      <c r="AD223" t="s">
        <v>87</v>
      </c>
      <c r="AE223" t="s">
        <v>87</v>
      </c>
      <c r="AF223" t="s">
        <v>292</v>
      </c>
    </row>
    <row r="224" spans="1:33" x14ac:dyDescent="0.3">
      <c r="A224" t="s">
        <v>786</v>
      </c>
      <c r="B224" t="s">
        <v>786</v>
      </c>
      <c r="C224" t="s">
        <v>292</v>
      </c>
      <c r="D224" t="s">
        <v>748</v>
      </c>
      <c r="E224" t="s">
        <v>748</v>
      </c>
      <c r="F224" t="s">
        <v>292</v>
      </c>
      <c r="I224" t="s">
        <v>292</v>
      </c>
      <c r="J224" t="s">
        <v>393</v>
      </c>
      <c r="K224" t="s">
        <v>393</v>
      </c>
      <c r="L224" t="s">
        <v>292</v>
      </c>
      <c r="M224" t="s">
        <v>473</v>
      </c>
      <c r="O224" t="s">
        <v>808</v>
      </c>
      <c r="P224" t="s">
        <v>291</v>
      </c>
      <c r="R224" t="s">
        <v>341</v>
      </c>
      <c r="S224" t="s">
        <v>340</v>
      </c>
      <c r="T224" t="s">
        <v>534</v>
      </c>
      <c r="U224" t="s">
        <v>87</v>
      </c>
      <c r="V224" t="s">
        <v>87</v>
      </c>
      <c r="W224" t="s">
        <v>292</v>
      </c>
      <c r="Z224" t="s">
        <v>292</v>
      </c>
      <c r="AC224" t="s">
        <v>292</v>
      </c>
      <c r="AD224" t="s">
        <v>87</v>
      </c>
      <c r="AE224" t="s">
        <v>87</v>
      </c>
      <c r="AF224" t="s">
        <v>292</v>
      </c>
    </row>
    <row r="225" spans="1:33" x14ac:dyDescent="0.3">
      <c r="A225" t="s">
        <v>787</v>
      </c>
      <c r="B225" t="s">
        <v>787</v>
      </c>
      <c r="C225" t="s">
        <v>292</v>
      </c>
      <c r="D225" t="s">
        <v>748</v>
      </c>
      <c r="E225" t="s">
        <v>748</v>
      </c>
      <c r="F225" t="s">
        <v>292</v>
      </c>
      <c r="I225" t="s">
        <v>292</v>
      </c>
      <c r="J225" t="s">
        <v>393</v>
      </c>
      <c r="K225" t="s">
        <v>393</v>
      </c>
      <c r="L225" t="s">
        <v>292</v>
      </c>
      <c r="M225" t="s">
        <v>473</v>
      </c>
      <c r="O225" t="s">
        <v>466</v>
      </c>
      <c r="P225" t="s">
        <v>291</v>
      </c>
      <c r="R225" t="s">
        <v>341</v>
      </c>
      <c r="S225" t="s">
        <v>340</v>
      </c>
      <c r="T225" t="s">
        <v>534</v>
      </c>
      <c r="U225" t="s">
        <v>87</v>
      </c>
      <c r="V225" t="s">
        <v>87</v>
      </c>
      <c r="W225" t="s">
        <v>292</v>
      </c>
      <c r="Z225" t="s">
        <v>292</v>
      </c>
      <c r="AC225" t="s">
        <v>292</v>
      </c>
      <c r="AD225" t="s">
        <v>87</v>
      </c>
      <c r="AE225" t="s">
        <v>87</v>
      </c>
      <c r="AF225" t="s">
        <v>292</v>
      </c>
    </row>
    <row r="226" spans="1:33" x14ac:dyDescent="0.3">
      <c r="A226" t="s">
        <v>788</v>
      </c>
      <c r="B226" t="s">
        <v>788</v>
      </c>
      <c r="C226" t="s">
        <v>292</v>
      </c>
      <c r="D226" t="s">
        <v>748</v>
      </c>
      <c r="E226" t="s">
        <v>748</v>
      </c>
      <c r="F226" t="s">
        <v>292</v>
      </c>
      <c r="I226" t="s">
        <v>292</v>
      </c>
      <c r="J226" t="s">
        <v>393</v>
      </c>
      <c r="K226" t="s">
        <v>393</v>
      </c>
      <c r="L226" t="s">
        <v>292</v>
      </c>
      <c r="M226" t="s">
        <v>473</v>
      </c>
      <c r="O226" t="s">
        <v>466</v>
      </c>
      <c r="P226" t="s">
        <v>291</v>
      </c>
      <c r="R226" t="s">
        <v>341</v>
      </c>
      <c r="S226" t="s">
        <v>340</v>
      </c>
      <c r="T226" t="s">
        <v>534</v>
      </c>
      <c r="U226" t="s">
        <v>87</v>
      </c>
      <c r="V226" t="s">
        <v>87</v>
      </c>
      <c r="W226" t="s">
        <v>292</v>
      </c>
      <c r="Z226" t="s">
        <v>292</v>
      </c>
      <c r="AC226" t="s">
        <v>292</v>
      </c>
      <c r="AD226" t="s">
        <v>87</v>
      </c>
      <c r="AE226" t="s">
        <v>87</v>
      </c>
      <c r="AF226" t="s">
        <v>292</v>
      </c>
    </row>
    <row r="227" spans="1:33" x14ac:dyDescent="0.3">
      <c r="A227" t="s">
        <v>789</v>
      </c>
      <c r="B227" t="s">
        <v>789</v>
      </c>
      <c r="C227" t="s">
        <v>292</v>
      </c>
      <c r="D227" t="s">
        <v>748</v>
      </c>
      <c r="E227" t="s">
        <v>748</v>
      </c>
      <c r="F227" t="s">
        <v>292</v>
      </c>
      <c r="I227" t="s">
        <v>292</v>
      </c>
      <c r="J227" t="s">
        <v>393</v>
      </c>
      <c r="K227" t="s">
        <v>393</v>
      </c>
      <c r="L227" t="s">
        <v>292</v>
      </c>
      <c r="M227" t="s">
        <v>473</v>
      </c>
      <c r="O227" t="s">
        <v>466</v>
      </c>
      <c r="P227" t="s">
        <v>291</v>
      </c>
      <c r="R227" t="s">
        <v>341</v>
      </c>
      <c r="S227" t="s">
        <v>340</v>
      </c>
      <c r="T227" t="s">
        <v>534</v>
      </c>
      <c r="U227" t="s">
        <v>87</v>
      </c>
      <c r="V227" t="s">
        <v>87</v>
      </c>
      <c r="W227" t="s">
        <v>292</v>
      </c>
      <c r="Z227" t="s">
        <v>292</v>
      </c>
      <c r="AC227" t="s">
        <v>292</v>
      </c>
      <c r="AD227" t="s">
        <v>87</v>
      </c>
      <c r="AE227" t="s">
        <v>87</v>
      </c>
      <c r="AF227" t="s">
        <v>292</v>
      </c>
    </row>
    <row r="228" spans="1:33" x14ac:dyDescent="0.3">
      <c r="A228" t="s">
        <v>790</v>
      </c>
      <c r="B228" t="s">
        <v>790</v>
      </c>
      <c r="C228" t="s">
        <v>292</v>
      </c>
      <c r="D228" t="s">
        <v>748</v>
      </c>
      <c r="E228" t="s">
        <v>748</v>
      </c>
      <c r="F228" t="s">
        <v>292</v>
      </c>
      <c r="I228" t="s">
        <v>292</v>
      </c>
      <c r="J228" t="s">
        <v>393</v>
      </c>
      <c r="K228" t="s">
        <v>393</v>
      </c>
      <c r="L228" t="s">
        <v>292</v>
      </c>
      <c r="M228" t="s">
        <v>473</v>
      </c>
      <c r="O228" t="s">
        <v>466</v>
      </c>
      <c r="P228" t="s">
        <v>291</v>
      </c>
      <c r="R228" t="s">
        <v>341</v>
      </c>
      <c r="S228" t="s">
        <v>340</v>
      </c>
      <c r="T228" t="s">
        <v>534</v>
      </c>
      <c r="U228" t="s">
        <v>87</v>
      </c>
      <c r="V228" t="s">
        <v>87</v>
      </c>
      <c r="W228" t="s">
        <v>292</v>
      </c>
      <c r="Z228" t="s">
        <v>292</v>
      </c>
      <c r="AC228" t="s">
        <v>292</v>
      </c>
      <c r="AD228" t="s">
        <v>87</v>
      </c>
      <c r="AE228" t="s">
        <v>87</v>
      </c>
      <c r="AF228" t="s">
        <v>292</v>
      </c>
    </row>
    <row r="229" spans="1:33" x14ac:dyDescent="0.3">
      <c r="A229" t="s">
        <v>791</v>
      </c>
      <c r="B229" t="s">
        <v>791</v>
      </c>
      <c r="C229" t="s">
        <v>292</v>
      </c>
      <c r="D229" t="s">
        <v>748</v>
      </c>
      <c r="E229" t="s">
        <v>748</v>
      </c>
      <c r="F229" t="s">
        <v>292</v>
      </c>
      <c r="I229" t="s">
        <v>292</v>
      </c>
      <c r="J229" t="s">
        <v>393</v>
      </c>
      <c r="K229" t="s">
        <v>393</v>
      </c>
      <c r="L229" t="s">
        <v>292</v>
      </c>
      <c r="M229" t="s">
        <v>473</v>
      </c>
      <c r="O229" t="s">
        <v>466</v>
      </c>
      <c r="P229" t="s">
        <v>291</v>
      </c>
      <c r="R229" t="s">
        <v>341</v>
      </c>
      <c r="S229" t="s">
        <v>340</v>
      </c>
      <c r="T229" t="s">
        <v>534</v>
      </c>
      <c r="U229" t="s">
        <v>87</v>
      </c>
      <c r="V229" t="s">
        <v>87</v>
      </c>
      <c r="W229" t="s">
        <v>292</v>
      </c>
      <c r="Z229" t="s">
        <v>292</v>
      </c>
      <c r="AC229" t="s">
        <v>292</v>
      </c>
      <c r="AD229" t="s">
        <v>87</v>
      </c>
      <c r="AE229" t="s">
        <v>87</v>
      </c>
      <c r="AF229" t="s">
        <v>292</v>
      </c>
    </row>
    <row r="230" spans="1:33" x14ac:dyDescent="0.3">
      <c r="A230" t="s">
        <v>792</v>
      </c>
      <c r="B230" t="s">
        <v>792</v>
      </c>
      <c r="C230" t="s">
        <v>292</v>
      </c>
      <c r="D230" t="s">
        <v>748</v>
      </c>
      <c r="E230" t="s">
        <v>748</v>
      </c>
      <c r="F230" t="s">
        <v>292</v>
      </c>
      <c r="I230" t="s">
        <v>292</v>
      </c>
      <c r="J230" t="s">
        <v>393</v>
      </c>
      <c r="K230" t="s">
        <v>393</v>
      </c>
      <c r="L230" t="s">
        <v>292</v>
      </c>
      <c r="M230" t="s">
        <v>473</v>
      </c>
      <c r="O230" t="s">
        <v>466</v>
      </c>
      <c r="P230" t="s">
        <v>291</v>
      </c>
      <c r="R230" t="s">
        <v>341</v>
      </c>
      <c r="S230" t="s">
        <v>340</v>
      </c>
      <c r="T230" t="s">
        <v>534</v>
      </c>
      <c r="U230" t="s">
        <v>87</v>
      </c>
      <c r="V230" t="s">
        <v>87</v>
      </c>
      <c r="W230" t="s">
        <v>292</v>
      </c>
      <c r="Z230" t="s">
        <v>292</v>
      </c>
      <c r="AC230" t="s">
        <v>292</v>
      </c>
      <c r="AD230" t="s">
        <v>87</v>
      </c>
      <c r="AE230" t="s">
        <v>87</v>
      </c>
      <c r="AF230" t="s">
        <v>292</v>
      </c>
    </row>
    <row r="231" spans="1:33" x14ac:dyDescent="0.3">
      <c r="A231" t="s">
        <v>793</v>
      </c>
      <c r="B231" t="s">
        <v>793</v>
      </c>
      <c r="C231" t="s">
        <v>292</v>
      </c>
      <c r="D231" t="s">
        <v>748</v>
      </c>
      <c r="E231" t="s">
        <v>748</v>
      </c>
      <c r="F231" t="s">
        <v>292</v>
      </c>
      <c r="I231" t="s">
        <v>292</v>
      </c>
      <c r="J231" t="s">
        <v>393</v>
      </c>
      <c r="K231" t="s">
        <v>393</v>
      </c>
      <c r="L231" t="s">
        <v>292</v>
      </c>
      <c r="M231" t="s">
        <v>473</v>
      </c>
      <c r="O231" t="s">
        <v>466</v>
      </c>
      <c r="P231" t="s">
        <v>291</v>
      </c>
      <c r="R231" t="s">
        <v>341</v>
      </c>
      <c r="S231" t="s">
        <v>340</v>
      </c>
      <c r="T231" t="s">
        <v>534</v>
      </c>
      <c r="U231" t="s">
        <v>87</v>
      </c>
      <c r="V231" t="s">
        <v>87</v>
      </c>
      <c r="W231" t="s">
        <v>292</v>
      </c>
      <c r="Z231" t="s">
        <v>292</v>
      </c>
      <c r="AC231" t="s">
        <v>292</v>
      </c>
      <c r="AD231" t="s">
        <v>87</v>
      </c>
      <c r="AE231" t="s">
        <v>87</v>
      </c>
      <c r="AF231" t="s">
        <v>292</v>
      </c>
    </row>
    <row r="232" spans="1:33" x14ac:dyDescent="0.3">
      <c r="A232" t="s">
        <v>794</v>
      </c>
      <c r="B232" t="s">
        <v>794</v>
      </c>
      <c r="C232" t="s">
        <v>292</v>
      </c>
      <c r="D232" t="s">
        <v>675</v>
      </c>
      <c r="E232" t="s">
        <v>675</v>
      </c>
      <c r="F232" t="s">
        <v>292</v>
      </c>
      <c r="I232" t="s">
        <v>292</v>
      </c>
      <c r="J232" t="s">
        <v>78</v>
      </c>
      <c r="K232" t="s">
        <v>78</v>
      </c>
      <c r="L232" t="s">
        <v>292</v>
      </c>
      <c r="M232" t="s">
        <v>473</v>
      </c>
      <c r="O232" t="s">
        <v>809</v>
      </c>
      <c r="P232" t="s">
        <v>291</v>
      </c>
      <c r="Q232" t="s">
        <v>684</v>
      </c>
      <c r="R232" t="s">
        <v>478</v>
      </c>
      <c r="S232" t="s">
        <v>811</v>
      </c>
      <c r="T232" t="s">
        <v>180</v>
      </c>
      <c r="U232" t="s">
        <v>260</v>
      </c>
      <c r="V232" t="s">
        <v>686</v>
      </c>
      <c r="W232" t="s">
        <v>291</v>
      </c>
      <c r="Z232" t="s">
        <v>292</v>
      </c>
      <c r="AC232" t="s">
        <v>292</v>
      </c>
      <c r="AD232" t="s">
        <v>87</v>
      </c>
      <c r="AE232" t="s">
        <v>87</v>
      </c>
      <c r="AF232" t="s">
        <v>292</v>
      </c>
      <c r="AG232" t="s">
        <v>805</v>
      </c>
    </row>
    <row r="233" spans="1:33" x14ac:dyDescent="0.3">
      <c r="A233" t="s">
        <v>795</v>
      </c>
      <c r="B233" t="s">
        <v>795</v>
      </c>
      <c r="C233" t="s">
        <v>292</v>
      </c>
      <c r="D233" t="s">
        <v>675</v>
      </c>
      <c r="E233" t="s">
        <v>675</v>
      </c>
      <c r="F233" t="s">
        <v>292</v>
      </c>
      <c r="I233" t="s">
        <v>292</v>
      </c>
      <c r="J233" t="s">
        <v>78</v>
      </c>
      <c r="K233" t="s">
        <v>78</v>
      </c>
      <c r="L233" t="s">
        <v>292</v>
      </c>
      <c r="M233" t="s">
        <v>473</v>
      </c>
      <c r="O233" t="s">
        <v>809</v>
      </c>
      <c r="P233" t="s">
        <v>291</v>
      </c>
      <c r="Q233" t="s">
        <v>684</v>
      </c>
      <c r="R233" t="s">
        <v>478</v>
      </c>
      <c r="S233" t="s">
        <v>811</v>
      </c>
      <c r="T233" t="s">
        <v>180</v>
      </c>
      <c r="U233" t="s">
        <v>260</v>
      </c>
      <c r="V233" t="s">
        <v>686</v>
      </c>
      <c r="W233" t="s">
        <v>291</v>
      </c>
      <c r="Z233" t="s">
        <v>292</v>
      </c>
      <c r="AC233" t="s">
        <v>292</v>
      </c>
      <c r="AD233" t="s">
        <v>87</v>
      </c>
      <c r="AE233" t="s">
        <v>87</v>
      </c>
      <c r="AF233" t="s">
        <v>292</v>
      </c>
      <c r="AG233" t="s">
        <v>805</v>
      </c>
    </row>
    <row r="234" spans="1:33" x14ac:dyDescent="0.3">
      <c r="A234" t="s">
        <v>796</v>
      </c>
      <c r="B234" t="s">
        <v>796</v>
      </c>
      <c r="C234" t="s">
        <v>292</v>
      </c>
      <c r="D234" t="s">
        <v>748</v>
      </c>
      <c r="E234" t="s">
        <v>748</v>
      </c>
      <c r="F234" t="s">
        <v>292</v>
      </c>
      <c r="I234" t="s">
        <v>292</v>
      </c>
      <c r="J234" t="s">
        <v>393</v>
      </c>
      <c r="K234" t="s">
        <v>393</v>
      </c>
      <c r="L234" t="s">
        <v>292</v>
      </c>
      <c r="M234" t="s">
        <v>473</v>
      </c>
      <c r="O234" t="s">
        <v>466</v>
      </c>
      <c r="P234" t="s">
        <v>291</v>
      </c>
      <c r="R234" t="s">
        <v>341</v>
      </c>
      <c r="S234" t="s">
        <v>340</v>
      </c>
      <c r="T234" t="s">
        <v>534</v>
      </c>
      <c r="U234" t="s">
        <v>87</v>
      </c>
      <c r="V234" t="s">
        <v>87</v>
      </c>
      <c r="W234" t="s">
        <v>292</v>
      </c>
      <c r="Z234" t="s">
        <v>292</v>
      </c>
      <c r="AC234" t="s">
        <v>292</v>
      </c>
      <c r="AD234" t="s">
        <v>87</v>
      </c>
      <c r="AE234" t="s">
        <v>87</v>
      </c>
      <c r="AF234" t="s">
        <v>292</v>
      </c>
    </row>
    <row r="235" spans="1:33" x14ac:dyDescent="0.3">
      <c r="A235" t="s">
        <v>797</v>
      </c>
      <c r="B235" t="s">
        <v>797</v>
      </c>
      <c r="C235" t="s">
        <v>292</v>
      </c>
      <c r="D235" t="s">
        <v>748</v>
      </c>
      <c r="E235" t="s">
        <v>748</v>
      </c>
      <c r="F235" t="s">
        <v>292</v>
      </c>
      <c r="I235" t="s">
        <v>292</v>
      </c>
      <c r="J235" t="s">
        <v>393</v>
      </c>
      <c r="K235" t="s">
        <v>393</v>
      </c>
      <c r="L235" t="s">
        <v>292</v>
      </c>
      <c r="M235" t="s">
        <v>473</v>
      </c>
      <c r="O235" t="s">
        <v>466</v>
      </c>
      <c r="P235" t="s">
        <v>291</v>
      </c>
      <c r="R235" t="s">
        <v>341</v>
      </c>
      <c r="S235" t="s">
        <v>340</v>
      </c>
      <c r="T235" t="s">
        <v>534</v>
      </c>
      <c r="U235" t="s">
        <v>87</v>
      </c>
      <c r="V235" t="s">
        <v>87</v>
      </c>
      <c r="W235" t="s">
        <v>292</v>
      </c>
      <c r="Z235" t="s">
        <v>292</v>
      </c>
      <c r="AC235" t="s">
        <v>292</v>
      </c>
      <c r="AD235" t="s">
        <v>87</v>
      </c>
      <c r="AE235" t="s">
        <v>87</v>
      </c>
      <c r="AF235" t="s">
        <v>292</v>
      </c>
    </row>
    <row r="236" spans="1:33" x14ac:dyDescent="0.3">
      <c r="A236" t="s">
        <v>798</v>
      </c>
      <c r="B236" t="s">
        <v>798</v>
      </c>
      <c r="C236" t="s">
        <v>292</v>
      </c>
      <c r="D236" t="s">
        <v>748</v>
      </c>
      <c r="E236" t="s">
        <v>748</v>
      </c>
      <c r="F236" t="s">
        <v>292</v>
      </c>
      <c r="I236" t="s">
        <v>292</v>
      </c>
      <c r="J236" t="s">
        <v>393</v>
      </c>
      <c r="K236" t="s">
        <v>393</v>
      </c>
      <c r="L236" t="s">
        <v>292</v>
      </c>
      <c r="M236" t="s">
        <v>473</v>
      </c>
      <c r="O236" t="s">
        <v>466</v>
      </c>
      <c r="P236" t="s">
        <v>291</v>
      </c>
      <c r="R236" t="s">
        <v>341</v>
      </c>
      <c r="S236" t="s">
        <v>340</v>
      </c>
      <c r="T236" t="s">
        <v>534</v>
      </c>
      <c r="U236" t="s">
        <v>87</v>
      </c>
      <c r="V236" t="s">
        <v>87</v>
      </c>
      <c r="W236" t="s">
        <v>292</v>
      </c>
      <c r="Z236" t="s">
        <v>292</v>
      </c>
      <c r="AC236" t="s">
        <v>292</v>
      </c>
      <c r="AD236" t="s">
        <v>87</v>
      </c>
      <c r="AE236" t="s">
        <v>87</v>
      </c>
      <c r="AF236" t="s">
        <v>292</v>
      </c>
    </row>
    <row r="237" spans="1:33" x14ac:dyDescent="0.3">
      <c r="A237" t="s">
        <v>799</v>
      </c>
      <c r="B237" t="s">
        <v>799</v>
      </c>
      <c r="C237" t="s">
        <v>292</v>
      </c>
      <c r="D237" t="s">
        <v>748</v>
      </c>
      <c r="E237" t="s">
        <v>748</v>
      </c>
      <c r="F237" t="s">
        <v>292</v>
      </c>
      <c r="I237" t="s">
        <v>292</v>
      </c>
      <c r="J237" t="s">
        <v>393</v>
      </c>
      <c r="K237" t="s">
        <v>393</v>
      </c>
      <c r="L237" t="s">
        <v>292</v>
      </c>
      <c r="M237" t="s">
        <v>473</v>
      </c>
      <c r="O237" t="s">
        <v>810</v>
      </c>
      <c r="P237" t="s">
        <v>291</v>
      </c>
      <c r="R237" t="s">
        <v>341</v>
      </c>
      <c r="S237" t="s">
        <v>340</v>
      </c>
      <c r="T237" t="s">
        <v>534</v>
      </c>
      <c r="U237" t="s">
        <v>87</v>
      </c>
      <c r="V237" t="s">
        <v>87</v>
      </c>
      <c r="W237" t="s">
        <v>292</v>
      </c>
      <c r="Z237" t="s">
        <v>292</v>
      </c>
      <c r="AC237" t="s">
        <v>292</v>
      </c>
      <c r="AD237" t="s">
        <v>87</v>
      </c>
      <c r="AE237" t="s">
        <v>87</v>
      </c>
      <c r="AF237" t="s">
        <v>292</v>
      </c>
    </row>
    <row r="238" spans="1:33" x14ac:dyDescent="0.3">
      <c r="A238" t="s">
        <v>800</v>
      </c>
      <c r="B238" t="s">
        <v>800</v>
      </c>
      <c r="C238" t="s">
        <v>292</v>
      </c>
      <c r="D238" t="s">
        <v>748</v>
      </c>
      <c r="E238" t="s">
        <v>748</v>
      </c>
      <c r="F238" t="s">
        <v>292</v>
      </c>
      <c r="I238" t="s">
        <v>292</v>
      </c>
      <c r="J238" t="s">
        <v>393</v>
      </c>
      <c r="K238" t="s">
        <v>393</v>
      </c>
      <c r="L238" t="s">
        <v>292</v>
      </c>
      <c r="M238" t="s">
        <v>473</v>
      </c>
      <c r="O238" t="s">
        <v>466</v>
      </c>
      <c r="P238" t="s">
        <v>291</v>
      </c>
      <c r="R238" t="s">
        <v>341</v>
      </c>
      <c r="S238" t="s">
        <v>340</v>
      </c>
      <c r="T238" t="s">
        <v>534</v>
      </c>
      <c r="U238" t="s">
        <v>87</v>
      </c>
      <c r="V238" t="s">
        <v>87</v>
      </c>
      <c r="W238" t="s">
        <v>292</v>
      </c>
      <c r="Z238" t="s">
        <v>292</v>
      </c>
      <c r="AC238" t="s">
        <v>292</v>
      </c>
      <c r="AD238" t="s">
        <v>87</v>
      </c>
      <c r="AE238" t="s">
        <v>87</v>
      </c>
      <c r="AF238" t="s">
        <v>292</v>
      </c>
    </row>
    <row r="239" spans="1:33" x14ac:dyDescent="0.3">
      <c r="A239" t="s">
        <v>801</v>
      </c>
      <c r="B239" t="s">
        <v>801</v>
      </c>
      <c r="C239" t="s">
        <v>292</v>
      </c>
      <c r="D239" t="s">
        <v>748</v>
      </c>
      <c r="E239" t="s">
        <v>748</v>
      </c>
      <c r="F239" t="s">
        <v>292</v>
      </c>
      <c r="I239" t="s">
        <v>292</v>
      </c>
      <c r="J239" t="s">
        <v>393</v>
      </c>
      <c r="K239" t="s">
        <v>393</v>
      </c>
      <c r="L239" t="s">
        <v>292</v>
      </c>
      <c r="M239" t="s">
        <v>473</v>
      </c>
      <c r="O239" t="s">
        <v>466</v>
      </c>
      <c r="P239" t="s">
        <v>291</v>
      </c>
      <c r="R239" t="s">
        <v>341</v>
      </c>
      <c r="S239" t="s">
        <v>340</v>
      </c>
      <c r="T239" t="s">
        <v>534</v>
      </c>
      <c r="U239" t="s">
        <v>87</v>
      </c>
      <c r="V239" t="s">
        <v>87</v>
      </c>
      <c r="W239" t="s">
        <v>292</v>
      </c>
      <c r="Z239" t="s">
        <v>292</v>
      </c>
      <c r="AC239" t="s">
        <v>292</v>
      </c>
      <c r="AD239" t="s">
        <v>87</v>
      </c>
      <c r="AE239" t="s">
        <v>87</v>
      </c>
      <c r="AF239" t="s">
        <v>292</v>
      </c>
    </row>
    <row r="240" spans="1:33" x14ac:dyDescent="0.3">
      <c r="A240" t="s">
        <v>814</v>
      </c>
      <c r="B240" t="s">
        <v>814</v>
      </c>
      <c r="C240" t="s">
        <v>292</v>
      </c>
      <c r="D240" t="s">
        <v>748</v>
      </c>
      <c r="E240" t="s">
        <v>748</v>
      </c>
      <c r="F240" t="s">
        <v>292</v>
      </c>
      <c r="I240" t="s">
        <v>292</v>
      </c>
      <c r="J240" t="s">
        <v>393</v>
      </c>
      <c r="K240" t="s">
        <v>393</v>
      </c>
      <c r="L240" t="s">
        <v>292</v>
      </c>
      <c r="M240" t="s">
        <v>473</v>
      </c>
      <c r="O240" t="s">
        <v>466</v>
      </c>
      <c r="P240" t="s">
        <v>291</v>
      </c>
      <c r="R240" t="s">
        <v>341</v>
      </c>
      <c r="S240" t="s">
        <v>340</v>
      </c>
      <c r="T240" t="s">
        <v>534</v>
      </c>
      <c r="U240" t="s">
        <v>87</v>
      </c>
      <c r="V240" t="s">
        <v>87</v>
      </c>
      <c r="W240" t="s">
        <v>292</v>
      </c>
      <c r="Z240" t="s">
        <v>292</v>
      </c>
      <c r="AC240" t="s">
        <v>292</v>
      </c>
      <c r="AD240" t="s">
        <v>87</v>
      </c>
      <c r="AE240" t="s">
        <v>87</v>
      </c>
      <c r="AF240" t="s">
        <v>292</v>
      </c>
    </row>
    <row r="241" spans="1:32" x14ac:dyDescent="0.3">
      <c r="A241" t="s">
        <v>815</v>
      </c>
      <c r="B241" t="s">
        <v>815</v>
      </c>
      <c r="C241" t="s">
        <v>292</v>
      </c>
      <c r="D241" t="s">
        <v>748</v>
      </c>
      <c r="E241" t="s">
        <v>748</v>
      </c>
      <c r="F241" t="s">
        <v>292</v>
      </c>
      <c r="I241" t="s">
        <v>292</v>
      </c>
      <c r="J241" t="s">
        <v>393</v>
      </c>
      <c r="K241" t="s">
        <v>393</v>
      </c>
      <c r="L241" t="s">
        <v>292</v>
      </c>
      <c r="M241" t="s">
        <v>473</v>
      </c>
      <c r="O241" t="s">
        <v>466</v>
      </c>
      <c r="P241" t="s">
        <v>291</v>
      </c>
      <c r="R241" t="s">
        <v>341</v>
      </c>
      <c r="S241" t="s">
        <v>340</v>
      </c>
      <c r="T241" t="s">
        <v>534</v>
      </c>
      <c r="U241" t="s">
        <v>87</v>
      </c>
      <c r="V241" t="s">
        <v>87</v>
      </c>
      <c r="W241" t="s">
        <v>292</v>
      </c>
      <c r="Z241" t="s">
        <v>292</v>
      </c>
      <c r="AC241" t="s">
        <v>292</v>
      </c>
      <c r="AD241" t="s">
        <v>87</v>
      </c>
      <c r="AE241" t="s">
        <v>87</v>
      </c>
      <c r="AF241" t="s">
        <v>292</v>
      </c>
    </row>
    <row r="242" spans="1:32" x14ac:dyDescent="0.3">
      <c r="A242" t="s">
        <v>816</v>
      </c>
      <c r="B242" t="s">
        <v>816</v>
      </c>
      <c r="C242" t="s">
        <v>292</v>
      </c>
      <c r="D242" t="s">
        <v>748</v>
      </c>
      <c r="E242" t="s">
        <v>748</v>
      </c>
      <c r="F242" t="s">
        <v>292</v>
      </c>
      <c r="I242" t="s">
        <v>292</v>
      </c>
      <c r="J242" t="s">
        <v>393</v>
      </c>
      <c r="K242" t="s">
        <v>393</v>
      </c>
      <c r="L242" t="s">
        <v>292</v>
      </c>
      <c r="M242" t="s">
        <v>473</v>
      </c>
      <c r="O242" t="s">
        <v>466</v>
      </c>
      <c r="P242" t="s">
        <v>291</v>
      </c>
      <c r="R242" t="s">
        <v>341</v>
      </c>
      <c r="S242" t="s">
        <v>340</v>
      </c>
      <c r="T242" t="s">
        <v>534</v>
      </c>
      <c r="U242" t="s">
        <v>87</v>
      </c>
      <c r="V242" t="s">
        <v>87</v>
      </c>
      <c r="W242" t="s">
        <v>292</v>
      </c>
      <c r="Z242" t="s">
        <v>292</v>
      </c>
      <c r="AC242" t="s">
        <v>292</v>
      </c>
      <c r="AD242" t="s">
        <v>87</v>
      </c>
      <c r="AE242" t="s">
        <v>87</v>
      </c>
      <c r="AF242" t="s">
        <v>292</v>
      </c>
    </row>
    <row r="243" spans="1:32" x14ac:dyDescent="0.3">
      <c r="A243" t="s">
        <v>817</v>
      </c>
      <c r="B243" t="s">
        <v>817</v>
      </c>
      <c r="C243" t="s">
        <v>292</v>
      </c>
      <c r="D243" t="s">
        <v>748</v>
      </c>
      <c r="E243" t="s">
        <v>748</v>
      </c>
      <c r="F243" t="s">
        <v>292</v>
      </c>
      <c r="I243" t="s">
        <v>292</v>
      </c>
      <c r="J243" t="s">
        <v>393</v>
      </c>
      <c r="K243" t="s">
        <v>393</v>
      </c>
      <c r="L243" t="s">
        <v>292</v>
      </c>
      <c r="M243" t="s">
        <v>473</v>
      </c>
      <c r="O243" t="s">
        <v>466</v>
      </c>
      <c r="P243" t="s">
        <v>291</v>
      </c>
      <c r="R243" t="s">
        <v>341</v>
      </c>
      <c r="S243" t="s">
        <v>340</v>
      </c>
      <c r="T243" t="s">
        <v>534</v>
      </c>
      <c r="U243" t="s">
        <v>87</v>
      </c>
      <c r="V243" t="s">
        <v>87</v>
      </c>
      <c r="W243" t="s">
        <v>292</v>
      </c>
      <c r="Z243" t="s">
        <v>292</v>
      </c>
      <c r="AC243" t="s">
        <v>292</v>
      </c>
      <c r="AD243" t="s">
        <v>87</v>
      </c>
      <c r="AE243" t="s">
        <v>87</v>
      </c>
      <c r="AF243" t="s">
        <v>292</v>
      </c>
    </row>
    <row r="244" spans="1:32" x14ac:dyDescent="0.3">
      <c r="B244" t="s">
        <v>818</v>
      </c>
      <c r="C244" t="s">
        <v>291</v>
      </c>
      <c r="E244" t="s">
        <v>748</v>
      </c>
      <c r="F244" t="s">
        <v>291</v>
      </c>
      <c r="I244" t="s">
        <v>292</v>
      </c>
      <c r="K244" t="s">
        <v>393</v>
      </c>
      <c r="L244" t="s">
        <v>291</v>
      </c>
      <c r="O244" t="s">
        <v>466</v>
      </c>
      <c r="P244" t="s">
        <v>291</v>
      </c>
      <c r="T244" t="s">
        <v>180</v>
      </c>
      <c r="V244" t="s">
        <v>87</v>
      </c>
      <c r="W244" t="s">
        <v>291</v>
      </c>
      <c r="Z244" t="s">
        <v>292</v>
      </c>
      <c r="AC244" t="s">
        <v>292</v>
      </c>
      <c r="AE244" t="s">
        <v>87</v>
      </c>
      <c r="AF244" t="s">
        <v>291</v>
      </c>
    </row>
    <row r="245" spans="1:32" x14ac:dyDescent="0.3">
      <c r="A245" t="s">
        <v>457</v>
      </c>
      <c r="C245" t="s">
        <v>291</v>
      </c>
      <c r="D245" t="s">
        <v>546</v>
      </c>
      <c r="F245" t="s">
        <v>291</v>
      </c>
      <c r="I245" t="s">
        <v>292</v>
      </c>
      <c r="J245" t="s">
        <v>74</v>
      </c>
      <c r="L245" t="s">
        <v>291</v>
      </c>
      <c r="M245" t="s">
        <v>473</v>
      </c>
      <c r="P245" t="s">
        <v>292</v>
      </c>
      <c r="R245" t="s">
        <v>341</v>
      </c>
      <c r="U245" t="s">
        <v>87</v>
      </c>
      <c r="V245" t="s">
        <v>87</v>
      </c>
      <c r="W245" t="s">
        <v>292</v>
      </c>
      <c r="Z245" t="s">
        <v>292</v>
      </c>
      <c r="AC245" t="s">
        <v>292</v>
      </c>
      <c r="AD245" t="s">
        <v>87</v>
      </c>
      <c r="AE245" t="s">
        <v>87</v>
      </c>
      <c r="AF245" t="s">
        <v>292</v>
      </c>
    </row>
    <row r="246" spans="1:32" x14ac:dyDescent="0.3">
      <c r="A246" t="s">
        <v>457</v>
      </c>
      <c r="C246" t="s">
        <v>291</v>
      </c>
      <c r="D246" t="s">
        <v>748</v>
      </c>
      <c r="F246" t="s">
        <v>291</v>
      </c>
      <c r="I246" t="s">
        <v>292</v>
      </c>
      <c r="J246" t="s">
        <v>393</v>
      </c>
      <c r="L246" t="s">
        <v>291</v>
      </c>
      <c r="M246" t="s">
        <v>473</v>
      </c>
      <c r="P246" t="s">
        <v>292</v>
      </c>
      <c r="R246" t="s">
        <v>341</v>
      </c>
      <c r="U246" t="s">
        <v>87</v>
      </c>
      <c r="V246" t="s">
        <v>87</v>
      </c>
      <c r="W246" t="s">
        <v>292</v>
      </c>
      <c r="Z246" t="s">
        <v>292</v>
      </c>
      <c r="AC246" t="s">
        <v>292</v>
      </c>
      <c r="AD246" t="s">
        <v>87</v>
      </c>
      <c r="AE246" t="s">
        <v>87</v>
      </c>
      <c r="AF246" t="s">
        <v>292</v>
      </c>
    </row>
    <row r="247" spans="1:32" x14ac:dyDescent="0.3">
      <c r="A247" t="s">
        <v>457</v>
      </c>
      <c r="C247" t="s">
        <v>291</v>
      </c>
      <c r="D247" t="s">
        <v>757</v>
      </c>
      <c r="F247" t="s">
        <v>291</v>
      </c>
      <c r="G247">
        <v>4</v>
      </c>
      <c r="I247" t="s">
        <v>291</v>
      </c>
      <c r="J247" t="s">
        <v>78</v>
      </c>
      <c r="L247" t="s">
        <v>291</v>
      </c>
      <c r="M247" t="s">
        <v>261</v>
      </c>
      <c r="P247" t="s">
        <v>292</v>
      </c>
      <c r="Q247" t="s">
        <v>758</v>
      </c>
      <c r="R247" t="s">
        <v>256</v>
      </c>
      <c r="U247" t="s">
        <v>87</v>
      </c>
      <c r="V247" t="s">
        <v>87</v>
      </c>
      <c r="W247" t="s">
        <v>292</v>
      </c>
      <c r="Z247" t="s">
        <v>292</v>
      </c>
      <c r="AC247" t="s">
        <v>292</v>
      </c>
      <c r="AD247" t="s">
        <v>87</v>
      </c>
      <c r="AE247" t="s">
        <v>87</v>
      </c>
      <c r="AF247" t="s">
        <v>292</v>
      </c>
    </row>
    <row r="248" spans="1:32" x14ac:dyDescent="0.3">
      <c r="A248" t="s">
        <v>457</v>
      </c>
      <c r="C248" t="s">
        <v>291</v>
      </c>
      <c r="D248" t="s">
        <v>748</v>
      </c>
      <c r="F248" t="s">
        <v>291</v>
      </c>
      <c r="I248" t="s">
        <v>292</v>
      </c>
      <c r="J248" t="s">
        <v>393</v>
      </c>
      <c r="L248" t="s">
        <v>291</v>
      </c>
      <c r="M248" t="s">
        <v>473</v>
      </c>
      <c r="P248" t="s">
        <v>292</v>
      </c>
      <c r="R248" t="s">
        <v>341</v>
      </c>
      <c r="U248" t="s">
        <v>87</v>
      </c>
      <c r="V248" t="s">
        <v>87</v>
      </c>
      <c r="W248" t="s">
        <v>292</v>
      </c>
      <c r="Z248" t="s">
        <v>292</v>
      </c>
      <c r="AC248" t="s">
        <v>292</v>
      </c>
      <c r="AD248" t="s">
        <v>87</v>
      </c>
      <c r="AE248" t="s">
        <v>87</v>
      </c>
      <c r="AF248" t="s">
        <v>292</v>
      </c>
    </row>
    <row r="249" spans="1:32" x14ac:dyDescent="0.3">
      <c r="A249" t="s">
        <v>813</v>
      </c>
      <c r="C249" t="s">
        <v>291</v>
      </c>
      <c r="D249" t="s">
        <v>675</v>
      </c>
      <c r="F249" t="s">
        <v>291</v>
      </c>
      <c r="I249" t="s">
        <v>292</v>
      </c>
      <c r="J249" t="s">
        <v>78</v>
      </c>
      <c r="L249" t="s">
        <v>291</v>
      </c>
      <c r="M249" t="s">
        <v>473</v>
      </c>
      <c r="P249" t="s">
        <v>292</v>
      </c>
      <c r="Q249" t="s">
        <v>684</v>
      </c>
      <c r="R249" t="s">
        <v>478</v>
      </c>
      <c r="S249" t="s">
        <v>759</v>
      </c>
      <c r="U249" t="s">
        <v>260</v>
      </c>
      <c r="V249" t="s">
        <v>87</v>
      </c>
      <c r="W249" t="s">
        <v>291</v>
      </c>
      <c r="Z249" t="s">
        <v>292</v>
      </c>
      <c r="AC249" t="s">
        <v>292</v>
      </c>
      <c r="AD249" t="s">
        <v>87</v>
      </c>
      <c r="AE249" t="s">
        <v>87</v>
      </c>
      <c r="AF249" t="s">
        <v>292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137CA-A576-419C-884E-D7BF8A2772FE}">
  <sheetPr codeName="Sheet21">
    <tabColor theme="7" tint="0.39997558519241921"/>
  </sheetPr>
  <dimension ref="A1:BZ215"/>
  <sheetViews>
    <sheetView workbookViewId="0">
      <selection activeCell="A2" sqref="A2:BZ1117"/>
    </sheetView>
  </sheetViews>
  <sheetFormatPr defaultRowHeight="14.4" x14ac:dyDescent="0.3"/>
  <cols>
    <col min="1" max="1" width="18.6640625" customWidth="1"/>
    <col min="2" max="2" width="23" customWidth="1"/>
    <col min="3" max="3" width="10.88671875" customWidth="1"/>
    <col min="4" max="4" width="19.44140625" customWidth="1"/>
    <col min="5" max="5" width="13.88671875" customWidth="1"/>
    <col min="6" max="6" width="10.88671875" customWidth="1"/>
    <col min="7" max="7" width="27.5546875" bestFit="1" customWidth="1"/>
    <col min="8" max="8" width="13.88671875" customWidth="1"/>
    <col min="9" max="9" width="11.6640625" customWidth="1"/>
    <col min="10" max="10" width="10.5546875" customWidth="1"/>
    <col min="11" max="11" width="20.6640625" customWidth="1"/>
    <col min="12" max="12" width="20.33203125" customWidth="1"/>
    <col min="13" max="13" width="25.44140625" customWidth="1"/>
    <col min="14" max="14" width="21.5546875" customWidth="1"/>
    <col min="15" max="15" width="21.88671875" customWidth="1"/>
  </cols>
  <sheetData>
    <row r="1" spans="1:78" ht="15" thickBot="1" x14ac:dyDescent="0.35">
      <c r="A1" s="4" t="s">
        <v>128</v>
      </c>
      <c r="B1" s="4" t="s">
        <v>133</v>
      </c>
      <c r="C1" s="4" t="s">
        <v>63</v>
      </c>
      <c r="D1" s="4" t="s">
        <v>130</v>
      </c>
      <c r="E1" s="4" t="s">
        <v>275</v>
      </c>
      <c r="F1" s="4" t="s">
        <v>274</v>
      </c>
      <c r="G1" s="4" t="s">
        <v>10</v>
      </c>
      <c r="H1" t="s">
        <v>185</v>
      </c>
      <c r="I1" s="4" t="s">
        <v>6</v>
      </c>
      <c r="J1" s="4" t="s">
        <v>129</v>
      </c>
      <c r="K1" t="s">
        <v>186</v>
      </c>
      <c r="L1" t="s">
        <v>187</v>
      </c>
      <c r="M1" s="18" t="s">
        <v>72</v>
      </c>
      <c r="N1" s="4" t="s">
        <v>86</v>
      </c>
      <c r="O1" s="4" t="s">
        <v>132</v>
      </c>
      <c r="P1" t="s">
        <v>188</v>
      </c>
      <c r="Q1" s="4" t="s">
        <v>131</v>
      </c>
      <c r="R1" s="4" t="s">
        <v>7</v>
      </c>
      <c r="S1" s="4" t="s">
        <v>15</v>
      </c>
      <c r="T1" t="s">
        <v>134</v>
      </c>
      <c r="U1" t="s">
        <v>395</v>
      </c>
      <c r="V1" t="s">
        <v>396</v>
      </c>
      <c r="W1" t="s">
        <v>397</v>
      </c>
      <c r="X1" t="s">
        <v>398</v>
      </c>
      <c r="Y1" t="s">
        <v>399</v>
      </c>
      <c r="Z1" t="s">
        <v>400</v>
      </c>
      <c r="AA1" t="s">
        <v>401</v>
      </c>
      <c r="AB1" t="s">
        <v>402</v>
      </c>
      <c r="AC1" t="s">
        <v>403</v>
      </c>
      <c r="AD1" t="s">
        <v>404</v>
      </c>
      <c r="AE1" t="s">
        <v>405</v>
      </c>
      <c r="AF1" t="s">
        <v>406</v>
      </c>
      <c r="AG1" t="s">
        <v>407</v>
      </c>
      <c r="AH1" t="s">
        <v>408</v>
      </c>
      <c r="AI1" t="s">
        <v>409</v>
      </c>
      <c r="AJ1" t="s">
        <v>410</v>
      </c>
      <c r="AK1" t="s">
        <v>411</v>
      </c>
      <c r="AL1" t="s">
        <v>412</v>
      </c>
      <c r="AM1" t="s">
        <v>413</v>
      </c>
      <c r="AN1" t="s">
        <v>414</v>
      </c>
      <c r="AO1" t="s">
        <v>415</v>
      </c>
      <c r="AP1" t="s">
        <v>416</v>
      </c>
      <c r="AQ1" t="s">
        <v>417</v>
      </c>
      <c r="AR1" t="s">
        <v>418</v>
      </c>
      <c r="AS1" t="s">
        <v>419</v>
      </c>
      <c r="AT1" t="s">
        <v>420</v>
      </c>
      <c r="AU1" t="s">
        <v>421</v>
      </c>
      <c r="AV1" t="s">
        <v>422</v>
      </c>
      <c r="AW1" t="s">
        <v>423</v>
      </c>
      <c r="AX1" t="s">
        <v>424</v>
      </c>
      <c r="AY1" t="s">
        <v>425</v>
      </c>
      <c r="AZ1" t="s">
        <v>426</v>
      </c>
      <c r="BA1" t="s">
        <v>427</v>
      </c>
      <c r="BB1" t="s">
        <v>428</v>
      </c>
      <c r="BC1" t="s">
        <v>429</v>
      </c>
      <c r="BD1" t="s">
        <v>430</v>
      </c>
      <c r="BE1" t="s">
        <v>431</v>
      </c>
      <c r="BF1" t="s">
        <v>432</v>
      </c>
      <c r="BG1" t="s">
        <v>433</v>
      </c>
      <c r="BH1" t="s">
        <v>434</v>
      </c>
      <c r="BI1" t="s">
        <v>435</v>
      </c>
      <c r="BJ1" t="s">
        <v>436</v>
      </c>
      <c r="BK1" t="s">
        <v>437</v>
      </c>
      <c r="BL1" t="s">
        <v>438</v>
      </c>
      <c r="BM1" t="s">
        <v>439</v>
      </c>
      <c r="BN1" t="s">
        <v>440</v>
      </c>
      <c r="BO1" t="s">
        <v>441</v>
      </c>
      <c r="BP1" t="s">
        <v>442</v>
      </c>
      <c r="BQ1" t="s">
        <v>443</v>
      </c>
      <c r="BR1" t="s">
        <v>444</v>
      </c>
      <c r="BS1" t="s">
        <v>445</v>
      </c>
      <c r="BT1" t="s">
        <v>446</v>
      </c>
      <c r="BU1" t="s">
        <v>447</v>
      </c>
      <c r="BV1" t="s">
        <v>448</v>
      </c>
      <c r="BW1" t="s">
        <v>449</v>
      </c>
      <c r="BX1" t="s">
        <v>450</v>
      </c>
      <c r="BY1" t="s">
        <v>451</v>
      </c>
      <c r="BZ1" t="s">
        <v>452</v>
      </c>
    </row>
    <row r="2" spans="1:78" ht="15.6" thickTop="1" thickBot="1" x14ac:dyDescent="0.35">
      <c r="BD2" s="1"/>
      <c r="BJ2" s="11"/>
      <c r="BN2" s="11"/>
      <c r="BU2" s="11"/>
      <c r="BX2" s="61"/>
      <c r="BY2" s="61"/>
      <c r="BZ2" s="61"/>
    </row>
    <row r="3" spans="1:78" ht="15.6" thickTop="1" thickBot="1" x14ac:dyDescent="0.35">
      <c r="AV3" s="1"/>
      <c r="BA3" s="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0"/>
      <c r="BY3" s="10"/>
      <c r="BZ3" s="10"/>
    </row>
    <row r="4" spans="1:78" ht="15" thickTop="1" x14ac:dyDescent="0.3">
      <c r="AV4" s="1"/>
      <c r="BA4" s="1"/>
      <c r="BE4" s="1"/>
    </row>
    <row r="5" spans="1:78" x14ac:dyDescent="0.3">
      <c r="BA5" s="1"/>
    </row>
    <row r="6" spans="1:78" x14ac:dyDescent="0.3">
      <c r="AG6" s="1"/>
      <c r="AU6" s="1"/>
      <c r="AV6" s="1"/>
      <c r="BA6" s="1"/>
      <c r="BE6" s="1"/>
    </row>
    <row r="7" spans="1:78" x14ac:dyDescent="0.3">
      <c r="AG7" s="1"/>
      <c r="AU7" s="1"/>
      <c r="AV7" s="1"/>
      <c r="BA7" s="1"/>
      <c r="BE7" s="1"/>
    </row>
    <row r="8" spans="1:78" x14ac:dyDescent="0.3">
      <c r="AV8" s="1"/>
      <c r="BA8" s="1"/>
      <c r="BE8" s="1"/>
    </row>
    <row r="9" spans="1:78" x14ac:dyDescent="0.3">
      <c r="AE9" s="1"/>
      <c r="AK9" s="1"/>
      <c r="BD9" s="1"/>
    </row>
    <row r="10" spans="1:78" x14ac:dyDescent="0.3">
      <c r="AE10" s="1"/>
      <c r="AK10" s="1"/>
      <c r="BD10" s="1"/>
    </row>
    <row r="11" spans="1:78" x14ac:dyDescent="0.3">
      <c r="AE11" s="1"/>
      <c r="AK11" s="1"/>
      <c r="BD11" s="1"/>
    </row>
    <row r="12" spans="1:78" x14ac:dyDescent="0.3">
      <c r="AE12" s="1"/>
      <c r="AK12" s="1"/>
      <c r="BD12" s="1"/>
    </row>
    <row r="13" spans="1:78" x14ac:dyDescent="0.3">
      <c r="AE13" s="1"/>
      <c r="AK13" s="1"/>
      <c r="BD13" s="1"/>
    </row>
    <row r="14" spans="1:78" x14ac:dyDescent="0.3">
      <c r="AE14" s="1"/>
      <c r="AK14" s="1"/>
      <c r="BD14" s="1"/>
    </row>
    <row r="15" spans="1:78" x14ac:dyDescent="0.3">
      <c r="AG15" s="1"/>
      <c r="AU15" s="1"/>
      <c r="AV15" s="1"/>
      <c r="BA15" s="1"/>
      <c r="BD15" s="1"/>
    </row>
    <row r="16" spans="1:78" x14ac:dyDescent="0.3">
      <c r="AE16" s="1"/>
      <c r="AK16" s="1"/>
      <c r="BD16" s="1"/>
    </row>
    <row r="17" spans="31:57" x14ac:dyDescent="0.3">
      <c r="AE17" s="1"/>
      <c r="AK17" s="1"/>
      <c r="BD17" s="1"/>
    </row>
    <row r="18" spans="31:57" x14ac:dyDescent="0.3">
      <c r="AE18" s="1"/>
      <c r="AK18" s="1"/>
      <c r="BD18" s="1"/>
    </row>
    <row r="19" spans="31:57" x14ac:dyDescent="0.3">
      <c r="AE19" s="1"/>
      <c r="AK19" s="1"/>
      <c r="BD19" s="1"/>
    </row>
    <row r="20" spans="31:57" x14ac:dyDescent="0.3">
      <c r="AE20" s="1"/>
      <c r="AK20" s="1"/>
      <c r="BD20" s="1"/>
    </row>
    <row r="21" spans="31:57" x14ac:dyDescent="0.3">
      <c r="AE21" s="1"/>
      <c r="AK21" s="1"/>
      <c r="BD21" s="1"/>
    </row>
    <row r="22" spans="31:57" x14ac:dyDescent="0.3">
      <c r="AE22" s="1"/>
      <c r="AK22" s="1"/>
      <c r="BD22" s="1"/>
    </row>
    <row r="23" spans="31:57" x14ac:dyDescent="0.3">
      <c r="AE23" s="1"/>
      <c r="AK23" s="1"/>
      <c r="BD23" s="1"/>
    </row>
    <row r="24" spans="31:57" x14ac:dyDescent="0.3">
      <c r="AE24" s="1"/>
      <c r="AK24" s="1"/>
      <c r="BD24" s="1"/>
    </row>
    <row r="25" spans="31:57" x14ac:dyDescent="0.3">
      <c r="AE25" s="1"/>
      <c r="AK25" s="1"/>
      <c r="BD25" s="1"/>
    </row>
    <row r="26" spans="31:57" x14ac:dyDescent="0.3">
      <c r="AG26" s="1"/>
      <c r="AU26" s="1"/>
      <c r="AV26" s="1"/>
      <c r="BA26" s="1"/>
      <c r="BD26" s="1"/>
      <c r="BE26" s="1"/>
    </row>
    <row r="27" spans="31:57" x14ac:dyDescent="0.3">
      <c r="AG27" s="1"/>
      <c r="AU27" s="1"/>
      <c r="AV27" s="1"/>
      <c r="BA27" s="1"/>
      <c r="BD27" s="1"/>
      <c r="BE27" s="1"/>
    </row>
    <row r="28" spans="31:57" x14ac:dyDescent="0.3">
      <c r="AV28" s="1"/>
      <c r="BA28" s="1"/>
      <c r="BD28" s="1"/>
    </row>
    <row r="29" spans="31:57" x14ac:dyDescent="0.3">
      <c r="AE29" s="1"/>
      <c r="BD29" s="1"/>
    </row>
    <row r="30" spans="31:57" x14ac:dyDescent="0.3">
      <c r="AE30" s="1"/>
      <c r="BD30" s="1"/>
    </row>
    <row r="31" spans="31:57" x14ac:dyDescent="0.3">
      <c r="AE31" s="1"/>
      <c r="BD31" s="1"/>
    </row>
    <row r="32" spans="31:57" x14ac:dyDescent="0.3">
      <c r="AE32" s="1"/>
      <c r="BD32" s="1"/>
    </row>
    <row r="33" spans="31:56" x14ac:dyDescent="0.3">
      <c r="AE33" s="1"/>
      <c r="BD33" s="1"/>
    </row>
    <row r="34" spans="31:56" x14ac:dyDescent="0.3">
      <c r="AE34" s="1"/>
      <c r="BD34" s="1"/>
    </row>
    <row r="35" spans="31:56" x14ac:dyDescent="0.3">
      <c r="AE35" s="1"/>
      <c r="BD35" s="1"/>
    </row>
    <row r="36" spans="31:56" x14ac:dyDescent="0.3">
      <c r="AE36" s="1"/>
      <c r="BD36" s="1"/>
    </row>
    <row r="37" spans="31:56" x14ac:dyDescent="0.3">
      <c r="AE37" s="1"/>
      <c r="BD37" s="1"/>
    </row>
    <row r="38" spans="31:56" x14ac:dyDescent="0.3">
      <c r="AE38" s="1"/>
      <c r="BD38" s="1"/>
    </row>
    <row r="39" spans="31:56" x14ac:dyDescent="0.3">
      <c r="AV39" s="1"/>
      <c r="BA39" s="1"/>
      <c r="BD39" s="1"/>
    </row>
    <row r="40" spans="31:56" x14ac:dyDescent="0.3">
      <c r="AV40" s="1"/>
      <c r="BA40" s="1"/>
      <c r="BD40" s="1"/>
    </row>
    <row r="41" spans="31:56" x14ac:dyDescent="0.3">
      <c r="AV41" s="1"/>
      <c r="BA41" s="1"/>
      <c r="BD41" s="1"/>
    </row>
    <row r="42" spans="31:56" x14ac:dyDescent="0.3">
      <c r="AE42" s="1"/>
      <c r="BA42" s="1"/>
      <c r="BD42" s="1"/>
    </row>
    <row r="43" spans="31:56" x14ac:dyDescent="0.3">
      <c r="AE43" s="1"/>
      <c r="BA43" s="1"/>
      <c r="BD43" s="1"/>
    </row>
    <row r="44" spans="31:56" x14ac:dyDescent="0.3">
      <c r="AE44" s="1"/>
      <c r="BA44" s="1"/>
      <c r="BD44" s="1"/>
    </row>
    <row r="45" spans="31:56" x14ac:dyDescent="0.3">
      <c r="AE45" s="1"/>
      <c r="BA45" s="1"/>
      <c r="BD45" s="1"/>
    </row>
    <row r="46" spans="31:56" x14ac:dyDescent="0.3">
      <c r="AE46" s="1"/>
      <c r="BA46" s="1"/>
      <c r="BD46" s="1"/>
    </row>
    <row r="47" spans="31:56" x14ac:dyDescent="0.3">
      <c r="AE47" s="1"/>
      <c r="BA47" s="1"/>
      <c r="BD47" s="1"/>
    </row>
    <row r="48" spans="31:56" x14ac:dyDescent="0.3">
      <c r="AE48" s="1"/>
      <c r="BA48" s="1"/>
      <c r="BD48" s="1"/>
    </row>
    <row r="49" spans="31:56" x14ac:dyDescent="0.3">
      <c r="AE49" s="1"/>
      <c r="BA49" s="1"/>
      <c r="BD49" s="1"/>
    </row>
    <row r="50" spans="31:56" x14ac:dyDescent="0.3">
      <c r="AE50" s="1"/>
      <c r="AK50" s="1"/>
      <c r="BA50" s="1"/>
      <c r="BD50" s="1"/>
    </row>
    <row r="51" spans="31:56" x14ac:dyDescent="0.3">
      <c r="AE51" s="1"/>
      <c r="BA51" s="1"/>
      <c r="BD51" s="1"/>
    </row>
    <row r="52" spans="31:56" x14ac:dyDescent="0.3">
      <c r="AE52" s="1"/>
      <c r="BA52" s="1"/>
      <c r="BD52" s="1"/>
    </row>
    <row r="53" spans="31:56" x14ac:dyDescent="0.3">
      <c r="AE53" s="1"/>
      <c r="AK53" s="1"/>
      <c r="BA53" s="1"/>
      <c r="BD53" s="1"/>
    </row>
    <row r="54" spans="31:56" x14ac:dyDescent="0.3">
      <c r="AE54" s="1"/>
      <c r="BA54" s="1"/>
      <c r="BD54" s="1"/>
    </row>
    <row r="55" spans="31:56" x14ac:dyDescent="0.3">
      <c r="AE55" s="1"/>
      <c r="BA55" s="1"/>
      <c r="BD55" s="1"/>
    </row>
    <row r="56" spans="31:56" x14ac:dyDescent="0.3">
      <c r="AE56" s="1"/>
      <c r="BA56" s="1"/>
      <c r="BD56" s="1"/>
    </row>
    <row r="57" spans="31:56" x14ac:dyDescent="0.3">
      <c r="AE57" s="1"/>
      <c r="BA57" s="1"/>
      <c r="BD57" s="1"/>
    </row>
    <row r="58" spans="31:56" x14ac:dyDescent="0.3">
      <c r="AE58" s="1"/>
      <c r="BA58" s="1"/>
      <c r="BD58" s="1"/>
    </row>
    <row r="59" spans="31:56" x14ac:dyDescent="0.3">
      <c r="AE59" s="1"/>
      <c r="AK59" s="1"/>
      <c r="BA59" s="1"/>
      <c r="BD59" s="1"/>
    </row>
    <row r="60" spans="31:56" x14ac:dyDescent="0.3">
      <c r="AE60" s="1"/>
      <c r="BA60" s="1"/>
      <c r="BD60" s="1"/>
    </row>
    <row r="61" spans="31:56" x14ac:dyDescent="0.3">
      <c r="AE61" s="1"/>
      <c r="BA61" s="1"/>
      <c r="BD61" s="1"/>
    </row>
    <row r="62" spans="31:56" x14ac:dyDescent="0.3">
      <c r="AE62" s="1"/>
      <c r="BA62" s="1"/>
      <c r="BD62" s="1"/>
    </row>
    <row r="63" spans="31:56" x14ac:dyDescent="0.3">
      <c r="AE63" s="1"/>
      <c r="BA63" s="1"/>
      <c r="BD63" s="1"/>
    </row>
    <row r="64" spans="31:56" x14ac:dyDescent="0.3">
      <c r="AE64" s="1"/>
      <c r="BA64" s="1"/>
      <c r="BD64" s="1"/>
    </row>
    <row r="65" spans="31:56" x14ac:dyDescent="0.3">
      <c r="AE65" s="1"/>
      <c r="BA65" s="1"/>
      <c r="BD65" s="1"/>
    </row>
    <row r="66" spans="31:56" x14ac:dyDescent="0.3">
      <c r="AE66" s="1"/>
      <c r="BA66" s="1"/>
      <c r="BD66" s="1"/>
    </row>
    <row r="67" spans="31:56" x14ac:dyDescent="0.3">
      <c r="AE67" s="1"/>
      <c r="AK67" s="1"/>
      <c r="BA67" s="1"/>
      <c r="BD67" s="1"/>
    </row>
    <row r="68" spans="31:56" x14ac:dyDescent="0.3">
      <c r="AE68" s="1"/>
      <c r="BA68" s="1"/>
      <c r="BD68" s="1"/>
    </row>
    <row r="69" spans="31:56" x14ac:dyDescent="0.3">
      <c r="AE69" s="1"/>
      <c r="BA69" s="1"/>
      <c r="BD69" s="1"/>
    </row>
    <row r="70" spans="31:56" x14ac:dyDescent="0.3">
      <c r="AE70" s="1"/>
      <c r="BA70" s="1"/>
      <c r="BD70" s="1"/>
    </row>
    <row r="71" spans="31:56" x14ac:dyDescent="0.3">
      <c r="AE71" s="1"/>
      <c r="BA71" s="1"/>
      <c r="BD71" s="1"/>
    </row>
    <row r="72" spans="31:56" x14ac:dyDescent="0.3">
      <c r="AE72" s="1"/>
      <c r="BA72" s="1"/>
      <c r="BD72" s="1"/>
    </row>
    <row r="73" spans="31:56" x14ac:dyDescent="0.3">
      <c r="AE73" s="1"/>
      <c r="BA73" s="1"/>
      <c r="BD73" s="1"/>
    </row>
    <row r="74" spans="31:56" x14ac:dyDescent="0.3">
      <c r="AE74" s="1"/>
      <c r="BA74" s="1"/>
      <c r="BD74" s="1"/>
    </row>
    <row r="75" spans="31:56" x14ac:dyDescent="0.3">
      <c r="AE75" s="1"/>
      <c r="BA75" s="1"/>
      <c r="BD75" s="1"/>
    </row>
    <row r="76" spans="31:56" x14ac:dyDescent="0.3">
      <c r="AE76" s="1"/>
      <c r="AK76" s="1"/>
      <c r="BA76" s="1"/>
      <c r="BD76" s="1"/>
    </row>
    <row r="77" spans="31:56" x14ac:dyDescent="0.3">
      <c r="AE77" s="1"/>
      <c r="BA77" s="1"/>
      <c r="BD77" s="1"/>
    </row>
    <row r="78" spans="31:56" x14ac:dyDescent="0.3">
      <c r="AE78" s="1"/>
      <c r="BA78" s="1"/>
      <c r="BD78" s="1"/>
    </row>
    <row r="79" spans="31:56" x14ac:dyDescent="0.3">
      <c r="AE79" s="1"/>
      <c r="BA79" s="1"/>
      <c r="BD79" s="1"/>
    </row>
    <row r="80" spans="31:56" x14ac:dyDescent="0.3">
      <c r="AE80" s="1"/>
      <c r="AK80" s="1"/>
      <c r="BA80" s="1"/>
      <c r="BD80" s="1"/>
    </row>
    <row r="81" spans="31:56" x14ac:dyDescent="0.3">
      <c r="AE81" s="1"/>
      <c r="BA81" s="1"/>
      <c r="BD81" s="1"/>
    </row>
    <row r="82" spans="31:56" x14ac:dyDescent="0.3">
      <c r="AE82" s="1"/>
      <c r="AK82" s="1"/>
      <c r="BA82" s="1"/>
      <c r="BD82" s="1"/>
    </row>
    <row r="83" spans="31:56" x14ac:dyDescent="0.3">
      <c r="AE83" s="1"/>
      <c r="BA83" s="1"/>
      <c r="BD83" s="1"/>
    </row>
    <row r="84" spans="31:56" x14ac:dyDescent="0.3">
      <c r="AE84" s="1"/>
      <c r="BA84" s="1"/>
      <c r="BD84" s="1"/>
    </row>
    <row r="85" spans="31:56" x14ac:dyDescent="0.3">
      <c r="AE85" s="1"/>
      <c r="BA85" s="1"/>
      <c r="BD85" s="1"/>
    </row>
    <row r="86" spans="31:56" x14ac:dyDescent="0.3">
      <c r="AE86" s="1"/>
      <c r="BA86" s="1"/>
      <c r="BD86" s="1"/>
    </row>
    <row r="87" spans="31:56" x14ac:dyDescent="0.3">
      <c r="AE87" s="1"/>
      <c r="BA87" s="1"/>
      <c r="BD87" s="1"/>
    </row>
    <row r="88" spans="31:56" x14ac:dyDescent="0.3">
      <c r="AE88" s="1"/>
      <c r="BA88" s="1"/>
      <c r="BD88" s="1"/>
    </row>
    <row r="89" spans="31:56" x14ac:dyDescent="0.3">
      <c r="AE89" s="1"/>
      <c r="BA89" s="1"/>
      <c r="BD89" s="1"/>
    </row>
    <row r="90" spans="31:56" x14ac:dyDescent="0.3">
      <c r="AE90" s="1"/>
      <c r="AK90" s="1"/>
      <c r="BA90" s="1"/>
      <c r="BD90" s="1"/>
    </row>
    <row r="91" spans="31:56" x14ac:dyDescent="0.3">
      <c r="AE91" s="1"/>
      <c r="BA91" s="1"/>
      <c r="BD91" s="1"/>
    </row>
    <row r="92" spans="31:56" x14ac:dyDescent="0.3">
      <c r="AE92" s="1"/>
      <c r="BA92" s="1"/>
      <c r="BD92" s="1"/>
    </row>
    <row r="93" spans="31:56" x14ac:dyDescent="0.3">
      <c r="AE93" s="1"/>
      <c r="AK93" s="1"/>
      <c r="BA93" s="1"/>
      <c r="BD93" s="1"/>
    </row>
    <row r="94" spans="31:56" x14ac:dyDescent="0.3">
      <c r="AE94" s="1"/>
      <c r="BA94" s="1"/>
      <c r="BD94" s="1"/>
    </row>
    <row r="95" spans="31:56" x14ac:dyDescent="0.3">
      <c r="AE95" s="1"/>
      <c r="BA95" s="1"/>
      <c r="BD95" s="1"/>
    </row>
    <row r="96" spans="31:56" x14ac:dyDescent="0.3">
      <c r="AE96" s="1"/>
      <c r="BA96" s="1"/>
      <c r="BD96" s="1"/>
    </row>
    <row r="97" spans="31:56" x14ac:dyDescent="0.3">
      <c r="AE97" s="1"/>
      <c r="BA97" s="1"/>
      <c r="BD97" s="1"/>
    </row>
    <row r="98" spans="31:56" x14ac:dyDescent="0.3">
      <c r="AE98" s="1"/>
      <c r="BA98" s="1"/>
      <c r="BD98" s="1"/>
    </row>
    <row r="99" spans="31:56" x14ac:dyDescent="0.3">
      <c r="AE99" s="1"/>
      <c r="BA99" s="1"/>
      <c r="BD99" s="1"/>
    </row>
    <row r="100" spans="31:56" x14ac:dyDescent="0.3">
      <c r="AE100" s="1"/>
      <c r="AK100" s="1"/>
      <c r="BA100" s="1"/>
      <c r="BD100" s="1"/>
    </row>
    <row r="101" spans="31:56" x14ac:dyDescent="0.3">
      <c r="AE101" s="1"/>
      <c r="BA101" s="1"/>
      <c r="BD101" s="1"/>
    </row>
    <row r="102" spans="31:56" x14ac:dyDescent="0.3">
      <c r="AE102" s="1"/>
      <c r="BA102" s="1"/>
      <c r="BD102" s="1"/>
    </row>
    <row r="103" spans="31:56" x14ac:dyDescent="0.3">
      <c r="AE103" s="1"/>
      <c r="BA103" s="1"/>
      <c r="BD103" s="1"/>
    </row>
    <row r="104" spans="31:56" x14ac:dyDescent="0.3">
      <c r="AE104" s="1"/>
      <c r="BA104" s="1"/>
      <c r="BD104" s="1"/>
    </row>
    <row r="105" spans="31:56" x14ac:dyDescent="0.3">
      <c r="AE105" s="1"/>
      <c r="BA105" s="1"/>
      <c r="BD105" s="1"/>
    </row>
    <row r="106" spans="31:56" x14ac:dyDescent="0.3">
      <c r="AE106" s="1"/>
      <c r="BA106" s="1"/>
      <c r="BD106" s="1"/>
    </row>
    <row r="107" spans="31:56" x14ac:dyDescent="0.3">
      <c r="AE107" s="1"/>
      <c r="BA107" s="1"/>
      <c r="BD107" s="1"/>
    </row>
    <row r="108" spans="31:56" x14ac:dyDescent="0.3">
      <c r="AE108" s="1"/>
      <c r="BA108" s="1"/>
      <c r="BD108" s="1"/>
    </row>
    <row r="109" spans="31:56" x14ac:dyDescent="0.3">
      <c r="AE109" s="1"/>
      <c r="BA109" s="1"/>
      <c r="BD109" s="1"/>
    </row>
    <row r="110" spans="31:56" x14ac:dyDescent="0.3">
      <c r="AE110" s="1"/>
      <c r="AK110" s="1"/>
      <c r="BA110" s="1"/>
      <c r="BD110" s="1"/>
    </row>
    <row r="111" spans="31:56" x14ac:dyDescent="0.3">
      <c r="AE111" s="1"/>
      <c r="BA111" s="1"/>
      <c r="BD111" s="1"/>
    </row>
    <row r="112" spans="31:56" x14ac:dyDescent="0.3">
      <c r="AE112" s="1"/>
      <c r="BA112" s="1"/>
      <c r="BD112" s="1"/>
    </row>
    <row r="113" spans="31:56" x14ac:dyDescent="0.3">
      <c r="AE113" s="1"/>
      <c r="BA113" s="1"/>
      <c r="BD113" s="1"/>
    </row>
    <row r="114" spans="31:56" x14ac:dyDescent="0.3">
      <c r="AE114" s="1"/>
      <c r="BA114" s="1"/>
      <c r="BD114" s="1"/>
    </row>
    <row r="115" spans="31:56" x14ac:dyDescent="0.3">
      <c r="AE115" s="1"/>
      <c r="BA115" s="1"/>
      <c r="BD115" s="1"/>
    </row>
    <row r="116" spans="31:56" x14ac:dyDescent="0.3">
      <c r="AE116" s="1"/>
      <c r="BA116" s="1"/>
      <c r="BD116" s="1"/>
    </row>
    <row r="117" spans="31:56" x14ac:dyDescent="0.3">
      <c r="AE117" s="1"/>
      <c r="BA117" s="1"/>
      <c r="BD117" s="1"/>
    </row>
    <row r="118" spans="31:56" x14ac:dyDescent="0.3">
      <c r="AE118" s="1"/>
      <c r="BA118" s="1"/>
      <c r="BD118" s="1"/>
    </row>
    <row r="119" spans="31:56" x14ac:dyDescent="0.3">
      <c r="AE119" s="1"/>
      <c r="BA119" s="1"/>
      <c r="BD119" s="1"/>
    </row>
    <row r="120" spans="31:56" x14ac:dyDescent="0.3">
      <c r="AE120" s="1"/>
      <c r="BA120" s="1"/>
      <c r="BD120" s="1"/>
    </row>
    <row r="121" spans="31:56" x14ac:dyDescent="0.3">
      <c r="AE121" s="1"/>
      <c r="BA121" s="1"/>
      <c r="BD121" s="1"/>
    </row>
    <row r="122" spans="31:56" x14ac:dyDescent="0.3">
      <c r="AE122" s="1"/>
      <c r="BA122" s="1"/>
      <c r="BD122" s="1"/>
    </row>
    <row r="123" spans="31:56" x14ac:dyDescent="0.3">
      <c r="AE123" s="1"/>
      <c r="BA123" s="1"/>
      <c r="BD123" s="1"/>
    </row>
    <row r="124" spans="31:56" x14ac:dyDescent="0.3">
      <c r="AE124" s="1"/>
      <c r="BA124" s="1"/>
      <c r="BD124" s="1"/>
    </row>
    <row r="125" spans="31:56" x14ac:dyDescent="0.3">
      <c r="AE125" s="1"/>
      <c r="BA125" s="1"/>
      <c r="BD125" s="1"/>
    </row>
    <row r="126" spans="31:56" x14ac:dyDescent="0.3">
      <c r="AE126" s="1"/>
      <c r="BA126" s="1"/>
      <c r="BD126" s="1"/>
    </row>
    <row r="127" spans="31:56" x14ac:dyDescent="0.3">
      <c r="AE127" s="1"/>
      <c r="BA127" s="1"/>
      <c r="BD127" s="1"/>
    </row>
    <row r="128" spans="31:56" x14ac:dyDescent="0.3">
      <c r="AE128" s="1"/>
      <c r="BA128" s="1"/>
      <c r="BD128" s="1"/>
    </row>
    <row r="129" spans="31:56" x14ac:dyDescent="0.3">
      <c r="AE129" s="1"/>
      <c r="BA129" s="1"/>
      <c r="BD129" s="1"/>
    </row>
    <row r="130" spans="31:56" x14ac:dyDescent="0.3">
      <c r="AE130" s="1"/>
      <c r="BA130" s="1"/>
      <c r="BD130" s="1"/>
    </row>
    <row r="131" spans="31:56" x14ac:dyDescent="0.3">
      <c r="AE131" s="1"/>
      <c r="BA131" s="1"/>
      <c r="BD131" s="1"/>
    </row>
    <row r="132" spans="31:56" x14ac:dyDescent="0.3">
      <c r="AE132" s="1"/>
      <c r="BA132" s="1"/>
      <c r="BD132" s="1"/>
    </row>
    <row r="133" spans="31:56" x14ac:dyDescent="0.3">
      <c r="AE133" s="1"/>
      <c r="BA133" s="1"/>
      <c r="BD133" s="1"/>
    </row>
    <row r="134" spans="31:56" x14ac:dyDescent="0.3">
      <c r="AE134" s="1"/>
      <c r="BA134" s="1"/>
      <c r="BD134" s="1"/>
    </row>
    <row r="135" spans="31:56" x14ac:dyDescent="0.3">
      <c r="AE135" s="1"/>
      <c r="BA135" s="1"/>
      <c r="BD135" s="1"/>
    </row>
    <row r="136" spans="31:56" x14ac:dyDescent="0.3">
      <c r="AE136" s="1"/>
      <c r="BA136" s="1"/>
      <c r="BD136" s="1"/>
    </row>
    <row r="137" spans="31:56" x14ac:dyDescent="0.3">
      <c r="AE137" s="1"/>
      <c r="BA137" s="1"/>
      <c r="BD137" s="1"/>
    </row>
    <row r="138" spans="31:56" x14ac:dyDescent="0.3">
      <c r="AE138" s="1"/>
      <c r="BA138" s="1"/>
      <c r="BD138" s="1"/>
    </row>
    <row r="139" spans="31:56" x14ac:dyDescent="0.3">
      <c r="AE139" s="1"/>
      <c r="BA139" s="1"/>
      <c r="BD139" s="1"/>
    </row>
    <row r="140" spans="31:56" x14ac:dyDescent="0.3">
      <c r="AE140" s="1"/>
      <c r="BA140" s="1"/>
      <c r="BD140" s="1"/>
    </row>
    <row r="141" spans="31:56" x14ac:dyDescent="0.3">
      <c r="AE141" s="1"/>
      <c r="BA141" s="1"/>
      <c r="BD141" s="1"/>
    </row>
    <row r="142" spans="31:56" x14ac:dyDescent="0.3">
      <c r="AE142" s="1"/>
      <c r="BA142" s="1"/>
      <c r="BD142" s="1"/>
    </row>
    <row r="143" spans="31:56" x14ac:dyDescent="0.3">
      <c r="AE143" s="1"/>
      <c r="BA143" s="1"/>
      <c r="BD143" s="1"/>
    </row>
    <row r="144" spans="31:56" x14ac:dyDescent="0.3">
      <c r="AE144" s="1"/>
      <c r="BA144" s="1"/>
      <c r="BD144" s="1"/>
    </row>
    <row r="145" spans="31:57" x14ac:dyDescent="0.3">
      <c r="AE145" s="1"/>
      <c r="BA145" s="1"/>
      <c r="BD145" s="1"/>
    </row>
    <row r="146" spans="31:57" x14ac:dyDescent="0.3">
      <c r="AE146" s="1"/>
      <c r="BA146" s="1"/>
      <c r="BD146" s="1"/>
    </row>
    <row r="147" spans="31:57" x14ac:dyDescent="0.3">
      <c r="AE147" s="1"/>
      <c r="BA147" s="1"/>
      <c r="BD147" s="1"/>
    </row>
    <row r="148" spans="31:57" x14ac:dyDescent="0.3">
      <c r="AE148" s="1"/>
      <c r="BA148" s="1"/>
      <c r="BD148" s="1"/>
    </row>
    <row r="149" spans="31:57" x14ac:dyDescent="0.3">
      <c r="AE149" s="1"/>
      <c r="BA149" s="1"/>
      <c r="BD149" s="1"/>
    </row>
    <row r="150" spans="31:57" x14ac:dyDescent="0.3">
      <c r="AE150" s="1"/>
      <c r="BA150" s="1"/>
      <c r="BD150" s="1"/>
    </row>
    <row r="151" spans="31:57" x14ac:dyDescent="0.3">
      <c r="AE151" s="1"/>
      <c r="BA151" s="1"/>
      <c r="BD151" s="1"/>
    </row>
    <row r="152" spans="31:57" x14ac:dyDescent="0.3">
      <c r="AE152" s="1"/>
      <c r="AK152" s="1"/>
      <c r="BA152" s="1"/>
      <c r="BD152" s="1"/>
    </row>
    <row r="153" spans="31:57" x14ac:dyDescent="0.3">
      <c r="AE153" s="1"/>
      <c r="BA153" s="1"/>
      <c r="BD153" s="1"/>
    </row>
    <row r="154" spans="31:57" x14ac:dyDescent="0.3">
      <c r="AV154" s="1"/>
      <c r="BA154" s="1"/>
      <c r="BD154" s="1"/>
    </row>
    <row r="155" spans="31:57" x14ac:dyDescent="0.3">
      <c r="AG155" s="1"/>
      <c r="AU155" s="1"/>
      <c r="AV155" s="1"/>
      <c r="BA155" s="1"/>
      <c r="BD155" s="1"/>
      <c r="BE155" s="1"/>
    </row>
    <row r="156" spans="31:57" x14ac:dyDescent="0.3">
      <c r="AV156" s="1"/>
      <c r="BA156" s="1"/>
      <c r="BD156" s="1"/>
    </row>
    <row r="157" spans="31:57" x14ac:dyDescent="0.3">
      <c r="AV157" s="1"/>
      <c r="BA157" s="1"/>
      <c r="BD157" s="1"/>
    </row>
    <row r="158" spans="31:57" x14ac:dyDescent="0.3">
      <c r="AG158" s="1"/>
      <c r="AU158" s="1"/>
      <c r="AV158" s="1"/>
      <c r="BA158" s="1"/>
      <c r="BD158" s="1"/>
      <c r="BE158" s="1"/>
    </row>
    <row r="159" spans="31:57" x14ac:dyDescent="0.3">
      <c r="AV159" s="1"/>
      <c r="BA159" s="1"/>
      <c r="BD159" s="1"/>
    </row>
    <row r="160" spans="31:57" x14ac:dyDescent="0.3">
      <c r="AV160" s="1"/>
      <c r="BA160" s="1"/>
      <c r="BD160" s="1"/>
      <c r="BE160" s="1"/>
    </row>
    <row r="161" spans="31:57" x14ac:dyDescent="0.3">
      <c r="AV161" s="1"/>
      <c r="BA161" s="1"/>
      <c r="BD161" s="1"/>
      <c r="BE161" s="1"/>
    </row>
    <row r="162" spans="31:57" x14ac:dyDescent="0.3">
      <c r="AV162" s="1"/>
      <c r="BA162" s="1"/>
      <c r="BD162" s="1"/>
    </row>
    <row r="163" spans="31:57" x14ac:dyDescent="0.3">
      <c r="AV163" s="1"/>
      <c r="BA163" s="1"/>
      <c r="BD163" s="1"/>
      <c r="BE163" s="1"/>
    </row>
    <row r="164" spans="31:57" x14ac:dyDescent="0.3">
      <c r="AV164" s="1"/>
      <c r="BA164" s="1"/>
      <c r="BD164" s="1"/>
      <c r="BE164" s="1"/>
    </row>
    <row r="165" spans="31:57" x14ac:dyDescent="0.3">
      <c r="AV165" s="1"/>
      <c r="BA165" s="1"/>
      <c r="BD165" s="1"/>
    </row>
    <row r="166" spans="31:57" x14ac:dyDescent="0.3">
      <c r="AV166" s="1"/>
      <c r="BA166" s="1"/>
      <c r="BD166" s="1"/>
    </row>
    <row r="167" spans="31:57" x14ac:dyDescent="0.3">
      <c r="AV167" s="1"/>
      <c r="BA167" s="1"/>
      <c r="BD167" s="1"/>
    </row>
    <row r="168" spans="31:57" x14ac:dyDescent="0.3">
      <c r="AE168" s="1"/>
      <c r="BD168" s="1"/>
    </row>
    <row r="169" spans="31:57" x14ac:dyDescent="0.3">
      <c r="AE169" s="1"/>
      <c r="BD169" s="1"/>
    </row>
    <row r="170" spans="31:57" x14ac:dyDescent="0.3">
      <c r="AE170" s="1"/>
      <c r="BD170" s="1"/>
    </row>
    <row r="171" spans="31:57" x14ac:dyDescent="0.3">
      <c r="AE171" s="1"/>
      <c r="BD171" s="1"/>
    </row>
    <row r="172" spans="31:57" x14ac:dyDescent="0.3">
      <c r="AE172" s="1"/>
      <c r="BD172" s="1"/>
    </row>
    <row r="173" spans="31:57" x14ac:dyDescent="0.3">
      <c r="AE173" s="1"/>
      <c r="BD173" s="1"/>
    </row>
    <row r="174" spans="31:57" x14ac:dyDescent="0.3">
      <c r="AE174" s="1"/>
      <c r="BD174" s="1"/>
    </row>
    <row r="175" spans="31:57" x14ac:dyDescent="0.3">
      <c r="AE175" s="1"/>
      <c r="BA175" s="1"/>
      <c r="BD175" s="1"/>
    </row>
    <row r="176" spans="31:57" x14ac:dyDescent="0.3">
      <c r="AE176" s="1"/>
      <c r="BA176" s="1"/>
      <c r="BD176" s="1"/>
    </row>
    <row r="177" spans="31:56" x14ac:dyDescent="0.3">
      <c r="AE177" s="1"/>
      <c r="BA177" s="1"/>
      <c r="BD177" s="1"/>
    </row>
    <row r="178" spans="31:56" x14ac:dyDescent="0.3">
      <c r="AE178" s="1"/>
      <c r="BA178" s="1"/>
      <c r="BD178" s="1"/>
    </row>
    <row r="179" spans="31:56" x14ac:dyDescent="0.3">
      <c r="AE179" s="1"/>
      <c r="BA179" s="1"/>
      <c r="BD179" s="1"/>
    </row>
    <row r="180" spans="31:56" x14ac:dyDescent="0.3">
      <c r="AE180" s="1"/>
      <c r="BA180" s="1"/>
      <c r="BD180" s="1"/>
    </row>
    <row r="181" spans="31:56" x14ac:dyDescent="0.3">
      <c r="AE181" s="1"/>
      <c r="BA181" s="1"/>
      <c r="BD181" s="1"/>
    </row>
    <row r="182" spans="31:56" x14ac:dyDescent="0.3">
      <c r="AE182" s="1"/>
      <c r="BA182" s="1"/>
      <c r="BD182" s="1"/>
    </row>
    <row r="183" spans="31:56" x14ac:dyDescent="0.3">
      <c r="AE183" s="1"/>
      <c r="BA183" s="1"/>
      <c r="BD183" s="1"/>
    </row>
    <row r="184" spans="31:56" x14ac:dyDescent="0.3">
      <c r="AE184" s="1"/>
      <c r="BA184" s="1"/>
      <c r="BD184" s="1"/>
    </row>
    <row r="185" spans="31:56" x14ac:dyDescent="0.3">
      <c r="AE185" s="1"/>
      <c r="BA185" s="1"/>
      <c r="BD185" s="1"/>
    </row>
    <row r="186" spans="31:56" x14ac:dyDescent="0.3">
      <c r="AE186" s="1"/>
      <c r="BA186" s="1"/>
      <c r="BD186" s="1"/>
    </row>
    <row r="187" spans="31:56" x14ac:dyDescent="0.3">
      <c r="AE187" s="1"/>
      <c r="BA187" s="1"/>
      <c r="BD187" s="1"/>
    </row>
    <row r="188" spans="31:56" x14ac:dyDescent="0.3">
      <c r="AE188" s="1"/>
      <c r="BA188" s="1"/>
      <c r="BD188" s="1"/>
    </row>
    <row r="189" spans="31:56" x14ac:dyDescent="0.3">
      <c r="AE189" s="1"/>
      <c r="BA189" s="1"/>
      <c r="BD189" s="1"/>
    </row>
    <row r="190" spans="31:56" x14ac:dyDescent="0.3">
      <c r="AE190" s="1"/>
      <c r="BA190" s="1"/>
      <c r="BD190" s="1"/>
    </row>
    <row r="191" spans="31:56" x14ac:dyDescent="0.3">
      <c r="AE191" s="1"/>
      <c r="BA191" s="1"/>
      <c r="BD191" s="1"/>
    </row>
    <row r="192" spans="31:56" x14ac:dyDescent="0.3">
      <c r="AE192" s="1"/>
      <c r="BA192" s="1"/>
      <c r="BD192" s="1"/>
    </row>
    <row r="193" spans="31:56" x14ac:dyDescent="0.3">
      <c r="AE193" s="1"/>
      <c r="BA193" s="1"/>
      <c r="BD193" s="1"/>
    </row>
    <row r="194" spans="31:56" x14ac:dyDescent="0.3">
      <c r="AE194" s="1"/>
      <c r="BA194" s="1"/>
      <c r="BD194" s="1"/>
    </row>
    <row r="195" spans="31:56" x14ac:dyDescent="0.3">
      <c r="AE195" s="1"/>
      <c r="BA195" s="1"/>
      <c r="BD195" s="1"/>
    </row>
    <row r="196" spans="31:56" x14ac:dyDescent="0.3">
      <c r="AE196" s="1"/>
      <c r="BA196" s="1"/>
      <c r="BD196" s="1"/>
    </row>
    <row r="197" spans="31:56" x14ac:dyDescent="0.3">
      <c r="AE197" s="1"/>
      <c r="BA197" s="1"/>
      <c r="BD197" s="1"/>
    </row>
    <row r="198" spans="31:56" x14ac:dyDescent="0.3">
      <c r="AE198" s="1"/>
      <c r="BA198" s="1"/>
      <c r="BD198" s="1"/>
    </row>
    <row r="199" spans="31:56" x14ac:dyDescent="0.3">
      <c r="AE199" s="1"/>
      <c r="BA199" s="1"/>
      <c r="BD199" s="1"/>
    </row>
    <row r="200" spans="31:56" x14ac:dyDescent="0.3">
      <c r="AE200" s="1"/>
      <c r="BA200" s="1"/>
      <c r="BD200" s="1"/>
    </row>
    <row r="201" spans="31:56" x14ac:dyDescent="0.3">
      <c r="AE201" s="1"/>
      <c r="BA201" s="1"/>
      <c r="BD201" s="1"/>
    </row>
    <row r="202" spans="31:56" x14ac:dyDescent="0.3">
      <c r="AE202" s="1"/>
      <c r="BA202" s="1"/>
      <c r="BD202" s="1"/>
    </row>
    <row r="203" spans="31:56" x14ac:dyDescent="0.3">
      <c r="AE203" s="1"/>
      <c r="BA203" s="1"/>
      <c r="BD203" s="1"/>
    </row>
    <row r="204" spans="31:56" x14ac:dyDescent="0.3">
      <c r="AE204" s="1"/>
      <c r="BA204" s="1"/>
      <c r="BD204" s="1"/>
    </row>
    <row r="205" spans="31:56" x14ac:dyDescent="0.3">
      <c r="AE205" s="1"/>
      <c r="BA205" s="1"/>
      <c r="BD205" s="1"/>
    </row>
    <row r="206" spans="31:56" x14ac:dyDescent="0.3">
      <c r="AE206" s="1"/>
      <c r="BA206" s="1"/>
      <c r="BD206" s="1"/>
    </row>
    <row r="207" spans="31:56" x14ac:dyDescent="0.3">
      <c r="AE207" s="1"/>
      <c r="BA207" s="1"/>
      <c r="BD207" s="1"/>
    </row>
    <row r="208" spans="31:56" x14ac:dyDescent="0.3">
      <c r="AE208" s="1"/>
      <c r="BA208" s="1"/>
      <c r="BD208" s="1"/>
    </row>
    <row r="209" spans="31:56" x14ac:dyDescent="0.3">
      <c r="AE209" s="1"/>
      <c r="BA209" s="1"/>
      <c r="BD209" s="1"/>
    </row>
    <row r="210" spans="31:56" x14ac:dyDescent="0.3">
      <c r="AE210" s="1"/>
      <c r="BA210" s="1"/>
      <c r="BD210" s="1"/>
    </row>
    <row r="211" spans="31:56" x14ac:dyDescent="0.3">
      <c r="AE211" s="1"/>
      <c r="BA211" s="1"/>
      <c r="BD211" s="1"/>
    </row>
    <row r="212" spans="31:56" x14ac:dyDescent="0.3">
      <c r="AE212" s="1"/>
      <c r="BA212" s="1"/>
      <c r="BD212" s="1"/>
    </row>
    <row r="213" spans="31:56" x14ac:dyDescent="0.3">
      <c r="AE213" s="1"/>
      <c r="BA213" s="1"/>
      <c r="BD213" s="1"/>
    </row>
    <row r="214" spans="31:56" x14ac:dyDescent="0.3">
      <c r="AE214" s="1"/>
      <c r="BA214" s="1"/>
      <c r="BD214" s="1"/>
    </row>
    <row r="215" spans="31:56" x14ac:dyDescent="0.3">
      <c r="AE215" s="1"/>
      <c r="BA215" s="1"/>
      <c r="BD215" s="1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EA14D-2C5D-47C9-B756-F06C093000B8}">
  <sheetPr codeName="Sheet22">
    <tabColor theme="7" tint="0.39997558519241921"/>
  </sheetPr>
  <dimension ref="A1:CC2"/>
  <sheetViews>
    <sheetView workbookViewId="0">
      <selection activeCell="A2" sqref="A2:CC692"/>
    </sheetView>
  </sheetViews>
  <sheetFormatPr defaultRowHeight="14.4" x14ac:dyDescent="0.3"/>
  <cols>
    <col min="4" max="4" width="10.109375" customWidth="1"/>
    <col min="5" max="5" width="15" customWidth="1"/>
    <col min="6" max="6" width="10" customWidth="1"/>
    <col min="8" max="8" width="12.109375" customWidth="1"/>
    <col min="13" max="13" width="9.88671875" customWidth="1"/>
    <col min="14" max="14" width="12.6640625" customWidth="1"/>
    <col min="29" max="29" width="10.88671875" customWidth="1"/>
    <col min="30" max="30" width="13.33203125" customWidth="1"/>
    <col min="31" max="31" width="9.5546875" customWidth="1"/>
    <col min="36" max="36" width="19.109375" bestFit="1" customWidth="1"/>
    <col min="37" max="37" width="22.109375" bestFit="1" customWidth="1"/>
    <col min="38" max="38" width="35.33203125" bestFit="1" customWidth="1"/>
    <col min="39" max="39" width="29.33203125" bestFit="1" customWidth="1"/>
    <col min="40" max="40" width="11" customWidth="1"/>
    <col min="41" max="41" width="26.6640625" bestFit="1" customWidth="1"/>
    <col min="45" max="45" width="9" customWidth="1"/>
    <col min="46" max="46" width="11" customWidth="1"/>
    <col min="47" max="47" width="10.109375" customWidth="1"/>
    <col min="49" max="49" width="16.6640625" customWidth="1"/>
    <col min="52" max="52" width="17.109375" customWidth="1"/>
    <col min="53" max="53" width="15.109375" customWidth="1"/>
    <col min="54" max="54" width="11.6640625" customWidth="1"/>
    <col min="59" max="59" width="12.88671875" customWidth="1"/>
    <col min="64" max="64" width="15.33203125" customWidth="1"/>
    <col min="65" max="65" width="9.5546875" customWidth="1"/>
    <col min="66" max="66" width="9" customWidth="1"/>
    <col min="67" max="67" width="9.6640625" customWidth="1"/>
    <col min="68" max="68" width="14.6640625" customWidth="1"/>
    <col min="70" max="70" width="16.109375" customWidth="1"/>
    <col min="71" max="71" width="12.6640625" customWidth="1"/>
    <col min="72" max="72" width="9.5546875" customWidth="1"/>
    <col min="73" max="73" width="10" customWidth="1"/>
    <col min="74" max="74" width="10.6640625" customWidth="1"/>
    <col min="77" max="77" width="11.44140625" customWidth="1"/>
    <col min="78" max="78" width="14.88671875" customWidth="1"/>
  </cols>
  <sheetData>
    <row r="1" spans="1:81" ht="15.6" thickTop="1" thickBot="1" x14ac:dyDescent="0.35">
      <c r="A1" s="10" t="s">
        <v>189</v>
      </c>
      <c r="B1" s="16" t="s">
        <v>128</v>
      </c>
      <c r="C1" s="16" t="s">
        <v>7</v>
      </c>
      <c r="D1" s="10" t="s">
        <v>103</v>
      </c>
      <c r="E1" s="10" t="s">
        <v>190</v>
      </c>
      <c r="F1" s="10" t="s">
        <v>191</v>
      </c>
      <c r="G1" s="10" t="s">
        <v>192</v>
      </c>
      <c r="H1" s="10" t="s">
        <v>193</v>
      </c>
      <c r="I1" s="16" t="s">
        <v>6</v>
      </c>
      <c r="J1" s="10" t="s">
        <v>194</v>
      </c>
      <c r="K1" s="10" t="s">
        <v>195</v>
      </c>
      <c r="L1" s="10" t="s">
        <v>196</v>
      </c>
      <c r="M1" s="10" t="s">
        <v>197</v>
      </c>
      <c r="N1" s="10" t="s">
        <v>198</v>
      </c>
      <c r="O1" s="10" t="s">
        <v>199</v>
      </c>
      <c r="P1" s="16" t="s">
        <v>132</v>
      </c>
      <c r="Q1" s="10" t="s">
        <v>200</v>
      </c>
      <c r="R1" s="16" t="s">
        <v>130</v>
      </c>
      <c r="S1" s="10" t="s">
        <v>201</v>
      </c>
      <c r="T1" s="10" t="s">
        <v>202</v>
      </c>
      <c r="U1" s="16" t="s">
        <v>86</v>
      </c>
      <c r="V1" s="10" t="s">
        <v>203</v>
      </c>
      <c r="W1" s="10" t="s">
        <v>204</v>
      </c>
      <c r="X1" s="10" t="s">
        <v>205</v>
      </c>
      <c r="Y1" s="10" t="s">
        <v>206</v>
      </c>
      <c r="Z1" s="10" t="s">
        <v>207</v>
      </c>
      <c r="AA1" s="10" t="s">
        <v>208</v>
      </c>
      <c r="AB1" s="10" t="s">
        <v>209</v>
      </c>
      <c r="AC1" s="10" t="s">
        <v>210</v>
      </c>
      <c r="AD1" s="10" t="s">
        <v>211</v>
      </c>
      <c r="AE1" s="11" t="s">
        <v>212</v>
      </c>
      <c r="AF1" s="11" t="s">
        <v>213</v>
      </c>
      <c r="AG1" s="11" t="s">
        <v>214</v>
      </c>
      <c r="AH1" s="11" t="s">
        <v>118</v>
      </c>
      <c r="AI1" s="11" t="s">
        <v>121</v>
      </c>
      <c r="AJ1" s="11" t="s">
        <v>215</v>
      </c>
      <c r="AK1" s="11" t="s">
        <v>216</v>
      </c>
      <c r="AL1" s="11" t="s">
        <v>217</v>
      </c>
      <c r="AM1" s="11" t="s">
        <v>218</v>
      </c>
      <c r="AN1" s="11" t="s">
        <v>109</v>
      </c>
      <c r="AO1" s="17" t="s">
        <v>10</v>
      </c>
      <c r="AP1" s="17" t="s">
        <v>133</v>
      </c>
      <c r="AQ1" s="11" t="s">
        <v>11</v>
      </c>
      <c r="AR1" s="11" t="s">
        <v>219</v>
      </c>
      <c r="AS1" s="11" t="s">
        <v>220</v>
      </c>
      <c r="AT1" s="17" t="s">
        <v>274</v>
      </c>
      <c r="AU1" s="11" t="s">
        <v>221</v>
      </c>
      <c r="AV1" s="11" t="s">
        <v>222</v>
      </c>
      <c r="AW1" s="11" t="s">
        <v>223</v>
      </c>
      <c r="AX1" s="17" t="s">
        <v>129</v>
      </c>
      <c r="AY1" s="17" t="s">
        <v>63</v>
      </c>
      <c r="AZ1" s="11" t="s">
        <v>224</v>
      </c>
      <c r="BA1" s="11" t="s">
        <v>225</v>
      </c>
      <c r="BB1" s="11" t="s">
        <v>226</v>
      </c>
      <c r="BC1" s="11" t="s">
        <v>227</v>
      </c>
      <c r="BD1" s="11" t="s">
        <v>228</v>
      </c>
      <c r="BE1" s="11" t="s">
        <v>229</v>
      </c>
      <c r="BF1" s="11" t="s">
        <v>230</v>
      </c>
      <c r="BG1" s="11" t="s">
        <v>231</v>
      </c>
      <c r="BH1" s="11" t="s">
        <v>264</v>
      </c>
      <c r="BI1" s="11" t="s">
        <v>232</v>
      </c>
      <c r="BJ1" s="11" t="s">
        <v>4</v>
      </c>
      <c r="BK1" s="11" t="s">
        <v>5</v>
      </c>
      <c r="BL1" s="11" t="s">
        <v>233</v>
      </c>
      <c r="BM1" s="11" t="s">
        <v>265</v>
      </c>
      <c r="BN1" s="11" t="s">
        <v>266</v>
      </c>
      <c r="BO1" s="11" t="s">
        <v>267</v>
      </c>
      <c r="BP1" s="11" t="s">
        <v>234</v>
      </c>
      <c r="BQ1" s="11" t="s">
        <v>268</v>
      </c>
      <c r="BR1" s="11" t="s">
        <v>269</v>
      </c>
      <c r="BS1" s="11" t="s">
        <v>270</v>
      </c>
      <c r="BT1" s="11" t="s">
        <v>271</v>
      </c>
      <c r="BU1" s="11" t="s">
        <v>272</v>
      </c>
      <c r="BV1" s="11" t="s">
        <v>273</v>
      </c>
      <c r="BW1" s="11" t="s">
        <v>235</v>
      </c>
      <c r="BX1" s="10" t="s">
        <v>236</v>
      </c>
      <c r="BY1" s="10" t="s">
        <v>237</v>
      </c>
      <c r="BZ1" s="10" t="s">
        <v>238</v>
      </c>
      <c r="CA1" s="16" t="s">
        <v>275</v>
      </c>
      <c r="CB1" s="16" t="s">
        <v>131</v>
      </c>
      <c r="CC1" s="16" t="s">
        <v>15</v>
      </c>
    </row>
    <row r="2" spans="1:81" ht="15" thickTop="1" x14ac:dyDescent="0.3"/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4DFF2-9EC6-4142-B17F-FC6ED12D714C}">
  <sheetPr codeName="Sheet23">
    <tabColor theme="7" tint="0.39997558519241921"/>
  </sheetPr>
  <dimension ref="A1:AC399"/>
  <sheetViews>
    <sheetView workbookViewId="0">
      <selection activeCell="A2" sqref="A2:AC399"/>
    </sheetView>
  </sheetViews>
  <sheetFormatPr defaultRowHeight="14.4" x14ac:dyDescent="0.3"/>
  <cols>
    <col min="2" max="2" width="13.33203125" customWidth="1"/>
    <col min="3" max="3" width="20.109375" customWidth="1"/>
    <col min="4" max="4" width="16.33203125" customWidth="1"/>
    <col min="5" max="5" width="20.44140625" customWidth="1"/>
    <col min="6" max="6" width="14.6640625" customWidth="1"/>
    <col min="7" max="7" width="24.33203125" customWidth="1"/>
    <col min="8" max="8" width="36.33203125" bestFit="1" customWidth="1"/>
    <col min="9" max="9" width="13.88671875" customWidth="1"/>
    <col min="11" max="11" width="12.33203125" customWidth="1"/>
    <col min="12" max="12" width="21.109375" customWidth="1"/>
    <col min="13" max="13" width="10.5546875" customWidth="1"/>
    <col min="14" max="14" width="21.33203125" customWidth="1"/>
    <col min="15" max="15" width="20.109375" customWidth="1"/>
    <col min="16" max="16" width="21.33203125" customWidth="1"/>
    <col min="17" max="17" width="19.109375" customWidth="1"/>
    <col min="18" max="18" width="19.33203125" customWidth="1"/>
    <col min="19" max="19" width="20.33203125" customWidth="1"/>
    <col min="21" max="21" width="17.6640625" customWidth="1"/>
    <col min="22" max="22" width="13.33203125" customWidth="1"/>
    <col min="23" max="23" width="21.109375" customWidth="1"/>
    <col min="24" max="24" width="19.88671875" customWidth="1"/>
    <col min="25" max="25" width="13.33203125" customWidth="1"/>
    <col min="26" max="26" width="16.33203125" customWidth="1"/>
    <col min="27" max="27" width="18" customWidth="1"/>
    <col min="28" max="28" width="16.6640625" customWidth="1"/>
  </cols>
  <sheetData>
    <row r="1" spans="1:29" s="12" customFormat="1" x14ac:dyDescent="0.3">
      <c r="A1" s="65" t="s">
        <v>133</v>
      </c>
      <c r="B1" s="65" t="s">
        <v>128</v>
      </c>
      <c r="C1" s="65" t="s">
        <v>274</v>
      </c>
      <c r="D1" s="65" t="s">
        <v>129</v>
      </c>
      <c r="E1" s="65" t="s">
        <v>6</v>
      </c>
      <c r="F1" s="65" t="s">
        <v>63</v>
      </c>
      <c r="G1" s="66" t="s">
        <v>239</v>
      </c>
      <c r="H1" s="65" t="s">
        <v>10</v>
      </c>
      <c r="I1" s="66" t="s">
        <v>240</v>
      </c>
      <c r="J1" s="66" t="s">
        <v>213</v>
      </c>
      <c r="K1" s="66" t="s">
        <v>241</v>
      </c>
      <c r="L1" s="66" t="s">
        <v>242</v>
      </c>
      <c r="M1" s="65" t="s">
        <v>7</v>
      </c>
      <c r="N1" s="66" t="s">
        <v>243</v>
      </c>
      <c r="O1" s="66" t="s">
        <v>244</v>
      </c>
      <c r="P1" s="66" t="s">
        <v>245</v>
      </c>
      <c r="Q1" s="66" t="s">
        <v>246</v>
      </c>
      <c r="R1" s="66" t="s">
        <v>247</v>
      </c>
      <c r="S1" s="66" t="s">
        <v>248</v>
      </c>
      <c r="T1" s="65" t="s">
        <v>86</v>
      </c>
      <c r="U1" s="65" t="s">
        <v>132</v>
      </c>
      <c r="V1" s="65" t="s">
        <v>131</v>
      </c>
      <c r="W1" s="65" t="s">
        <v>130</v>
      </c>
      <c r="X1" s="66" t="s">
        <v>249</v>
      </c>
      <c r="Y1" s="65" t="s">
        <v>15</v>
      </c>
      <c r="Z1" s="66" t="s">
        <v>250</v>
      </c>
      <c r="AA1" s="66" t="s">
        <v>251</v>
      </c>
      <c r="AB1" s="66" t="s">
        <v>252</v>
      </c>
      <c r="AC1" s="65" t="s">
        <v>275</v>
      </c>
    </row>
    <row r="2" spans="1:29" x14ac:dyDescent="0.3">
      <c r="A2" s="12"/>
      <c r="B2" s="12"/>
      <c r="C2" s="12"/>
      <c r="D2" s="12"/>
      <c r="E2" s="12"/>
      <c r="F2" s="12"/>
      <c r="G2" s="12"/>
      <c r="H2" s="12"/>
      <c r="I2" s="13"/>
      <c r="J2" s="13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4"/>
      <c r="W2" s="12"/>
      <c r="X2" s="12"/>
      <c r="Y2" s="15"/>
      <c r="Z2" s="12"/>
      <c r="AA2" s="12"/>
      <c r="AB2" s="12"/>
      <c r="AC2" s="12"/>
    </row>
    <row r="3" spans="1:29" x14ac:dyDescent="0.3">
      <c r="A3" s="12"/>
      <c r="B3" s="12"/>
      <c r="C3" s="12"/>
      <c r="D3" s="12"/>
      <c r="E3" s="12"/>
      <c r="F3" s="12"/>
      <c r="G3" s="12"/>
      <c r="H3" s="12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4"/>
      <c r="W3" s="12"/>
      <c r="X3" s="12"/>
      <c r="Y3" s="15"/>
      <c r="Z3" s="12"/>
      <c r="AA3" s="12"/>
      <c r="AB3" s="12"/>
      <c r="AC3" s="12"/>
    </row>
    <row r="4" spans="1:29" x14ac:dyDescent="0.3">
      <c r="A4" s="12"/>
      <c r="B4" s="12"/>
      <c r="C4" s="12"/>
      <c r="D4" s="12"/>
      <c r="E4" s="12"/>
      <c r="F4" s="12"/>
      <c r="G4" s="12"/>
      <c r="H4" s="12"/>
      <c r="I4" s="13"/>
      <c r="J4" s="13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4"/>
      <c r="W4" s="12"/>
      <c r="X4" s="12"/>
      <c r="Y4" s="15"/>
      <c r="Z4" s="12"/>
      <c r="AA4" s="12"/>
      <c r="AB4" s="12"/>
      <c r="AC4" s="12"/>
    </row>
    <row r="5" spans="1:29" x14ac:dyDescent="0.3">
      <c r="A5" s="12"/>
      <c r="B5" s="12"/>
      <c r="C5" s="12"/>
      <c r="D5" s="12"/>
      <c r="E5" s="12"/>
      <c r="F5" s="12"/>
      <c r="G5" s="12"/>
      <c r="H5" s="12"/>
      <c r="I5" s="13"/>
      <c r="J5" s="13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4"/>
      <c r="W5" s="12"/>
      <c r="X5" s="12"/>
      <c r="Y5" s="15"/>
      <c r="Z5" s="12"/>
      <c r="AA5" s="12"/>
      <c r="AB5" s="12"/>
      <c r="AC5" s="12"/>
    </row>
    <row r="6" spans="1:29" x14ac:dyDescent="0.3">
      <c r="A6" s="12"/>
      <c r="B6" s="12"/>
      <c r="C6" s="12"/>
      <c r="D6" s="12"/>
      <c r="E6" s="12"/>
      <c r="F6" s="12"/>
      <c r="G6" s="12"/>
      <c r="H6" s="12"/>
      <c r="I6" s="13"/>
      <c r="J6" s="13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4"/>
      <c r="W6" s="12"/>
      <c r="X6" s="12"/>
      <c r="Y6" s="15"/>
      <c r="Z6" s="12"/>
      <c r="AA6" s="12"/>
      <c r="AB6" s="12"/>
      <c r="AC6" s="12"/>
    </row>
    <row r="7" spans="1:29" x14ac:dyDescent="0.3">
      <c r="A7" s="12"/>
      <c r="B7" s="12"/>
      <c r="C7" s="12"/>
      <c r="D7" s="12"/>
      <c r="E7" s="12"/>
      <c r="F7" s="12"/>
      <c r="G7" s="12"/>
      <c r="H7" s="12"/>
      <c r="I7" s="13"/>
      <c r="J7" s="13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4"/>
      <c r="W7" s="12"/>
      <c r="X7" s="12"/>
      <c r="Y7" s="15"/>
      <c r="Z7" s="12"/>
      <c r="AA7" s="12"/>
      <c r="AB7" s="12"/>
      <c r="AC7" s="12"/>
    </row>
    <row r="8" spans="1:29" x14ac:dyDescent="0.3">
      <c r="A8" s="12"/>
      <c r="B8" s="12"/>
      <c r="C8" s="12"/>
      <c r="D8" s="12"/>
      <c r="E8" s="12"/>
      <c r="F8" s="12"/>
      <c r="G8" s="12"/>
      <c r="H8" s="12"/>
      <c r="I8" s="13"/>
      <c r="J8" s="13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4"/>
      <c r="W8" s="12"/>
      <c r="X8" s="12"/>
      <c r="Y8" s="15"/>
      <c r="Z8" s="12"/>
      <c r="AA8" s="12"/>
      <c r="AB8" s="12"/>
      <c r="AC8" s="12"/>
    </row>
    <row r="9" spans="1:29" x14ac:dyDescent="0.3">
      <c r="A9" s="12"/>
      <c r="B9" s="12"/>
      <c r="C9" s="12"/>
      <c r="D9" s="12"/>
      <c r="E9" s="12"/>
      <c r="F9" s="12"/>
      <c r="G9" s="12"/>
      <c r="H9" s="12"/>
      <c r="I9" s="13"/>
      <c r="J9" s="13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4"/>
      <c r="W9" s="12"/>
      <c r="X9" s="12"/>
      <c r="Y9" s="15"/>
      <c r="Z9" s="12"/>
      <c r="AA9" s="12"/>
      <c r="AB9" s="12"/>
      <c r="AC9" s="12"/>
    </row>
    <row r="10" spans="1:29" x14ac:dyDescent="0.3">
      <c r="A10" s="12"/>
      <c r="B10" s="12"/>
      <c r="C10" s="12"/>
      <c r="D10" s="12"/>
      <c r="E10" s="12"/>
      <c r="F10" s="12"/>
      <c r="G10" s="12"/>
      <c r="H10" s="12"/>
      <c r="I10" s="13"/>
      <c r="J10" s="13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4"/>
      <c r="W10" s="12"/>
      <c r="X10" s="12"/>
      <c r="Y10" s="15"/>
      <c r="Z10" s="12"/>
      <c r="AA10" s="12"/>
      <c r="AB10" s="12"/>
      <c r="AC10" s="12"/>
    </row>
    <row r="11" spans="1:29" x14ac:dyDescent="0.3">
      <c r="A11" s="12"/>
      <c r="B11" s="12"/>
      <c r="C11" s="12"/>
      <c r="D11" s="12"/>
      <c r="E11" s="12"/>
      <c r="F11" s="12"/>
      <c r="G11" s="12"/>
      <c r="H11" s="12"/>
      <c r="I11" s="13"/>
      <c r="J11" s="13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4"/>
      <c r="W11" s="12"/>
      <c r="X11" s="12"/>
      <c r="Y11" s="15"/>
      <c r="Z11" s="12"/>
      <c r="AA11" s="12"/>
      <c r="AB11" s="12"/>
      <c r="AC11" s="12"/>
    </row>
    <row r="12" spans="1:29" x14ac:dyDescent="0.3">
      <c r="A12" s="12"/>
      <c r="B12" s="12"/>
      <c r="C12" s="12"/>
      <c r="D12" s="12"/>
      <c r="E12" s="12"/>
      <c r="F12" s="12"/>
      <c r="G12" s="12"/>
      <c r="H12" s="12"/>
      <c r="I12" s="13"/>
      <c r="J12" s="13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4"/>
      <c r="W12" s="12"/>
      <c r="X12" s="12"/>
      <c r="Y12" s="15"/>
      <c r="Z12" s="12"/>
      <c r="AA12" s="12"/>
      <c r="AB12" s="12"/>
      <c r="AC12" s="12"/>
    </row>
    <row r="13" spans="1:29" x14ac:dyDescent="0.3">
      <c r="A13" s="12"/>
      <c r="B13" s="12"/>
      <c r="C13" s="12"/>
      <c r="D13" s="12"/>
      <c r="E13" s="12"/>
      <c r="F13" s="12"/>
      <c r="G13" s="12"/>
      <c r="H13" s="12"/>
      <c r="I13" s="13"/>
      <c r="J13" s="13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4"/>
      <c r="W13" s="12"/>
      <c r="X13" s="12"/>
      <c r="Y13" s="15"/>
      <c r="Z13" s="12"/>
      <c r="AA13" s="12"/>
      <c r="AB13" s="12"/>
      <c r="AC13" s="12"/>
    </row>
    <row r="14" spans="1:29" x14ac:dyDescent="0.3">
      <c r="A14" s="12"/>
      <c r="B14" s="12"/>
      <c r="C14" s="12"/>
      <c r="D14" s="12"/>
      <c r="E14" s="12"/>
      <c r="F14" s="12"/>
      <c r="G14" s="12"/>
      <c r="H14" s="12"/>
      <c r="I14" s="13"/>
      <c r="J14" s="13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4"/>
      <c r="W14" s="12"/>
      <c r="X14" s="12"/>
      <c r="Y14" s="15"/>
      <c r="Z14" s="12"/>
      <c r="AA14" s="12"/>
      <c r="AB14" s="12"/>
      <c r="AC14" s="12"/>
    </row>
    <row r="15" spans="1:29" x14ac:dyDescent="0.3">
      <c r="A15" s="12"/>
      <c r="B15" s="12"/>
      <c r="C15" s="12"/>
      <c r="D15" s="12"/>
      <c r="E15" s="12"/>
      <c r="F15" s="12"/>
      <c r="G15" s="12"/>
      <c r="H15" s="12"/>
      <c r="I15" s="13"/>
      <c r="J15" s="13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4"/>
      <c r="W15" s="12"/>
      <c r="X15" s="12"/>
      <c r="Y15" s="15"/>
      <c r="Z15" s="12"/>
      <c r="AA15" s="12"/>
      <c r="AB15" s="12"/>
      <c r="AC15" s="12"/>
    </row>
    <row r="16" spans="1:29" x14ac:dyDescent="0.3">
      <c r="A16" s="12"/>
      <c r="B16" s="12"/>
      <c r="C16" s="12"/>
      <c r="D16" s="12"/>
      <c r="E16" s="12"/>
      <c r="F16" s="12"/>
      <c r="G16" s="12"/>
      <c r="H16" s="12"/>
      <c r="I16" s="13"/>
      <c r="J16" s="13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4"/>
      <c r="W16" s="12"/>
      <c r="X16" s="12"/>
      <c r="Y16" s="15"/>
      <c r="Z16" s="12"/>
      <c r="AA16" s="12"/>
      <c r="AB16" s="12"/>
      <c r="AC16" s="12"/>
    </row>
    <row r="17" spans="1:29" x14ac:dyDescent="0.3">
      <c r="A17" s="12"/>
      <c r="B17" s="12"/>
      <c r="C17" s="12"/>
      <c r="D17" s="12"/>
      <c r="E17" s="12"/>
      <c r="F17" s="12"/>
      <c r="G17" s="12"/>
      <c r="H17" s="12"/>
      <c r="I17" s="13"/>
      <c r="J17" s="13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4"/>
      <c r="W17" s="12"/>
      <c r="X17" s="12"/>
      <c r="Y17" s="15"/>
      <c r="Z17" s="12"/>
      <c r="AA17" s="12"/>
      <c r="AB17" s="12"/>
      <c r="AC17" s="12"/>
    </row>
    <row r="18" spans="1:29" x14ac:dyDescent="0.3">
      <c r="A18" s="12"/>
      <c r="B18" s="12"/>
      <c r="C18" s="12"/>
      <c r="D18" s="12"/>
      <c r="E18" s="12"/>
      <c r="F18" s="12"/>
      <c r="G18" s="12"/>
      <c r="H18" s="12"/>
      <c r="I18" s="13"/>
      <c r="J18" s="13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4"/>
      <c r="W18" s="12"/>
      <c r="X18" s="12"/>
      <c r="Y18" s="15"/>
      <c r="Z18" s="12"/>
      <c r="AA18" s="12"/>
      <c r="AB18" s="12"/>
      <c r="AC18" s="12"/>
    </row>
    <row r="19" spans="1:29" x14ac:dyDescent="0.3">
      <c r="A19" s="12"/>
      <c r="B19" s="12"/>
      <c r="C19" s="12"/>
      <c r="D19" s="12"/>
      <c r="E19" s="12"/>
      <c r="F19" s="12"/>
      <c r="G19" s="12"/>
      <c r="H19" s="12"/>
      <c r="I19" s="13"/>
      <c r="J19" s="1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4"/>
      <c r="W19" s="12"/>
      <c r="X19" s="12"/>
      <c r="Y19" s="15"/>
      <c r="Z19" s="12"/>
      <c r="AA19" s="12"/>
      <c r="AB19" s="12"/>
      <c r="AC19" s="12"/>
    </row>
    <row r="20" spans="1:29" x14ac:dyDescent="0.3">
      <c r="A20" s="12"/>
      <c r="B20" s="12"/>
      <c r="C20" s="12"/>
      <c r="D20" s="12"/>
      <c r="E20" s="12"/>
      <c r="F20" s="12"/>
      <c r="G20" s="12"/>
      <c r="H20" s="12"/>
      <c r="I20" s="13"/>
      <c r="J20" s="1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4"/>
      <c r="W20" s="12"/>
      <c r="X20" s="12"/>
      <c r="Y20" s="15"/>
      <c r="Z20" s="12"/>
      <c r="AA20" s="12"/>
      <c r="AB20" s="12"/>
      <c r="AC20" s="12"/>
    </row>
    <row r="21" spans="1:29" x14ac:dyDescent="0.3">
      <c r="A21" s="12"/>
      <c r="B21" s="12"/>
      <c r="C21" s="12"/>
      <c r="D21" s="12"/>
      <c r="E21" s="12"/>
      <c r="F21" s="12"/>
      <c r="G21" s="12"/>
      <c r="H21" s="12"/>
      <c r="I21" s="13"/>
      <c r="J21" s="1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4"/>
      <c r="W21" s="12"/>
      <c r="X21" s="12"/>
      <c r="Y21" s="15"/>
      <c r="Z21" s="12"/>
      <c r="AA21" s="12"/>
      <c r="AB21" s="12"/>
      <c r="AC21" s="12"/>
    </row>
    <row r="22" spans="1:29" x14ac:dyDescent="0.3">
      <c r="A22" s="12"/>
      <c r="B22" s="12"/>
      <c r="C22" s="12"/>
      <c r="D22" s="12"/>
      <c r="E22" s="12"/>
      <c r="F22" s="12"/>
      <c r="G22" s="12"/>
      <c r="H22" s="12"/>
      <c r="I22" s="13"/>
      <c r="J22" s="1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4"/>
      <c r="W22" s="12"/>
      <c r="X22" s="12"/>
      <c r="Y22" s="15"/>
      <c r="Z22" s="12"/>
      <c r="AA22" s="12"/>
      <c r="AB22" s="12"/>
      <c r="AC22" s="12"/>
    </row>
    <row r="23" spans="1:29" x14ac:dyDescent="0.3">
      <c r="A23" s="12"/>
      <c r="B23" s="12"/>
      <c r="C23" s="12"/>
      <c r="D23" s="12"/>
      <c r="E23" s="12"/>
      <c r="F23" s="12"/>
      <c r="G23" s="12"/>
      <c r="H23" s="12"/>
      <c r="I23" s="13"/>
      <c r="J23" s="1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4"/>
      <c r="W23" s="12"/>
      <c r="X23" s="12"/>
      <c r="Y23" s="15"/>
      <c r="Z23" s="12"/>
      <c r="AA23" s="12"/>
      <c r="AB23" s="12"/>
      <c r="AC23" s="12"/>
    </row>
    <row r="24" spans="1:29" x14ac:dyDescent="0.3">
      <c r="A24" s="12"/>
      <c r="B24" s="12"/>
      <c r="C24" s="12"/>
      <c r="D24" s="12"/>
      <c r="E24" s="12"/>
      <c r="F24" s="12"/>
      <c r="G24" s="12"/>
      <c r="H24" s="12"/>
      <c r="I24" s="13"/>
      <c r="J24" s="1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4"/>
      <c r="W24" s="12"/>
      <c r="X24" s="12"/>
      <c r="Y24" s="15"/>
      <c r="Z24" s="12"/>
      <c r="AA24" s="12"/>
      <c r="AB24" s="12"/>
      <c r="AC24" s="12"/>
    </row>
    <row r="25" spans="1:29" x14ac:dyDescent="0.3">
      <c r="A25" s="12"/>
      <c r="B25" s="12"/>
      <c r="C25" s="12"/>
      <c r="D25" s="12"/>
      <c r="E25" s="12"/>
      <c r="F25" s="12"/>
      <c r="G25" s="12"/>
      <c r="H25" s="12"/>
      <c r="I25" s="13"/>
      <c r="J25" s="1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4"/>
      <c r="W25" s="12"/>
      <c r="X25" s="12"/>
      <c r="Y25" s="15"/>
      <c r="Z25" s="12"/>
      <c r="AA25" s="12"/>
      <c r="AB25" s="12"/>
      <c r="AC25" s="12"/>
    </row>
    <row r="26" spans="1:29" x14ac:dyDescent="0.3">
      <c r="A26" s="12"/>
      <c r="B26" s="12"/>
      <c r="C26" s="12"/>
      <c r="D26" s="12"/>
      <c r="E26" s="12"/>
      <c r="F26" s="12"/>
      <c r="G26" s="12"/>
      <c r="H26" s="12"/>
      <c r="I26" s="13"/>
      <c r="J26" s="1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4"/>
      <c r="W26" s="12"/>
      <c r="X26" s="12"/>
      <c r="Y26" s="15"/>
      <c r="Z26" s="12"/>
      <c r="AA26" s="12"/>
      <c r="AB26" s="12"/>
      <c r="AC26" s="12"/>
    </row>
    <row r="27" spans="1:29" x14ac:dyDescent="0.3">
      <c r="A27" s="12"/>
      <c r="B27" s="12"/>
      <c r="C27" s="12"/>
      <c r="D27" s="12"/>
      <c r="E27" s="12"/>
      <c r="F27" s="12"/>
      <c r="G27" s="12"/>
      <c r="H27" s="12"/>
      <c r="I27" s="13"/>
      <c r="J27" s="1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4"/>
      <c r="W27" s="12"/>
      <c r="X27" s="12"/>
      <c r="Y27" s="15"/>
      <c r="Z27" s="12"/>
      <c r="AA27" s="12"/>
      <c r="AB27" s="12"/>
      <c r="AC27" s="12"/>
    </row>
    <row r="28" spans="1:29" x14ac:dyDescent="0.3">
      <c r="A28" s="12"/>
      <c r="B28" s="12"/>
      <c r="C28" s="12"/>
      <c r="D28" s="12"/>
      <c r="E28" s="12"/>
      <c r="F28" s="12"/>
      <c r="G28" s="12"/>
      <c r="H28" s="12"/>
      <c r="I28" s="13"/>
      <c r="J28" s="1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4"/>
      <c r="W28" s="12"/>
      <c r="X28" s="12"/>
      <c r="Y28" s="15"/>
      <c r="Z28" s="12"/>
      <c r="AA28" s="12"/>
      <c r="AB28" s="12"/>
      <c r="AC28" s="12"/>
    </row>
    <row r="29" spans="1:29" x14ac:dyDescent="0.3">
      <c r="A29" s="12"/>
      <c r="B29" s="12"/>
      <c r="C29" s="12"/>
      <c r="D29" s="12"/>
      <c r="E29" s="12"/>
      <c r="F29" s="12"/>
      <c r="G29" s="12"/>
      <c r="H29" s="12"/>
      <c r="I29" s="13"/>
      <c r="J29" s="1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4"/>
      <c r="W29" s="12"/>
      <c r="X29" s="12"/>
      <c r="Y29" s="15"/>
      <c r="Z29" s="12"/>
      <c r="AA29" s="12"/>
      <c r="AB29" s="12"/>
      <c r="AC29" s="12"/>
    </row>
    <row r="30" spans="1:29" x14ac:dyDescent="0.3">
      <c r="A30" s="12"/>
      <c r="B30" s="12"/>
      <c r="C30" s="12"/>
      <c r="D30" s="12"/>
      <c r="E30" s="12"/>
      <c r="F30" s="12"/>
      <c r="G30" s="12"/>
      <c r="H30" s="12"/>
      <c r="I30" s="13"/>
      <c r="J30" s="1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4"/>
      <c r="W30" s="12"/>
      <c r="X30" s="12"/>
      <c r="Y30" s="15"/>
      <c r="Z30" s="12"/>
      <c r="AA30" s="12"/>
      <c r="AB30" s="12"/>
      <c r="AC30" s="12"/>
    </row>
    <row r="31" spans="1:29" x14ac:dyDescent="0.3">
      <c r="A31" s="12"/>
      <c r="B31" s="12"/>
      <c r="C31" s="12"/>
      <c r="D31" s="12"/>
      <c r="E31" s="12"/>
      <c r="F31" s="12"/>
      <c r="G31" s="12"/>
      <c r="H31" s="12"/>
      <c r="I31" s="13"/>
      <c r="J31" s="1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4"/>
      <c r="W31" s="12"/>
      <c r="X31" s="12"/>
      <c r="Y31" s="15"/>
      <c r="Z31" s="12"/>
      <c r="AA31" s="12"/>
      <c r="AB31" s="12"/>
      <c r="AC31" s="12"/>
    </row>
    <row r="32" spans="1:29" x14ac:dyDescent="0.3">
      <c r="A32" s="12"/>
      <c r="B32" s="12"/>
      <c r="C32" s="12"/>
      <c r="D32" s="12"/>
      <c r="E32" s="12"/>
      <c r="F32" s="12"/>
      <c r="G32" s="12"/>
      <c r="H32" s="12"/>
      <c r="I32" s="13"/>
      <c r="J32" s="1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4"/>
      <c r="W32" s="12"/>
      <c r="X32" s="12"/>
      <c r="Y32" s="15"/>
      <c r="Z32" s="12"/>
      <c r="AA32" s="12"/>
      <c r="AB32" s="12"/>
      <c r="AC32" s="12"/>
    </row>
    <row r="33" spans="1:29" x14ac:dyDescent="0.3">
      <c r="A33" s="12"/>
      <c r="B33" s="12"/>
      <c r="C33" s="12"/>
      <c r="D33" s="12"/>
      <c r="E33" s="12"/>
      <c r="F33" s="12"/>
      <c r="G33" s="12"/>
      <c r="H33" s="12"/>
      <c r="I33" s="13"/>
      <c r="J33" s="1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4"/>
      <c r="W33" s="12"/>
      <c r="X33" s="12"/>
      <c r="Y33" s="15"/>
      <c r="Z33" s="12"/>
      <c r="AA33" s="12"/>
      <c r="AB33" s="12"/>
      <c r="AC33" s="12"/>
    </row>
    <row r="34" spans="1:29" x14ac:dyDescent="0.3">
      <c r="A34" s="12"/>
      <c r="B34" s="12"/>
      <c r="C34" s="12"/>
      <c r="D34" s="12"/>
      <c r="E34" s="12"/>
      <c r="F34" s="12"/>
      <c r="G34" s="12"/>
      <c r="H34" s="12"/>
      <c r="I34" s="13"/>
      <c r="J34" s="13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4"/>
      <c r="W34" s="12"/>
      <c r="X34" s="12"/>
      <c r="Y34" s="15"/>
      <c r="Z34" s="12"/>
      <c r="AA34" s="12"/>
      <c r="AB34" s="12"/>
      <c r="AC34" s="12"/>
    </row>
    <row r="35" spans="1:29" x14ac:dyDescent="0.3">
      <c r="A35" s="12"/>
      <c r="B35" s="12"/>
      <c r="C35" s="12"/>
      <c r="D35" s="12"/>
      <c r="E35" s="12"/>
      <c r="F35" s="12"/>
      <c r="G35" s="12"/>
      <c r="H35" s="12"/>
      <c r="I35" s="13"/>
      <c r="J35" s="13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4"/>
      <c r="W35" s="12"/>
      <c r="X35" s="12"/>
      <c r="Y35" s="15"/>
      <c r="Z35" s="12"/>
      <c r="AA35" s="12"/>
      <c r="AB35" s="12"/>
      <c r="AC35" s="12"/>
    </row>
    <row r="36" spans="1:29" x14ac:dyDescent="0.3">
      <c r="A36" s="12"/>
      <c r="B36" s="12"/>
      <c r="C36" s="12"/>
      <c r="D36" s="12"/>
      <c r="E36" s="12"/>
      <c r="F36" s="12"/>
      <c r="G36" s="12"/>
      <c r="H36" s="12"/>
      <c r="I36" s="13"/>
      <c r="J36" s="13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4"/>
      <c r="W36" s="12"/>
      <c r="X36" s="12"/>
      <c r="Y36" s="15"/>
      <c r="Z36" s="12"/>
      <c r="AA36" s="12"/>
      <c r="AB36" s="12"/>
      <c r="AC36" s="12"/>
    </row>
    <row r="37" spans="1:29" x14ac:dyDescent="0.3">
      <c r="A37" s="12"/>
      <c r="B37" s="12"/>
      <c r="C37" s="12"/>
      <c r="D37" s="12"/>
      <c r="E37" s="12"/>
      <c r="F37" s="12"/>
      <c r="G37" s="12"/>
      <c r="H37" s="12"/>
      <c r="I37" s="13"/>
      <c r="J37" s="13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4"/>
      <c r="W37" s="12"/>
      <c r="X37" s="12"/>
      <c r="Y37" s="15"/>
      <c r="Z37" s="12"/>
      <c r="AA37" s="12"/>
      <c r="AB37" s="12"/>
      <c r="AC37" s="12"/>
    </row>
    <row r="38" spans="1:29" x14ac:dyDescent="0.3">
      <c r="A38" s="12"/>
      <c r="B38" s="12"/>
      <c r="C38" s="12"/>
      <c r="D38" s="12"/>
      <c r="E38" s="12"/>
      <c r="F38" s="12"/>
      <c r="G38" s="12"/>
      <c r="H38" s="12"/>
      <c r="I38" s="13"/>
      <c r="J38" s="13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4"/>
      <c r="W38" s="12"/>
      <c r="X38" s="12"/>
      <c r="Y38" s="15"/>
      <c r="Z38" s="12"/>
      <c r="AA38" s="12"/>
      <c r="AB38" s="12"/>
      <c r="AC38" s="12"/>
    </row>
    <row r="39" spans="1:29" x14ac:dyDescent="0.3">
      <c r="A39" s="12"/>
      <c r="B39" s="12"/>
      <c r="C39" s="12"/>
      <c r="D39" s="12"/>
      <c r="E39" s="12"/>
      <c r="F39" s="12"/>
      <c r="G39" s="12"/>
      <c r="H39" s="12"/>
      <c r="I39" s="13"/>
      <c r="J39" s="13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4"/>
      <c r="W39" s="12"/>
      <c r="X39" s="12"/>
      <c r="Y39" s="15"/>
      <c r="Z39" s="12"/>
      <c r="AA39" s="12"/>
      <c r="AB39" s="12"/>
      <c r="AC39" s="12"/>
    </row>
    <row r="40" spans="1:29" x14ac:dyDescent="0.3">
      <c r="A40" s="12"/>
      <c r="B40" s="12"/>
      <c r="C40" s="12"/>
      <c r="D40" s="12"/>
      <c r="E40" s="12"/>
      <c r="F40" s="12"/>
      <c r="G40" s="12"/>
      <c r="H40" s="12"/>
      <c r="I40" s="13"/>
      <c r="J40" s="13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4"/>
      <c r="W40" s="12"/>
      <c r="X40" s="12"/>
      <c r="Y40" s="15"/>
      <c r="Z40" s="12"/>
      <c r="AA40" s="12"/>
      <c r="AB40" s="12"/>
      <c r="AC40" s="12"/>
    </row>
    <row r="41" spans="1:29" x14ac:dyDescent="0.3">
      <c r="A41" s="12"/>
      <c r="B41" s="12"/>
      <c r="C41" s="12"/>
      <c r="D41" s="12"/>
      <c r="E41" s="12"/>
      <c r="F41" s="12"/>
      <c r="G41" s="12"/>
      <c r="H41" s="12"/>
      <c r="I41" s="13"/>
      <c r="J41" s="13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4"/>
      <c r="W41" s="12"/>
      <c r="X41" s="12"/>
      <c r="Y41" s="15"/>
      <c r="Z41" s="12"/>
      <c r="AA41" s="12"/>
      <c r="AB41" s="12"/>
      <c r="AC41" s="12"/>
    </row>
    <row r="42" spans="1:29" x14ac:dyDescent="0.3">
      <c r="A42" s="12"/>
      <c r="B42" s="12"/>
      <c r="C42" s="12"/>
      <c r="D42" s="12"/>
      <c r="E42" s="12"/>
      <c r="F42" s="12"/>
      <c r="G42" s="12"/>
      <c r="H42" s="12"/>
      <c r="I42" s="13"/>
      <c r="J42" s="13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4"/>
      <c r="W42" s="12"/>
      <c r="X42" s="12"/>
      <c r="Y42" s="15"/>
      <c r="Z42" s="12"/>
      <c r="AA42" s="12"/>
      <c r="AB42" s="12"/>
      <c r="AC42" s="12"/>
    </row>
    <row r="43" spans="1:29" x14ac:dyDescent="0.3">
      <c r="A43" s="12"/>
      <c r="B43" s="12"/>
      <c r="C43" s="12"/>
      <c r="D43" s="12"/>
      <c r="E43" s="12"/>
      <c r="F43" s="12"/>
      <c r="G43" s="12"/>
      <c r="H43" s="12"/>
      <c r="I43" s="13"/>
      <c r="J43" s="13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4"/>
      <c r="W43" s="12"/>
      <c r="X43" s="12"/>
      <c r="Y43" s="15"/>
      <c r="Z43" s="12"/>
      <c r="AA43" s="12"/>
      <c r="AB43" s="12"/>
      <c r="AC43" s="12"/>
    </row>
    <row r="44" spans="1:29" x14ac:dyDescent="0.3">
      <c r="A44" s="12"/>
      <c r="B44" s="12"/>
      <c r="C44" s="12"/>
      <c r="D44" s="12"/>
      <c r="E44" s="12"/>
      <c r="F44" s="12"/>
      <c r="G44" s="12"/>
      <c r="H44" s="12"/>
      <c r="I44" s="13"/>
      <c r="J44" s="13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4"/>
      <c r="W44" s="12"/>
      <c r="X44" s="12"/>
      <c r="Y44" s="15"/>
      <c r="Z44" s="12"/>
      <c r="AA44" s="12"/>
      <c r="AB44" s="12"/>
      <c r="AC44" s="12"/>
    </row>
    <row r="45" spans="1:29" x14ac:dyDescent="0.3">
      <c r="A45" s="12"/>
      <c r="B45" s="12"/>
      <c r="C45" s="12"/>
      <c r="D45" s="12"/>
      <c r="E45" s="12"/>
      <c r="F45" s="12"/>
      <c r="G45" s="12"/>
      <c r="H45" s="12"/>
      <c r="I45" s="13"/>
      <c r="J45" s="13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4"/>
      <c r="W45" s="12"/>
      <c r="X45" s="12"/>
      <c r="Y45" s="15"/>
      <c r="Z45" s="12"/>
      <c r="AA45" s="12"/>
      <c r="AB45" s="12"/>
      <c r="AC45" s="12"/>
    </row>
    <row r="46" spans="1:29" x14ac:dyDescent="0.3">
      <c r="A46" s="12"/>
      <c r="B46" s="12"/>
      <c r="C46" s="12"/>
      <c r="D46" s="12"/>
      <c r="E46" s="12"/>
      <c r="F46" s="12"/>
      <c r="G46" s="12"/>
      <c r="H46" s="12"/>
      <c r="I46" s="13"/>
      <c r="J46" s="13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4"/>
      <c r="W46" s="12"/>
      <c r="X46" s="12"/>
      <c r="Y46" s="15"/>
      <c r="Z46" s="12"/>
      <c r="AA46" s="12"/>
      <c r="AB46" s="12"/>
      <c r="AC46" s="12"/>
    </row>
    <row r="47" spans="1:29" x14ac:dyDescent="0.3">
      <c r="A47" s="12"/>
      <c r="B47" s="12"/>
      <c r="C47" s="12"/>
      <c r="D47" s="12"/>
      <c r="E47" s="12"/>
      <c r="F47" s="12"/>
      <c r="G47" s="12"/>
      <c r="H47" s="12"/>
      <c r="I47" s="13"/>
      <c r="J47" s="13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4"/>
      <c r="W47" s="12"/>
      <c r="X47" s="12"/>
      <c r="Y47" s="15"/>
      <c r="Z47" s="12"/>
      <c r="AA47" s="12"/>
      <c r="AB47" s="12"/>
      <c r="AC47" s="12"/>
    </row>
    <row r="48" spans="1:29" x14ac:dyDescent="0.3">
      <c r="A48" s="12"/>
      <c r="B48" s="12"/>
      <c r="C48" s="12"/>
      <c r="D48" s="12"/>
      <c r="E48" s="12"/>
      <c r="F48" s="12"/>
      <c r="G48" s="12"/>
      <c r="H48" s="12"/>
      <c r="I48" s="13"/>
      <c r="J48" s="13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4"/>
      <c r="W48" s="12"/>
      <c r="X48" s="12"/>
      <c r="Y48" s="15"/>
      <c r="Z48" s="12"/>
      <c r="AA48" s="12"/>
      <c r="AB48" s="12"/>
      <c r="AC48" s="12"/>
    </row>
    <row r="49" spans="1:29" x14ac:dyDescent="0.3">
      <c r="A49" s="12"/>
      <c r="B49" s="12"/>
      <c r="C49" s="12"/>
      <c r="D49" s="12"/>
      <c r="E49" s="12"/>
      <c r="F49" s="12"/>
      <c r="G49" s="12"/>
      <c r="H49" s="12"/>
      <c r="I49" s="13"/>
      <c r="J49" s="13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4"/>
      <c r="W49" s="12"/>
      <c r="X49" s="12"/>
      <c r="Y49" s="15"/>
      <c r="Z49" s="12"/>
      <c r="AA49" s="12"/>
      <c r="AB49" s="12"/>
      <c r="AC49" s="12"/>
    </row>
    <row r="50" spans="1:29" x14ac:dyDescent="0.3">
      <c r="A50" s="12"/>
      <c r="B50" s="12"/>
      <c r="C50" s="12"/>
      <c r="D50" s="12"/>
      <c r="E50" s="12"/>
      <c r="F50" s="12"/>
      <c r="G50" s="12"/>
      <c r="H50" s="12"/>
      <c r="I50" s="13"/>
      <c r="J50" s="13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4"/>
      <c r="W50" s="12"/>
      <c r="X50" s="12"/>
      <c r="Y50" s="15"/>
      <c r="Z50" s="12"/>
      <c r="AA50" s="12"/>
      <c r="AB50" s="12"/>
      <c r="AC50" s="12"/>
    </row>
    <row r="51" spans="1:29" x14ac:dyDescent="0.3">
      <c r="A51" s="12"/>
      <c r="B51" s="12"/>
      <c r="C51" s="12"/>
      <c r="D51" s="12"/>
      <c r="E51" s="12"/>
      <c r="F51" s="12"/>
      <c r="G51" s="12"/>
      <c r="H51" s="12"/>
      <c r="I51" s="13"/>
      <c r="J51" s="13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4"/>
      <c r="W51" s="12"/>
      <c r="X51" s="12"/>
      <c r="Y51" s="15"/>
      <c r="Z51" s="12"/>
      <c r="AA51" s="12"/>
      <c r="AB51" s="12"/>
      <c r="AC51" s="12"/>
    </row>
    <row r="52" spans="1:29" x14ac:dyDescent="0.3">
      <c r="A52" s="12"/>
      <c r="B52" s="12"/>
      <c r="C52" s="12"/>
      <c r="D52" s="12"/>
      <c r="E52" s="12"/>
      <c r="F52" s="12"/>
      <c r="G52" s="12"/>
      <c r="H52" s="12"/>
      <c r="I52" s="13"/>
      <c r="J52" s="13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4"/>
      <c r="W52" s="12"/>
      <c r="X52" s="12"/>
      <c r="Y52" s="15"/>
      <c r="Z52" s="12"/>
      <c r="AA52" s="12"/>
      <c r="AB52" s="12"/>
      <c r="AC52" s="12"/>
    </row>
    <row r="53" spans="1:29" x14ac:dyDescent="0.3">
      <c r="A53" s="12"/>
      <c r="B53" s="12"/>
      <c r="C53" s="12"/>
      <c r="D53" s="12"/>
      <c r="E53" s="12"/>
      <c r="F53" s="12"/>
      <c r="G53" s="12"/>
      <c r="H53" s="12"/>
      <c r="I53" s="13"/>
      <c r="J53" s="13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4"/>
      <c r="W53" s="12"/>
      <c r="X53" s="12"/>
      <c r="Y53" s="15"/>
      <c r="Z53" s="12"/>
      <c r="AA53" s="12"/>
      <c r="AB53" s="12"/>
      <c r="AC53" s="12"/>
    </row>
    <row r="54" spans="1:29" x14ac:dyDescent="0.3">
      <c r="A54" s="12"/>
      <c r="B54" s="12"/>
      <c r="C54" s="12"/>
      <c r="D54" s="12"/>
      <c r="E54" s="12"/>
      <c r="F54" s="12"/>
      <c r="G54" s="12"/>
      <c r="H54" s="12"/>
      <c r="I54" s="13"/>
      <c r="J54" s="13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4"/>
      <c r="W54" s="12"/>
      <c r="X54" s="12"/>
      <c r="Y54" s="15"/>
      <c r="Z54" s="12"/>
      <c r="AA54" s="12"/>
      <c r="AB54" s="12"/>
      <c r="AC54" s="12"/>
    </row>
    <row r="55" spans="1:29" x14ac:dyDescent="0.3">
      <c r="A55" s="12"/>
      <c r="B55" s="12"/>
      <c r="C55" s="12"/>
      <c r="D55" s="12"/>
      <c r="E55" s="12"/>
      <c r="F55" s="12"/>
      <c r="G55" s="12"/>
      <c r="H55" s="12"/>
      <c r="I55" s="13"/>
      <c r="J55" s="13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4"/>
      <c r="W55" s="12"/>
      <c r="X55" s="12"/>
      <c r="Y55" s="15"/>
      <c r="Z55" s="12"/>
      <c r="AA55" s="12"/>
      <c r="AB55" s="12"/>
      <c r="AC55" s="12"/>
    </row>
    <row r="56" spans="1:29" x14ac:dyDescent="0.3">
      <c r="A56" s="12"/>
      <c r="B56" s="12"/>
      <c r="C56" s="12"/>
      <c r="D56" s="12"/>
      <c r="E56" s="12"/>
      <c r="F56" s="12"/>
      <c r="G56" s="12"/>
      <c r="H56" s="12"/>
      <c r="I56" s="13"/>
      <c r="J56" s="13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4"/>
      <c r="W56" s="12"/>
      <c r="X56" s="12"/>
      <c r="Y56" s="15"/>
      <c r="Z56" s="12"/>
      <c r="AA56" s="12"/>
      <c r="AB56" s="12"/>
      <c r="AC56" s="12"/>
    </row>
    <row r="57" spans="1:29" x14ac:dyDescent="0.3">
      <c r="A57" s="12"/>
      <c r="B57" s="12"/>
      <c r="C57" s="12"/>
      <c r="D57" s="12"/>
      <c r="E57" s="12"/>
      <c r="F57" s="12"/>
      <c r="G57" s="12"/>
      <c r="H57" s="12"/>
      <c r="I57" s="13"/>
      <c r="J57" s="13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4"/>
      <c r="W57" s="12"/>
      <c r="X57" s="12"/>
      <c r="Y57" s="15"/>
      <c r="Z57" s="12"/>
      <c r="AA57" s="12"/>
      <c r="AB57" s="12"/>
      <c r="AC57" s="12"/>
    </row>
    <row r="58" spans="1:29" x14ac:dyDescent="0.3">
      <c r="A58" s="12"/>
      <c r="B58" s="12"/>
      <c r="C58" s="12"/>
      <c r="D58" s="12"/>
      <c r="E58" s="12"/>
      <c r="F58" s="12"/>
      <c r="G58" s="12"/>
      <c r="H58" s="12"/>
      <c r="I58" s="13"/>
      <c r="J58" s="13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4"/>
      <c r="W58" s="12"/>
      <c r="X58" s="12"/>
      <c r="Y58" s="15"/>
      <c r="Z58" s="12"/>
      <c r="AA58" s="12"/>
      <c r="AB58" s="12"/>
      <c r="AC58" s="12"/>
    </row>
    <row r="59" spans="1:29" x14ac:dyDescent="0.3">
      <c r="A59" s="12"/>
      <c r="B59" s="12"/>
      <c r="C59" s="12"/>
      <c r="D59" s="12"/>
      <c r="E59" s="12"/>
      <c r="F59" s="12"/>
      <c r="G59" s="12"/>
      <c r="H59" s="12"/>
      <c r="I59" s="13"/>
      <c r="J59" s="13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4"/>
      <c r="W59" s="12"/>
      <c r="X59" s="12"/>
      <c r="Y59" s="15"/>
      <c r="Z59" s="12"/>
      <c r="AA59" s="12"/>
      <c r="AB59" s="12"/>
      <c r="AC59" s="12"/>
    </row>
    <row r="60" spans="1:29" x14ac:dyDescent="0.3">
      <c r="A60" s="12"/>
      <c r="B60" s="12"/>
      <c r="C60" s="12"/>
      <c r="D60" s="12"/>
      <c r="E60" s="12"/>
      <c r="F60" s="12"/>
      <c r="G60" s="12"/>
      <c r="H60" s="12"/>
      <c r="I60" s="13"/>
      <c r="J60" s="13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4"/>
      <c r="W60" s="12"/>
      <c r="X60" s="12"/>
      <c r="Y60" s="15"/>
      <c r="Z60" s="12"/>
      <c r="AA60" s="12"/>
      <c r="AB60" s="12"/>
      <c r="AC60" s="12"/>
    </row>
    <row r="61" spans="1:29" x14ac:dyDescent="0.3">
      <c r="A61" s="12"/>
      <c r="B61" s="12"/>
      <c r="C61" s="12"/>
      <c r="D61" s="12"/>
      <c r="E61" s="12"/>
      <c r="F61" s="12"/>
      <c r="G61" s="12"/>
      <c r="H61" s="12"/>
      <c r="I61" s="13"/>
      <c r="J61" s="13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4"/>
      <c r="W61" s="12"/>
      <c r="X61" s="12"/>
      <c r="Y61" s="15"/>
      <c r="Z61" s="12"/>
      <c r="AA61" s="12"/>
      <c r="AB61" s="12"/>
      <c r="AC61" s="12"/>
    </row>
    <row r="62" spans="1:29" x14ac:dyDescent="0.3">
      <c r="A62" s="12"/>
      <c r="B62" s="12"/>
      <c r="C62" s="12"/>
      <c r="D62" s="12"/>
      <c r="E62" s="12"/>
      <c r="F62" s="12"/>
      <c r="G62" s="12"/>
      <c r="H62" s="12"/>
      <c r="I62" s="13"/>
      <c r="J62" s="13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4"/>
      <c r="W62" s="12"/>
      <c r="X62" s="12"/>
      <c r="Y62" s="15"/>
      <c r="Z62" s="12"/>
      <c r="AA62" s="12"/>
      <c r="AB62" s="12"/>
      <c r="AC62" s="12"/>
    </row>
    <row r="63" spans="1:29" x14ac:dyDescent="0.3">
      <c r="A63" s="12"/>
      <c r="B63" s="12"/>
      <c r="C63" s="12"/>
      <c r="D63" s="12"/>
      <c r="E63" s="12"/>
      <c r="F63" s="12"/>
      <c r="G63" s="12"/>
      <c r="H63" s="12"/>
      <c r="I63" s="13"/>
      <c r="J63" s="13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4"/>
      <c r="W63" s="12"/>
      <c r="X63" s="12"/>
      <c r="Y63" s="15"/>
      <c r="Z63" s="12"/>
      <c r="AA63" s="12"/>
      <c r="AB63" s="12"/>
      <c r="AC63" s="12"/>
    </row>
    <row r="64" spans="1:29" x14ac:dyDescent="0.3">
      <c r="A64" s="12"/>
      <c r="B64" s="12"/>
      <c r="C64" s="12"/>
      <c r="D64" s="12"/>
      <c r="E64" s="12"/>
      <c r="F64" s="12"/>
      <c r="G64" s="12"/>
      <c r="H64" s="12"/>
      <c r="I64" s="13"/>
      <c r="J64" s="13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4"/>
      <c r="W64" s="12"/>
      <c r="X64" s="12"/>
      <c r="Y64" s="15"/>
      <c r="Z64" s="12"/>
      <c r="AA64" s="12"/>
      <c r="AB64" s="12"/>
      <c r="AC64" s="12"/>
    </row>
    <row r="65" spans="1:29" x14ac:dyDescent="0.3">
      <c r="A65" s="12"/>
      <c r="B65" s="12"/>
      <c r="C65" s="12"/>
      <c r="D65" s="12"/>
      <c r="E65" s="12"/>
      <c r="F65" s="12"/>
      <c r="G65" s="12"/>
      <c r="H65" s="12"/>
      <c r="I65" s="13"/>
      <c r="J65" s="13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4"/>
      <c r="W65" s="12"/>
      <c r="X65" s="12"/>
      <c r="Y65" s="15"/>
      <c r="Z65" s="12"/>
      <c r="AA65" s="12"/>
      <c r="AB65" s="12"/>
      <c r="AC65" s="12"/>
    </row>
    <row r="66" spans="1:29" x14ac:dyDescent="0.3">
      <c r="A66" s="12"/>
      <c r="B66" s="12"/>
      <c r="C66" s="12"/>
      <c r="D66" s="12"/>
      <c r="E66" s="12"/>
      <c r="F66" s="12"/>
      <c r="G66" s="12"/>
      <c r="H66" s="12"/>
      <c r="I66" s="13"/>
      <c r="J66" s="13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4"/>
      <c r="W66" s="12"/>
      <c r="X66" s="12"/>
      <c r="Y66" s="15"/>
      <c r="Z66" s="12"/>
      <c r="AA66" s="12"/>
      <c r="AB66" s="12"/>
      <c r="AC66" s="12"/>
    </row>
    <row r="67" spans="1:29" x14ac:dyDescent="0.3">
      <c r="A67" s="12"/>
      <c r="B67" s="12"/>
      <c r="C67" s="12"/>
      <c r="D67" s="12"/>
      <c r="E67" s="12"/>
      <c r="F67" s="12"/>
      <c r="G67" s="12"/>
      <c r="H67" s="12"/>
      <c r="I67" s="13"/>
      <c r="J67" s="13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4"/>
      <c r="W67" s="12"/>
      <c r="X67" s="12"/>
      <c r="Y67" s="15"/>
      <c r="Z67" s="12"/>
      <c r="AA67" s="12"/>
      <c r="AB67" s="12"/>
      <c r="AC67" s="12"/>
    </row>
    <row r="68" spans="1:29" x14ac:dyDescent="0.3">
      <c r="A68" s="12"/>
      <c r="B68" s="12"/>
      <c r="C68" s="12"/>
      <c r="D68" s="12"/>
      <c r="E68" s="12"/>
      <c r="F68" s="12"/>
      <c r="G68" s="12"/>
      <c r="H68" s="12"/>
      <c r="I68" s="13"/>
      <c r="J68" s="13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4"/>
      <c r="W68" s="12"/>
      <c r="X68" s="12"/>
      <c r="Y68" s="15"/>
      <c r="Z68" s="12"/>
      <c r="AA68" s="12"/>
      <c r="AB68" s="12"/>
      <c r="AC68" s="12"/>
    </row>
    <row r="69" spans="1:29" x14ac:dyDescent="0.3">
      <c r="A69" s="12"/>
      <c r="B69" s="12"/>
      <c r="C69" s="12"/>
      <c r="D69" s="12"/>
      <c r="E69" s="12"/>
      <c r="F69" s="12"/>
      <c r="G69" s="12"/>
      <c r="H69" s="12"/>
      <c r="I69" s="13"/>
      <c r="J69" s="13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4"/>
      <c r="W69" s="12"/>
      <c r="X69" s="12"/>
      <c r="Y69" s="15"/>
      <c r="Z69" s="12"/>
      <c r="AA69" s="12"/>
      <c r="AB69" s="12"/>
      <c r="AC69" s="12"/>
    </row>
    <row r="70" spans="1:29" x14ac:dyDescent="0.3">
      <c r="A70" s="12"/>
      <c r="B70" s="12"/>
      <c r="C70" s="12"/>
      <c r="D70" s="12"/>
      <c r="E70" s="12"/>
      <c r="F70" s="12"/>
      <c r="G70" s="12"/>
      <c r="H70" s="12"/>
      <c r="I70" s="13"/>
      <c r="J70" s="13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4"/>
      <c r="W70" s="12"/>
      <c r="X70" s="12"/>
      <c r="Y70" s="15"/>
      <c r="Z70" s="12"/>
      <c r="AA70" s="12"/>
      <c r="AB70" s="12"/>
      <c r="AC70" s="12"/>
    </row>
    <row r="71" spans="1:29" x14ac:dyDescent="0.3">
      <c r="A71" s="12"/>
      <c r="B71" s="12"/>
      <c r="C71" s="12"/>
      <c r="D71" s="12"/>
      <c r="E71" s="12"/>
      <c r="F71" s="12"/>
      <c r="G71" s="12"/>
      <c r="H71" s="12"/>
      <c r="I71" s="13"/>
      <c r="J71" s="13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4"/>
      <c r="W71" s="12"/>
      <c r="X71" s="12"/>
      <c r="Y71" s="15"/>
      <c r="Z71" s="12"/>
      <c r="AA71" s="12"/>
      <c r="AB71" s="12"/>
      <c r="AC71" s="12"/>
    </row>
    <row r="72" spans="1:29" x14ac:dyDescent="0.3">
      <c r="A72" s="12"/>
      <c r="B72" s="12"/>
      <c r="C72" s="12"/>
      <c r="D72" s="12"/>
      <c r="E72" s="12"/>
      <c r="F72" s="12"/>
      <c r="G72" s="12"/>
      <c r="H72" s="12"/>
      <c r="I72" s="13"/>
      <c r="J72" s="13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4"/>
      <c r="W72" s="12"/>
      <c r="X72" s="12"/>
      <c r="Y72" s="15"/>
      <c r="Z72" s="12"/>
      <c r="AA72" s="12"/>
      <c r="AB72" s="12"/>
      <c r="AC72" s="12"/>
    </row>
    <row r="73" spans="1:29" x14ac:dyDescent="0.3">
      <c r="A73" s="12"/>
      <c r="B73" s="12"/>
      <c r="C73" s="12"/>
      <c r="D73" s="12"/>
      <c r="E73" s="12"/>
      <c r="F73" s="12"/>
      <c r="G73" s="12"/>
      <c r="H73" s="12"/>
      <c r="I73" s="13"/>
      <c r="J73" s="13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4"/>
      <c r="W73" s="12"/>
      <c r="X73" s="12"/>
      <c r="Y73" s="15"/>
      <c r="Z73" s="12"/>
      <c r="AA73" s="12"/>
      <c r="AB73" s="12"/>
      <c r="AC73" s="12"/>
    </row>
    <row r="74" spans="1:29" x14ac:dyDescent="0.3">
      <c r="A74" s="12"/>
      <c r="B74" s="12"/>
      <c r="C74" s="12"/>
      <c r="D74" s="12"/>
      <c r="E74" s="12"/>
      <c r="F74" s="12"/>
      <c r="G74" s="12"/>
      <c r="H74" s="12"/>
      <c r="I74" s="13"/>
      <c r="J74" s="13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4"/>
      <c r="W74" s="12"/>
      <c r="X74" s="12"/>
      <c r="Y74" s="15"/>
      <c r="Z74" s="12"/>
      <c r="AA74" s="12"/>
      <c r="AB74" s="12"/>
      <c r="AC74" s="12"/>
    </row>
    <row r="75" spans="1:29" x14ac:dyDescent="0.3">
      <c r="A75" s="12"/>
      <c r="B75" s="12"/>
      <c r="C75" s="12"/>
      <c r="D75" s="12"/>
      <c r="E75" s="12"/>
      <c r="F75" s="12"/>
      <c r="G75" s="12"/>
      <c r="H75" s="12"/>
      <c r="I75" s="13"/>
      <c r="J75" s="13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4"/>
      <c r="W75" s="12"/>
      <c r="X75" s="12"/>
      <c r="Y75" s="15"/>
      <c r="Z75" s="12"/>
      <c r="AA75" s="12"/>
      <c r="AB75" s="12"/>
      <c r="AC75" s="12"/>
    </row>
    <row r="76" spans="1:29" x14ac:dyDescent="0.3">
      <c r="A76" s="12"/>
      <c r="B76" s="12"/>
      <c r="C76" s="12"/>
      <c r="D76" s="12"/>
      <c r="E76" s="12"/>
      <c r="F76" s="12"/>
      <c r="G76" s="12"/>
      <c r="H76" s="12"/>
      <c r="I76" s="13"/>
      <c r="J76" s="13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4"/>
      <c r="W76" s="12"/>
      <c r="X76" s="12"/>
      <c r="Y76" s="15"/>
      <c r="Z76" s="12"/>
      <c r="AA76" s="12"/>
      <c r="AB76" s="12"/>
      <c r="AC76" s="12"/>
    </row>
    <row r="77" spans="1:29" x14ac:dyDescent="0.3">
      <c r="A77" s="12"/>
      <c r="B77" s="12"/>
      <c r="C77" s="12"/>
      <c r="D77" s="12"/>
      <c r="E77" s="12"/>
      <c r="F77" s="12"/>
      <c r="G77" s="12"/>
      <c r="H77" s="12"/>
      <c r="I77" s="13"/>
      <c r="J77" s="13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4"/>
      <c r="W77" s="12"/>
      <c r="X77" s="12"/>
      <c r="Y77" s="15"/>
      <c r="Z77" s="12"/>
      <c r="AA77" s="12"/>
      <c r="AB77" s="12"/>
      <c r="AC77" s="12"/>
    </row>
    <row r="78" spans="1:29" x14ac:dyDescent="0.3">
      <c r="A78" s="12"/>
      <c r="B78" s="12"/>
      <c r="C78" s="12"/>
      <c r="D78" s="12"/>
      <c r="E78" s="12"/>
      <c r="F78" s="12"/>
      <c r="G78" s="12"/>
      <c r="H78" s="12"/>
      <c r="I78" s="13"/>
      <c r="J78" s="13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4"/>
      <c r="W78" s="12"/>
      <c r="X78" s="12"/>
      <c r="Y78" s="15"/>
      <c r="Z78" s="12"/>
      <c r="AA78" s="12"/>
      <c r="AB78" s="12"/>
      <c r="AC78" s="12"/>
    </row>
    <row r="79" spans="1:29" x14ac:dyDescent="0.3">
      <c r="A79" s="12"/>
      <c r="B79" s="12"/>
      <c r="C79" s="12"/>
      <c r="D79" s="12"/>
      <c r="E79" s="12"/>
      <c r="F79" s="12"/>
      <c r="G79" s="12"/>
      <c r="H79" s="12"/>
      <c r="I79" s="13"/>
      <c r="J79" s="13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4"/>
      <c r="W79" s="12"/>
      <c r="X79" s="12"/>
      <c r="Y79" s="15"/>
      <c r="Z79" s="12"/>
      <c r="AA79" s="12"/>
      <c r="AB79" s="12"/>
      <c r="AC79" s="12"/>
    </row>
    <row r="80" spans="1:29" x14ac:dyDescent="0.3">
      <c r="A80" s="12"/>
      <c r="B80" s="12"/>
      <c r="C80" s="12"/>
      <c r="D80" s="12"/>
      <c r="E80" s="12"/>
      <c r="F80" s="12"/>
      <c r="G80" s="12"/>
      <c r="H80" s="12"/>
      <c r="I80" s="13"/>
      <c r="J80" s="13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4"/>
      <c r="W80" s="12"/>
      <c r="X80" s="12"/>
      <c r="Y80" s="15"/>
      <c r="Z80" s="12"/>
      <c r="AA80" s="12"/>
      <c r="AB80" s="12"/>
      <c r="AC80" s="12"/>
    </row>
    <row r="81" spans="1:29" x14ac:dyDescent="0.3">
      <c r="A81" s="12"/>
      <c r="B81" s="12"/>
      <c r="C81" s="12"/>
      <c r="D81" s="12"/>
      <c r="E81" s="12"/>
      <c r="F81" s="12"/>
      <c r="G81" s="12"/>
      <c r="H81" s="12"/>
      <c r="I81" s="13"/>
      <c r="J81" s="13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4"/>
      <c r="W81" s="12"/>
      <c r="X81" s="12"/>
      <c r="Y81" s="15"/>
      <c r="Z81" s="12"/>
      <c r="AA81" s="12"/>
      <c r="AB81" s="12"/>
      <c r="AC81" s="12"/>
    </row>
    <row r="82" spans="1:29" x14ac:dyDescent="0.3">
      <c r="A82" s="12"/>
      <c r="B82" s="12"/>
      <c r="C82" s="12"/>
      <c r="D82" s="12"/>
      <c r="E82" s="12"/>
      <c r="F82" s="12"/>
      <c r="G82" s="12"/>
      <c r="H82" s="12"/>
      <c r="I82" s="13"/>
      <c r="J82" s="13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4"/>
      <c r="W82" s="12"/>
      <c r="X82" s="12"/>
      <c r="Y82" s="15"/>
      <c r="Z82" s="12"/>
      <c r="AA82" s="12"/>
      <c r="AB82" s="12"/>
      <c r="AC82" s="12"/>
    </row>
    <row r="83" spans="1:29" x14ac:dyDescent="0.3">
      <c r="A83" s="12"/>
      <c r="B83" s="12"/>
      <c r="C83" s="12"/>
      <c r="D83" s="12"/>
      <c r="E83" s="12"/>
      <c r="F83" s="12"/>
      <c r="G83" s="12"/>
      <c r="H83" s="12"/>
      <c r="I83" s="13"/>
      <c r="J83" s="13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4"/>
      <c r="W83" s="12"/>
      <c r="X83" s="12"/>
      <c r="Y83" s="15"/>
      <c r="Z83" s="12"/>
      <c r="AA83" s="12"/>
      <c r="AB83" s="12"/>
      <c r="AC83" s="12"/>
    </row>
    <row r="84" spans="1:29" x14ac:dyDescent="0.3">
      <c r="A84" s="12"/>
      <c r="B84" s="12"/>
      <c r="C84" s="12"/>
      <c r="D84" s="12"/>
      <c r="E84" s="12"/>
      <c r="F84" s="12"/>
      <c r="G84" s="12"/>
      <c r="H84" s="12"/>
      <c r="I84" s="13"/>
      <c r="J84" s="13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4"/>
      <c r="W84" s="12"/>
      <c r="X84" s="12"/>
      <c r="Y84" s="15"/>
      <c r="Z84" s="12"/>
      <c r="AA84" s="12"/>
      <c r="AB84" s="12"/>
      <c r="AC84" s="12"/>
    </row>
    <row r="85" spans="1:29" x14ac:dyDescent="0.3">
      <c r="A85" s="12"/>
      <c r="B85" s="12"/>
      <c r="C85" s="12"/>
      <c r="D85" s="12"/>
      <c r="E85" s="12"/>
      <c r="F85" s="12"/>
      <c r="G85" s="12"/>
      <c r="H85" s="12"/>
      <c r="I85" s="13"/>
      <c r="J85" s="13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4"/>
      <c r="W85" s="12"/>
      <c r="X85" s="12"/>
      <c r="Y85" s="15"/>
      <c r="Z85" s="12"/>
      <c r="AA85" s="12"/>
      <c r="AB85" s="12"/>
      <c r="AC85" s="12"/>
    </row>
    <row r="86" spans="1:29" x14ac:dyDescent="0.3">
      <c r="A86" s="12"/>
      <c r="B86" s="12"/>
      <c r="C86" s="12"/>
      <c r="D86" s="12"/>
      <c r="E86" s="12"/>
      <c r="F86" s="12"/>
      <c r="G86" s="12"/>
      <c r="H86" s="12"/>
      <c r="I86" s="13"/>
      <c r="J86" s="13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4"/>
      <c r="W86" s="12"/>
      <c r="X86" s="12"/>
      <c r="Y86" s="15"/>
      <c r="Z86" s="12"/>
      <c r="AA86" s="12"/>
      <c r="AB86" s="12"/>
      <c r="AC86" s="12"/>
    </row>
    <row r="87" spans="1:29" x14ac:dyDescent="0.3">
      <c r="A87" s="12"/>
      <c r="B87" s="12"/>
      <c r="C87" s="12"/>
      <c r="D87" s="12"/>
      <c r="E87" s="12"/>
      <c r="F87" s="12"/>
      <c r="G87" s="12"/>
      <c r="H87" s="12"/>
      <c r="I87" s="13"/>
      <c r="J87" s="13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4"/>
      <c r="W87" s="12"/>
      <c r="X87" s="12"/>
      <c r="Y87" s="15"/>
      <c r="Z87" s="12"/>
      <c r="AA87" s="12"/>
      <c r="AB87" s="12"/>
      <c r="AC87" s="12"/>
    </row>
    <row r="88" spans="1:29" x14ac:dyDescent="0.3">
      <c r="A88" s="12"/>
      <c r="B88" s="12"/>
      <c r="C88" s="12"/>
      <c r="D88" s="12"/>
      <c r="E88" s="12"/>
      <c r="F88" s="12"/>
      <c r="G88" s="12"/>
      <c r="H88" s="12"/>
      <c r="I88" s="13"/>
      <c r="J88" s="13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4"/>
      <c r="W88" s="12"/>
      <c r="X88" s="12"/>
      <c r="Y88" s="15"/>
      <c r="Z88" s="12"/>
      <c r="AA88" s="12"/>
      <c r="AB88" s="12"/>
      <c r="AC88" s="12"/>
    </row>
    <row r="89" spans="1:29" x14ac:dyDescent="0.3">
      <c r="A89" s="12"/>
      <c r="B89" s="12"/>
      <c r="C89" s="12"/>
      <c r="D89" s="12"/>
      <c r="E89" s="12"/>
      <c r="F89" s="12"/>
      <c r="G89" s="12"/>
      <c r="H89" s="12"/>
      <c r="I89" s="13"/>
      <c r="J89" s="13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4"/>
      <c r="W89" s="12"/>
      <c r="X89" s="12"/>
      <c r="Y89" s="15"/>
      <c r="Z89" s="12"/>
      <c r="AA89" s="12"/>
      <c r="AB89" s="12"/>
      <c r="AC89" s="12"/>
    </row>
    <row r="90" spans="1:29" x14ac:dyDescent="0.3">
      <c r="A90" s="12"/>
      <c r="B90" s="12"/>
      <c r="C90" s="12"/>
      <c r="D90" s="12"/>
      <c r="E90" s="12"/>
      <c r="F90" s="12"/>
      <c r="G90" s="12"/>
      <c r="H90" s="12"/>
      <c r="I90" s="13"/>
      <c r="J90" s="13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4"/>
      <c r="W90" s="12"/>
      <c r="X90" s="12"/>
      <c r="Y90" s="15"/>
      <c r="Z90" s="12"/>
      <c r="AA90" s="12"/>
      <c r="AB90" s="12"/>
      <c r="AC90" s="12"/>
    </row>
    <row r="91" spans="1:29" x14ac:dyDescent="0.3">
      <c r="A91" s="12"/>
      <c r="B91" s="12"/>
      <c r="C91" s="12"/>
      <c r="D91" s="12"/>
      <c r="E91" s="12"/>
      <c r="F91" s="12"/>
      <c r="G91" s="12"/>
      <c r="H91" s="12"/>
      <c r="I91" s="13"/>
      <c r="J91" s="13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4"/>
      <c r="W91" s="12"/>
      <c r="X91" s="12"/>
      <c r="Y91" s="15"/>
      <c r="Z91" s="12"/>
      <c r="AA91" s="12"/>
      <c r="AB91" s="12"/>
      <c r="AC91" s="12"/>
    </row>
    <row r="92" spans="1:29" x14ac:dyDescent="0.3">
      <c r="A92" s="12"/>
      <c r="B92" s="12"/>
      <c r="C92" s="12"/>
      <c r="D92" s="12"/>
      <c r="E92" s="12"/>
      <c r="F92" s="12"/>
      <c r="G92" s="12"/>
      <c r="H92" s="12"/>
      <c r="I92" s="13"/>
      <c r="J92" s="13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4"/>
      <c r="W92" s="12"/>
      <c r="X92" s="12"/>
      <c r="Y92" s="15"/>
      <c r="Z92" s="12"/>
      <c r="AA92" s="12"/>
      <c r="AB92" s="12"/>
      <c r="AC92" s="12"/>
    </row>
    <row r="93" spans="1:29" x14ac:dyDescent="0.3">
      <c r="A93" s="12"/>
      <c r="B93" s="12"/>
      <c r="C93" s="12"/>
      <c r="D93" s="12"/>
      <c r="E93" s="12"/>
      <c r="F93" s="12"/>
      <c r="G93" s="12"/>
      <c r="H93" s="12"/>
      <c r="I93" s="13"/>
      <c r="J93" s="13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4"/>
      <c r="W93" s="12"/>
      <c r="X93" s="12"/>
      <c r="Y93" s="15"/>
      <c r="Z93" s="12"/>
      <c r="AA93" s="12"/>
      <c r="AB93" s="12"/>
      <c r="AC93" s="12"/>
    </row>
    <row r="94" spans="1:29" x14ac:dyDescent="0.3">
      <c r="A94" s="12"/>
      <c r="B94" s="12"/>
      <c r="C94" s="12"/>
      <c r="D94" s="12"/>
      <c r="E94" s="12"/>
      <c r="F94" s="12"/>
      <c r="G94" s="12"/>
      <c r="H94" s="12"/>
      <c r="I94" s="13"/>
      <c r="J94" s="13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4"/>
      <c r="W94" s="12"/>
      <c r="X94" s="12"/>
      <c r="Y94" s="15"/>
      <c r="Z94" s="12"/>
      <c r="AA94" s="12"/>
      <c r="AB94" s="12"/>
      <c r="AC94" s="12"/>
    </row>
    <row r="95" spans="1:29" x14ac:dyDescent="0.3">
      <c r="A95" s="12"/>
      <c r="B95" s="12"/>
      <c r="C95" s="12"/>
      <c r="D95" s="12"/>
      <c r="E95" s="12"/>
      <c r="F95" s="12"/>
      <c r="G95" s="12"/>
      <c r="H95" s="12"/>
      <c r="I95" s="13"/>
      <c r="J95" s="13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4"/>
      <c r="W95" s="12"/>
      <c r="X95" s="12"/>
      <c r="Y95" s="15"/>
      <c r="Z95" s="12"/>
      <c r="AA95" s="12"/>
      <c r="AB95" s="12"/>
      <c r="AC95" s="12"/>
    </row>
    <row r="96" spans="1:29" x14ac:dyDescent="0.3">
      <c r="A96" s="12"/>
      <c r="B96" s="12"/>
      <c r="C96" s="12"/>
      <c r="D96" s="12"/>
      <c r="E96" s="12"/>
      <c r="F96" s="12"/>
      <c r="G96" s="12"/>
      <c r="H96" s="12"/>
      <c r="I96" s="13"/>
      <c r="J96" s="13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4"/>
      <c r="W96" s="12"/>
      <c r="X96" s="12"/>
      <c r="Y96" s="15"/>
      <c r="Z96" s="12"/>
      <c r="AA96" s="12"/>
      <c r="AB96" s="12"/>
      <c r="AC96" s="12"/>
    </row>
    <row r="97" spans="1:29" x14ac:dyDescent="0.3">
      <c r="A97" s="12"/>
      <c r="B97" s="12"/>
      <c r="C97" s="12"/>
      <c r="D97" s="12"/>
      <c r="E97" s="12"/>
      <c r="F97" s="12"/>
      <c r="G97" s="12"/>
      <c r="H97" s="12"/>
      <c r="I97" s="13"/>
      <c r="J97" s="13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4"/>
      <c r="W97" s="12"/>
      <c r="X97" s="12"/>
      <c r="Y97" s="15"/>
      <c r="Z97" s="12"/>
      <c r="AA97" s="12"/>
      <c r="AB97" s="12"/>
      <c r="AC97" s="12"/>
    </row>
    <row r="98" spans="1:29" x14ac:dyDescent="0.3">
      <c r="A98" s="12"/>
      <c r="B98" s="12"/>
      <c r="C98" s="12"/>
      <c r="D98" s="12"/>
      <c r="E98" s="12"/>
      <c r="F98" s="12"/>
      <c r="G98" s="12"/>
      <c r="H98" s="12"/>
      <c r="I98" s="13"/>
      <c r="J98" s="13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4"/>
      <c r="W98" s="12"/>
      <c r="X98" s="12"/>
      <c r="Y98" s="15"/>
      <c r="Z98" s="12"/>
      <c r="AA98" s="12"/>
      <c r="AB98" s="12"/>
      <c r="AC98" s="12"/>
    </row>
    <row r="99" spans="1:29" x14ac:dyDescent="0.3">
      <c r="A99" s="12"/>
      <c r="B99" s="12"/>
      <c r="C99" s="12"/>
      <c r="D99" s="12"/>
      <c r="E99" s="12"/>
      <c r="F99" s="12"/>
      <c r="G99" s="12"/>
      <c r="H99" s="12"/>
      <c r="I99" s="13"/>
      <c r="J99" s="13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4"/>
      <c r="W99" s="12"/>
      <c r="X99" s="12"/>
      <c r="Y99" s="15"/>
      <c r="Z99" s="12"/>
      <c r="AA99" s="12"/>
      <c r="AB99" s="12"/>
      <c r="AC99" s="12"/>
    </row>
    <row r="100" spans="1:29" x14ac:dyDescent="0.3">
      <c r="A100" s="12"/>
      <c r="B100" s="12"/>
      <c r="C100" s="12"/>
      <c r="D100" s="12"/>
      <c r="E100" s="12"/>
      <c r="F100" s="12"/>
      <c r="G100" s="12"/>
      <c r="H100" s="12"/>
      <c r="I100" s="13"/>
      <c r="J100" s="13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4"/>
      <c r="W100" s="12"/>
      <c r="X100" s="12"/>
      <c r="Y100" s="15"/>
      <c r="Z100" s="12"/>
      <c r="AA100" s="12"/>
      <c r="AB100" s="12"/>
      <c r="AC100" s="12"/>
    </row>
    <row r="101" spans="1:29" x14ac:dyDescent="0.3">
      <c r="A101" s="12"/>
      <c r="B101" s="12"/>
      <c r="C101" s="12"/>
      <c r="D101" s="12"/>
      <c r="E101" s="12"/>
      <c r="F101" s="12"/>
      <c r="G101" s="12"/>
      <c r="H101" s="12"/>
      <c r="I101" s="13"/>
      <c r="J101" s="13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4"/>
      <c r="W101" s="12"/>
      <c r="X101" s="12"/>
      <c r="Y101" s="15"/>
      <c r="Z101" s="12"/>
      <c r="AA101" s="12"/>
      <c r="AB101" s="12"/>
      <c r="AC101" s="12"/>
    </row>
    <row r="102" spans="1:29" x14ac:dyDescent="0.3">
      <c r="A102" s="12"/>
      <c r="B102" s="12"/>
      <c r="C102" s="12"/>
      <c r="D102" s="12"/>
      <c r="E102" s="12"/>
      <c r="F102" s="12"/>
      <c r="G102" s="12"/>
      <c r="H102" s="12"/>
      <c r="I102" s="13"/>
      <c r="J102" s="13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4"/>
      <c r="W102" s="12"/>
      <c r="X102" s="12"/>
      <c r="Y102" s="15"/>
      <c r="Z102" s="12"/>
      <c r="AA102" s="12"/>
      <c r="AB102" s="12"/>
      <c r="AC102" s="12"/>
    </row>
    <row r="103" spans="1:29" x14ac:dyDescent="0.3">
      <c r="A103" s="12"/>
      <c r="B103" s="12"/>
      <c r="C103" s="12"/>
      <c r="D103" s="12"/>
      <c r="E103" s="12"/>
      <c r="F103" s="12"/>
      <c r="G103" s="12"/>
      <c r="H103" s="12"/>
      <c r="I103" s="13"/>
      <c r="J103" s="13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4"/>
      <c r="W103" s="12"/>
      <c r="X103" s="12"/>
      <c r="Y103" s="15"/>
      <c r="Z103" s="12"/>
      <c r="AA103" s="12"/>
      <c r="AB103" s="12"/>
      <c r="AC103" s="12"/>
    </row>
    <row r="104" spans="1:29" x14ac:dyDescent="0.3">
      <c r="A104" s="12"/>
      <c r="B104" s="12"/>
      <c r="C104" s="12"/>
      <c r="D104" s="12"/>
      <c r="E104" s="12"/>
      <c r="F104" s="12"/>
      <c r="G104" s="12"/>
      <c r="H104" s="12"/>
      <c r="I104" s="13"/>
      <c r="J104" s="13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4"/>
      <c r="W104" s="12"/>
      <c r="X104" s="12"/>
      <c r="Y104" s="15"/>
      <c r="Z104" s="12"/>
      <c r="AA104" s="12"/>
      <c r="AB104" s="12"/>
      <c r="AC104" s="12"/>
    </row>
    <row r="105" spans="1:29" x14ac:dyDescent="0.3">
      <c r="A105" s="12"/>
      <c r="B105" s="12"/>
      <c r="C105" s="12"/>
      <c r="D105" s="12"/>
      <c r="E105" s="12"/>
      <c r="F105" s="12"/>
      <c r="G105" s="12"/>
      <c r="H105" s="12"/>
      <c r="I105" s="13"/>
      <c r="J105" s="13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4"/>
      <c r="W105" s="12"/>
      <c r="X105" s="12"/>
      <c r="Y105" s="15"/>
      <c r="Z105" s="12"/>
      <c r="AA105" s="12"/>
      <c r="AB105" s="12"/>
      <c r="AC105" s="12"/>
    </row>
    <row r="106" spans="1:29" x14ac:dyDescent="0.3">
      <c r="A106" s="12"/>
      <c r="B106" s="12"/>
      <c r="C106" s="12"/>
      <c r="D106" s="12"/>
      <c r="E106" s="12"/>
      <c r="F106" s="12"/>
      <c r="G106" s="12"/>
      <c r="H106" s="12"/>
      <c r="I106" s="13"/>
      <c r="J106" s="13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4"/>
      <c r="W106" s="12"/>
      <c r="X106" s="12"/>
      <c r="Y106" s="15"/>
      <c r="Z106" s="12"/>
      <c r="AA106" s="12"/>
      <c r="AB106" s="12"/>
      <c r="AC106" s="12"/>
    </row>
    <row r="107" spans="1:29" x14ac:dyDescent="0.3">
      <c r="A107" s="12"/>
      <c r="B107" s="12"/>
      <c r="C107" s="12"/>
      <c r="D107" s="12"/>
      <c r="E107" s="12"/>
      <c r="F107" s="12"/>
      <c r="G107" s="12"/>
      <c r="H107" s="12"/>
      <c r="I107" s="13"/>
      <c r="J107" s="13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4"/>
      <c r="W107" s="12"/>
      <c r="X107" s="12"/>
      <c r="Y107" s="15"/>
      <c r="Z107" s="12"/>
      <c r="AA107" s="12"/>
      <c r="AB107" s="12"/>
      <c r="AC107" s="12"/>
    </row>
    <row r="108" spans="1:29" x14ac:dyDescent="0.3">
      <c r="A108" s="12"/>
      <c r="B108" s="12"/>
      <c r="C108" s="12"/>
      <c r="D108" s="12"/>
      <c r="E108" s="12"/>
      <c r="F108" s="12"/>
      <c r="G108" s="12"/>
      <c r="H108" s="12"/>
      <c r="I108" s="13"/>
      <c r="J108" s="13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4"/>
      <c r="W108" s="12"/>
      <c r="X108" s="12"/>
      <c r="Y108" s="15"/>
      <c r="Z108" s="12"/>
      <c r="AA108" s="12"/>
      <c r="AB108" s="12"/>
      <c r="AC108" s="12"/>
    </row>
    <row r="109" spans="1:29" x14ac:dyDescent="0.3">
      <c r="A109" s="12"/>
      <c r="B109" s="12"/>
      <c r="C109" s="12"/>
      <c r="D109" s="12"/>
      <c r="E109" s="12"/>
      <c r="F109" s="12"/>
      <c r="G109" s="12"/>
      <c r="H109" s="12"/>
      <c r="I109" s="13"/>
      <c r="J109" s="13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4"/>
      <c r="W109" s="12"/>
      <c r="X109" s="12"/>
      <c r="Y109" s="15"/>
      <c r="Z109" s="12"/>
      <c r="AA109" s="12"/>
      <c r="AB109" s="12"/>
      <c r="AC109" s="12"/>
    </row>
    <row r="110" spans="1:29" x14ac:dyDescent="0.3">
      <c r="A110" s="12"/>
      <c r="B110" s="12"/>
      <c r="C110" s="12"/>
      <c r="D110" s="12"/>
      <c r="E110" s="12"/>
      <c r="F110" s="12"/>
      <c r="G110" s="12"/>
      <c r="H110" s="12"/>
      <c r="I110" s="13"/>
      <c r="J110" s="13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4"/>
      <c r="W110" s="12"/>
      <c r="X110" s="12"/>
      <c r="Y110" s="15"/>
      <c r="Z110" s="12"/>
      <c r="AA110" s="12"/>
      <c r="AB110" s="12"/>
      <c r="AC110" s="12"/>
    </row>
    <row r="111" spans="1:29" x14ac:dyDescent="0.3">
      <c r="A111" s="12"/>
      <c r="B111" s="12"/>
      <c r="C111" s="12"/>
      <c r="D111" s="12"/>
      <c r="E111" s="12"/>
      <c r="F111" s="12"/>
      <c r="G111" s="12"/>
      <c r="H111" s="12"/>
      <c r="I111" s="13"/>
      <c r="J111" s="13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4"/>
      <c r="W111" s="12"/>
      <c r="X111" s="12"/>
      <c r="Y111" s="15"/>
      <c r="Z111" s="12"/>
      <c r="AA111" s="12"/>
      <c r="AB111" s="12"/>
      <c r="AC111" s="12"/>
    </row>
    <row r="112" spans="1:29" x14ac:dyDescent="0.3">
      <c r="A112" s="12"/>
      <c r="B112" s="12"/>
      <c r="C112" s="12"/>
      <c r="D112" s="12"/>
      <c r="E112" s="12"/>
      <c r="F112" s="12"/>
      <c r="G112" s="12"/>
      <c r="H112" s="12"/>
      <c r="I112" s="13"/>
      <c r="J112" s="13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4"/>
      <c r="W112" s="12"/>
      <c r="X112" s="12"/>
      <c r="Y112" s="15"/>
      <c r="Z112" s="12"/>
      <c r="AA112" s="12"/>
      <c r="AB112" s="12"/>
      <c r="AC112" s="12"/>
    </row>
    <row r="113" spans="1:29" x14ac:dyDescent="0.3">
      <c r="A113" s="12"/>
      <c r="B113" s="12"/>
      <c r="C113" s="12"/>
      <c r="D113" s="12"/>
      <c r="E113" s="12"/>
      <c r="F113" s="12"/>
      <c r="G113" s="12"/>
      <c r="H113" s="12"/>
      <c r="I113" s="13"/>
      <c r="J113" s="13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4"/>
      <c r="W113" s="12"/>
      <c r="X113" s="12"/>
      <c r="Y113" s="15"/>
      <c r="Z113" s="12"/>
      <c r="AA113" s="12"/>
      <c r="AB113" s="12"/>
      <c r="AC113" s="12"/>
    </row>
    <row r="114" spans="1:29" x14ac:dyDescent="0.3">
      <c r="A114" s="12"/>
      <c r="B114" s="12"/>
      <c r="C114" s="12"/>
      <c r="D114" s="12"/>
      <c r="E114" s="12"/>
      <c r="F114" s="12"/>
      <c r="G114" s="12"/>
      <c r="H114" s="12"/>
      <c r="I114" s="13"/>
      <c r="J114" s="13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4"/>
      <c r="W114" s="12"/>
      <c r="X114" s="12"/>
      <c r="Y114" s="15"/>
      <c r="Z114" s="12"/>
      <c r="AA114" s="12"/>
      <c r="AB114" s="12"/>
      <c r="AC114" s="12"/>
    </row>
    <row r="115" spans="1:29" x14ac:dyDescent="0.3">
      <c r="A115" s="12"/>
      <c r="B115" s="12"/>
      <c r="C115" s="12"/>
      <c r="D115" s="12"/>
      <c r="E115" s="12"/>
      <c r="F115" s="12"/>
      <c r="G115" s="12"/>
      <c r="H115" s="12"/>
      <c r="I115" s="13"/>
      <c r="J115" s="13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4"/>
      <c r="W115" s="12"/>
      <c r="X115" s="12"/>
      <c r="Y115" s="15"/>
      <c r="Z115" s="12"/>
      <c r="AA115" s="12"/>
      <c r="AB115" s="12"/>
      <c r="AC115" s="12"/>
    </row>
    <row r="116" spans="1:29" x14ac:dyDescent="0.3">
      <c r="A116" s="12"/>
      <c r="B116" s="12"/>
      <c r="C116" s="12"/>
      <c r="D116" s="12"/>
      <c r="E116" s="12"/>
      <c r="F116" s="12"/>
      <c r="G116" s="12"/>
      <c r="H116" s="12"/>
      <c r="I116" s="13"/>
      <c r="J116" s="13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4"/>
      <c r="W116" s="12"/>
      <c r="X116" s="12"/>
      <c r="Y116" s="15"/>
      <c r="Z116" s="12"/>
      <c r="AA116" s="12"/>
      <c r="AB116" s="12"/>
      <c r="AC116" s="12"/>
    </row>
    <row r="117" spans="1:29" x14ac:dyDescent="0.3">
      <c r="A117" s="12"/>
      <c r="B117" s="12"/>
      <c r="C117" s="12"/>
      <c r="D117" s="12"/>
      <c r="E117" s="12"/>
      <c r="F117" s="12"/>
      <c r="G117" s="12"/>
      <c r="H117" s="12"/>
      <c r="I117" s="13"/>
      <c r="J117" s="13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4"/>
      <c r="W117" s="12"/>
      <c r="X117" s="12"/>
      <c r="Y117" s="15"/>
      <c r="Z117" s="12"/>
      <c r="AA117" s="12"/>
      <c r="AB117" s="12"/>
      <c r="AC117" s="12"/>
    </row>
    <row r="118" spans="1:29" x14ac:dyDescent="0.3">
      <c r="A118" s="12"/>
      <c r="B118" s="12"/>
      <c r="C118" s="12"/>
      <c r="D118" s="12"/>
      <c r="E118" s="12"/>
      <c r="F118" s="12"/>
      <c r="G118" s="12"/>
      <c r="H118" s="12"/>
      <c r="I118" s="13"/>
      <c r="J118" s="13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4"/>
      <c r="W118" s="12"/>
      <c r="X118" s="12"/>
      <c r="Y118" s="15"/>
      <c r="Z118" s="12"/>
      <c r="AA118" s="12"/>
      <c r="AB118" s="12"/>
      <c r="AC118" s="12"/>
    </row>
    <row r="119" spans="1:29" x14ac:dyDescent="0.3">
      <c r="A119" s="12"/>
      <c r="B119" s="12"/>
      <c r="C119" s="12"/>
      <c r="D119" s="12"/>
      <c r="E119" s="12"/>
      <c r="F119" s="12"/>
      <c r="G119" s="12"/>
      <c r="H119" s="12"/>
      <c r="I119" s="13"/>
      <c r="J119" s="13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4"/>
      <c r="W119" s="12"/>
      <c r="X119" s="12"/>
      <c r="Y119" s="15"/>
      <c r="Z119" s="12"/>
      <c r="AA119" s="12"/>
      <c r="AB119" s="12"/>
      <c r="AC119" s="12"/>
    </row>
    <row r="120" spans="1:29" x14ac:dyDescent="0.3">
      <c r="A120" s="12"/>
      <c r="B120" s="12"/>
      <c r="C120" s="12"/>
      <c r="D120" s="12"/>
      <c r="E120" s="12"/>
      <c r="F120" s="12"/>
      <c r="G120" s="12"/>
      <c r="H120" s="12"/>
      <c r="I120" s="13"/>
      <c r="J120" s="13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4"/>
      <c r="W120" s="12"/>
      <c r="X120" s="12"/>
      <c r="Y120" s="15"/>
      <c r="Z120" s="12"/>
      <c r="AA120" s="12"/>
      <c r="AB120" s="12"/>
      <c r="AC120" s="12"/>
    </row>
    <row r="121" spans="1:29" x14ac:dyDescent="0.3">
      <c r="A121" s="12"/>
      <c r="B121" s="12"/>
      <c r="C121" s="12"/>
      <c r="D121" s="12"/>
      <c r="E121" s="12"/>
      <c r="F121" s="12"/>
      <c r="G121" s="12"/>
      <c r="H121" s="12"/>
      <c r="I121" s="13"/>
      <c r="J121" s="13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4"/>
      <c r="W121" s="12"/>
      <c r="X121" s="12"/>
      <c r="Y121" s="15"/>
      <c r="Z121" s="12"/>
      <c r="AA121" s="12"/>
      <c r="AB121" s="12"/>
      <c r="AC121" s="12"/>
    </row>
    <row r="122" spans="1:29" x14ac:dyDescent="0.3">
      <c r="A122" s="12"/>
      <c r="B122" s="12"/>
      <c r="C122" s="12"/>
      <c r="D122" s="12"/>
      <c r="E122" s="12"/>
      <c r="F122" s="12"/>
      <c r="G122" s="12"/>
      <c r="H122" s="12"/>
      <c r="I122" s="13"/>
      <c r="J122" s="13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4"/>
      <c r="W122" s="12"/>
      <c r="X122" s="12"/>
      <c r="Y122" s="15"/>
      <c r="Z122" s="12"/>
      <c r="AA122" s="12"/>
      <c r="AB122" s="12"/>
      <c r="AC122" s="12"/>
    </row>
    <row r="123" spans="1:29" x14ac:dyDescent="0.3">
      <c r="A123" s="12"/>
      <c r="B123" s="12"/>
      <c r="C123" s="12"/>
      <c r="D123" s="12"/>
      <c r="E123" s="12"/>
      <c r="F123" s="12"/>
      <c r="G123" s="12"/>
      <c r="H123" s="12"/>
      <c r="I123" s="13"/>
      <c r="J123" s="13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4"/>
      <c r="W123" s="12"/>
      <c r="X123" s="12"/>
      <c r="Y123" s="15"/>
      <c r="Z123" s="12"/>
      <c r="AA123" s="12"/>
      <c r="AB123" s="12"/>
      <c r="AC123" s="12"/>
    </row>
    <row r="124" spans="1:29" x14ac:dyDescent="0.3">
      <c r="A124" s="12"/>
      <c r="B124" s="12"/>
      <c r="C124" s="12"/>
      <c r="D124" s="12"/>
      <c r="E124" s="12"/>
      <c r="F124" s="12"/>
      <c r="G124" s="12"/>
      <c r="H124" s="12"/>
      <c r="I124" s="13"/>
      <c r="J124" s="13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4"/>
      <c r="W124" s="12"/>
      <c r="X124" s="12"/>
      <c r="Y124" s="15"/>
      <c r="Z124" s="12"/>
      <c r="AA124" s="12"/>
      <c r="AB124" s="12"/>
      <c r="AC124" s="12"/>
    </row>
    <row r="125" spans="1:29" x14ac:dyDescent="0.3">
      <c r="A125" s="12"/>
      <c r="B125" s="12"/>
      <c r="C125" s="12"/>
      <c r="D125" s="12"/>
      <c r="E125" s="12"/>
      <c r="F125" s="12"/>
      <c r="G125" s="12"/>
      <c r="H125" s="12"/>
      <c r="I125" s="13"/>
      <c r="J125" s="13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4"/>
      <c r="W125" s="12"/>
      <c r="X125" s="12"/>
      <c r="Y125" s="15"/>
      <c r="Z125" s="12"/>
      <c r="AA125" s="12"/>
      <c r="AB125" s="12"/>
      <c r="AC125" s="12"/>
    </row>
    <row r="126" spans="1:29" x14ac:dyDescent="0.3">
      <c r="A126" s="12"/>
      <c r="B126" s="12"/>
      <c r="C126" s="12"/>
      <c r="D126" s="12"/>
      <c r="E126" s="12"/>
      <c r="F126" s="12"/>
      <c r="G126" s="12"/>
      <c r="H126" s="12"/>
      <c r="I126" s="13"/>
      <c r="J126" s="13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4"/>
      <c r="W126" s="12"/>
      <c r="X126" s="12"/>
      <c r="Y126" s="15"/>
      <c r="Z126" s="12"/>
      <c r="AA126" s="12"/>
      <c r="AB126" s="12"/>
      <c r="AC126" s="12"/>
    </row>
    <row r="127" spans="1:29" x14ac:dyDescent="0.3">
      <c r="A127" s="12"/>
      <c r="B127" s="12"/>
      <c r="C127" s="12"/>
      <c r="D127" s="12"/>
      <c r="E127" s="12"/>
      <c r="F127" s="12"/>
      <c r="G127" s="12"/>
      <c r="H127" s="12"/>
      <c r="I127" s="13"/>
      <c r="J127" s="13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4"/>
      <c r="W127" s="12"/>
      <c r="X127" s="12"/>
      <c r="Y127" s="15"/>
      <c r="Z127" s="12"/>
      <c r="AA127" s="12"/>
      <c r="AB127" s="12"/>
      <c r="AC127" s="12"/>
    </row>
    <row r="128" spans="1:29" x14ac:dyDescent="0.3">
      <c r="A128" s="12"/>
      <c r="B128" s="12"/>
      <c r="C128" s="12"/>
      <c r="D128" s="12"/>
      <c r="E128" s="12"/>
      <c r="F128" s="12"/>
      <c r="G128" s="12"/>
      <c r="H128" s="12"/>
      <c r="I128" s="13"/>
      <c r="J128" s="13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4"/>
      <c r="W128" s="12"/>
      <c r="X128" s="12"/>
      <c r="Y128" s="15"/>
      <c r="Z128" s="12"/>
      <c r="AA128" s="12"/>
      <c r="AB128" s="12"/>
      <c r="AC128" s="12"/>
    </row>
    <row r="129" spans="1:29" x14ac:dyDescent="0.3">
      <c r="A129" s="12"/>
      <c r="B129" s="12"/>
      <c r="C129" s="12"/>
      <c r="D129" s="12"/>
      <c r="E129" s="12"/>
      <c r="F129" s="12"/>
      <c r="G129" s="12"/>
      <c r="H129" s="12"/>
      <c r="I129" s="13"/>
      <c r="J129" s="13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4"/>
      <c r="W129" s="12"/>
      <c r="X129" s="12"/>
      <c r="Y129" s="15"/>
      <c r="Z129" s="12"/>
      <c r="AA129" s="12"/>
      <c r="AB129" s="12"/>
      <c r="AC129" s="12"/>
    </row>
    <row r="130" spans="1:29" x14ac:dyDescent="0.3">
      <c r="A130" s="12"/>
      <c r="B130" s="12"/>
      <c r="C130" s="12"/>
      <c r="D130" s="12"/>
      <c r="E130" s="12"/>
      <c r="F130" s="12"/>
      <c r="G130" s="12"/>
      <c r="H130" s="12"/>
      <c r="I130" s="13"/>
      <c r="J130" s="13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4"/>
      <c r="W130" s="12"/>
      <c r="X130" s="12"/>
      <c r="Y130" s="15"/>
      <c r="Z130" s="12"/>
      <c r="AA130" s="12"/>
      <c r="AB130" s="12"/>
      <c r="AC130" s="12"/>
    </row>
    <row r="131" spans="1:29" x14ac:dyDescent="0.3">
      <c r="A131" s="12"/>
      <c r="B131" s="12"/>
      <c r="C131" s="12"/>
      <c r="D131" s="12"/>
      <c r="E131" s="12"/>
      <c r="F131" s="12"/>
      <c r="G131" s="12"/>
      <c r="H131" s="12"/>
      <c r="I131" s="13"/>
      <c r="J131" s="13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4"/>
      <c r="W131" s="12"/>
      <c r="X131" s="12"/>
      <c r="Y131" s="15"/>
      <c r="Z131" s="12"/>
      <c r="AA131" s="12"/>
      <c r="AB131" s="12"/>
      <c r="AC131" s="12"/>
    </row>
    <row r="132" spans="1:29" x14ac:dyDescent="0.3">
      <c r="A132" s="12"/>
      <c r="B132" s="12"/>
      <c r="C132" s="12"/>
      <c r="D132" s="12"/>
      <c r="E132" s="12"/>
      <c r="F132" s="12"/>
      <c r="G132" s="12"/>
      <c r="H132" s="12"/>
      <c r="I132" s="13"/>
      <c r="J132" s="13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4"/>
      <c r="W132" s="12"/>
      <c r="X132" s="12"/>
      <c r="Y132" s="15"/>
      <c r="Z132" s="12"/>
      <c r="AA132" s="12"/>
      <c r="AB132" s="12"/>
      <c r="AC132" s="12"/>
    </row>
    <row r="133" spans="1:29" x14ac:dyDescent="0.3">
      <c r="A133" s="12"/>
      <c r="B133" s="12"/>
      <c r="C133" s="12"/>
      <c r="D133" s="12"/>
      <c r="E133" s="12"/>
      <c r="F133" s="12"/>
      <c r="G133" s="12"/>
      <c r="H133" s="12"/>
      <c r="I133" s="13"/>
      <c r="J133" s="13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4"/>
      <c r="W133" s="12"/>
      <c r="X133" s="12"/>
      <c r="Y133" s="15"/>
      <c r="Z133" s="12"/>
      <c r="AA133" s="12"/>
      <c r="AB133" s="12"/>
      <c r="AC133" s="12"/>
    </row>
    <row r="134" spans="1:29" x14ac:dyDescent="0.3">
      <c r="A134" s="12"/>
      <c r="B134" s="12"/>
      <c r="C134" s="12"/>
      <c r="D134" s="12"/>
      <c r="E134" s="12"/>
      <c r="F134" s="12"/>
      <c r="G134" s="12"/>
      <c r="H134" s="12"/>
      <c r="I134" s="13"/>
      <c r="J134" s="13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4"/>
      <c r="W134" s="12"/>
      <c r="X134" s="12"/>
      <c r="Y134" s="15"/>
      <c r="Z134" s="12"/>
      <c r="AA134" s="12"/>
      <c r="AB134" s="12"/>
      <c r="AC134" s="12"/>
    </row>
    <row r="135" spans="1:29" x14ac:dyDescent="0.3">
      <c r="A135" s="12"/>
      <c r="B135" s="12"/>
      <c r="C135" s="12"/>
      <c r="D135" s="12"/>
      <c r="E135" s="12"/>
      <c r="F135" s="12"/>
      <c r="G135" s="12"/>
      <c r="H135" s="12"/>
      <c r="I135" s="13"/>
      <c r="J135" s="13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4"/>
      <c r="W135" s="12"/>
      <c r="X135" s="12"/>
      <c r="Y135" s="15"/>
      <c r="Z135" s="12"/>
      <c r="AA135" s="12"/>
      <c r="AB135" s="12"/>
      <c r="AC135" s="12"/>
    </row>
    <row r="136" spans="1:29" x14ac:dyDescent="0.3">
      <c r="A136" s="12"/>
      <c r="B136" s="12"/>
      <c r="C136" s="12"/>
      <c r="D136" s="12"/>
      <c r="E136" s="12"/>
      <c r="F136" s="12"/>
      <c r="G136" s="12"/>
      <c r="H136" s="12"/>
      <c r="I136" s="13"/>
      <c r="J136" s="13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4"/>
      <c r="W136" s="12"/>
      <c r="X136" s="12"/>
      <c r="Y136" s="15"/>
      <c r="Z136" s="12"/>
      <c r="AA136" s="12"/>
      <c r="AB136" s="12"/>
      <c r="AC136" s="12"/>
    </row>
    <row r="137" spans="1:29" x14ac:dyDescent="0.3">
      <c r="A137" s="12"/>
      <c r="B137" s="12"/>
      <c r="C137" s="12"/>
      <c r="D137" s="12"/>
      <c r="E137" s="12"/>
      <c r="F137" s="12"/>
      <c r="G137" s="12"/>
      <c r="H137" s="12"/>
      <c r="I137" s="13"/>
      <c r="J137" s="13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4"/>
      <c r="W137" s="12"/>
      <c r="X137" s="12"/>
      <c r="Y137" s="15"/>
      <c r="Z137" s="12"/>
      <c r="AA137" s="12"/>
      <c r="AB137" s="12"/>
      <c r="AC137" s="12"/>
    </row>
    <row r="138" spans="1:29" x14ac:dyDescent="0.3">
      <c r="A138" s="12"/>
      <c r="B138" s="12"/>
      <c r="C138" s="12"/>
      <c r="D138" s="12"/>
      <c r="E138" s="12"/>
      <c r="F138" s="12"/>
      <c r="G138" s="12"/>
      <c r="H138" s="12"/>
      <c r="I138" s="13"/>
      <c r="J138" s="13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4"/>
      <c r="W138" s="12"/>
      <c r="X138" s="12"/>
      <c r="Y138" s="15"/>
      <c r="Z138" s="12"/>
      <c r="AA138" s="12"/>
      <c r="AB138" s="12"/>
      <c r="AC138" s="12"/>
    </row>
    <row r="139" spans="1:29" x14ac:dyDescent="0.3">
      <c r="A139" s="12"/>
      <c r="B139" s="12"/>
      <c r="C139" s="12"/>
      <c r="D139" s="12"/>
      <c r="E139" s="12"/>
      <c r="F139" s="12"/>
      <c r="G139" s="12"/>
      <c r="H139" s="12"/>
      <c r="I139" s="13"/>
      <c r="J139" s="13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4"/>
      <c r="W139" s="12"/>
      <c r="X139" s="12"/>
      <c r="Y139" s="15"/>
      <c r="Z139" s="12"/>
      <c r="AA139" s="12"/>
      <c r="AB139" s="12"/>
      <c r="AC139" s="12"/>
    </row>
    <row r="140" spans="1:29" x14ac:dyDescent="0.3">
      <c r="A140" s="12"/>
      <c r="B140" s="12"/>
      <c r="C140" s="12"/>
      <c r="D140" s="12"/>
      <c r="E140" s="12"/>
      <c r="F140" s="12"/>
      <c r="G140" s="12"/>
      <c r="H140" s="12"/>
      <c r="I140" s="13"/>
      <c r="J140" s="13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4"/>
      <c r="W140" s="12"/>
      <c r="X140" s="12"/>
      <c r="Y140" s="15"/>
      <c r="Z140" s="12"/>
      <c r="AA140" s="12"/>
      <c r="AB140" s="12"/>
      <c r="AC140" s="12"/>
    </row>
    <row r="141" spans="1:29" x14ac:dyDescent="0.3">
      <c r="A141" s="12"/>
      <c r="B141" s="12"/>
      <c r="C141" s="12"/>
      <c r="D141" s="12"/>
      <c r="E141" s="12"/>
      <c r="F141" s="12"/>
      <c r="G141" s="12"/>
      <c r="H141" s="12"/>
      <c r="I141" s="13"/>
      <c r="J141" s="13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4"/>
      <c r="W141" s="12"/>
      <c r="X141" s="12"/>
      <c r="Y141" s="15"/>
      <c r="Z141" s="12"/>
      <c r="AA141" s="12"/>
      <c r="AB141" s="12"/>
      <c r="AC141" s="12"/>
    </row>
    <row r="142" spans="1:29" x14ac:dyDescent="0.3">
      <c r="A142" s="12"/>
      <c r="B142" s="12"/>
      <c r="C142" s="12"/>
      <c r="D142" s="12"/>
      <c r="E142" s="12"/>
      <c r="F142" s="12"/>
      <c r="G142" s="12"/>
      <c r="H142" s="12"/>
      <c r="I142" s="13"/>
      <c r="J142" s="13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4"/>
      <c r="W142" s="12"/>
      <c r="X142" s="12"/>
      <c r="Y142" s="15"/>
      <c r="Z142" s="12"/>
      <c r="AA142" s="12"/>
      <c r="AB142" s="12"/>
      <c r="AC142" s="12"/>
    </row>
    <row r="143" spans="1:29" x14ac:dyDescent="0.3">
      <c r="A143" s="12"/>
      <c r="B143" s="12"/>
      <c r="C143" s="12"/>
      <c r="D143" s="12"/>
      <c r="E143" s="12"/>
      <c r="F143" s="12"/>
      <c r="G143" s="12"/>
      <c r="H143" s="12"/>
      <c r="I143" s="13"/>
      <c r="J143" s="13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4"/>
      <c r="W143" s="12"/>
      <c r="X143" s="12"/>
      <c r="Y143" s="15"/>
      <c r="Z143" s="12"/>
      <c r="AA143" s="12"/>
      <c r="AB143" s="12"/>
      <c r="AC143" s="12"/>
    </row>
    <row r="144" spans="1:29" x14ac:dyDescent="0.3">
      <c r="A144" s="12"/>
      <c r="B144" s="12"/>
      <c r="C144" s="12"/>
      <c r="D144" s="12"/>
      <c r="E144" s="12"/>
      <c r="F144" s="12"/>
      <c r="G144" s="12"/>
      <c r="H144" s="12"/>
      <c r="I144" s="13"/>
      <c r="J144" s="13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4"/>
      <c r="W144" s="12"/>
      <c r="X144" s="12"/>
      <c r="Y144" s="15"/>
      <c r="Z144" s="12"/>
      <c r="AA144" s="12"/>
      <c r="AB144" s="12"/>
      <c r="AC144" s="12"/>
    </row>
    <row r="145" spans="1:29" x14ac:dyDescent="0.3">
      <c r="A145" s="12"/>
      <c r="B145" s="12"/>
      <c r="C145" s="12"/>
      <c r="D145" s="12"/>
      <c r="E145" s="12"/>
      <c r="F145" s="12"/>
      <c r="G145" s="12"/>
      <c r="H145" s="12"/>
      <c r="I145" s="13"/>
      <c r="J145" s="13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4"/>
      <c r="W145" s="12"/>
      <c r="X145" s="12"/>
      <c r="Y145" s="15"/>
      <c r="Z145" s="12"/>
      <c r="AA145" s="12"/>
      <c r="AB145" s="12"/>
      <c r="AC145" s="12"/>
    </row>
    <row r="146" spans="1:29" x14ac:dyDescent="0.3">
      <c r="A146" s="12"/>
      <c r="B146" s="12"/>
      <c r="C146" s="12"/>
      <c r="D146" s="12"/>
      <c r="E146" s="12"/>
      <c r="F146" s="12"/>
      <c r="G146" s="12"/>
      <c r="H146" s="12"/>
      <c r="I146" s="13"/>
      <c r="J146" s="13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4"/>
      <c r="W146" s="12"/>
      <c r="X146" s="12"/>
      <c r="Y146" s="15"/>
      <c r="Z146" s="12"/>
      <c r="AA146" s="12"/>
      <c r="AB146" s="12"/>
      <c r="AC146" s="12"/>
    </row>
    <row r="147" spans="1:29" x14ac:dyDescent="0.3">
      <c r="A147" s="12"/>
      <c r="B147" s="12"/>
      <c r="C147" s="12"/>
      <c r="D147" s="12"/>
      <c r="E147" s="12"/>
      <c r="F147" s="12"/>
      <c r="G147" s="12"/>
      <c r="H147" s="12"/>
      <c r="I147" s="13"/>
      <c r="J147" s="13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4"/>
      <c r="W147" s="12"/>
      <c r="X147" s="12"/>
      <c r="Y147" s="15"/>
      <c r="Z147" s="12"/>
      <c r="AA147" s="12"/>
      <c r="AB147" s="12"/>
      <c r="AC147" s="12"/>
    </row>
    <row r="148" spans="1:29" x14ac:dyDescent="0.3">
      <c r="A148" s="12"/>
      <c r="B148" s="12"/>
      <c r="C148" s="12"/>
      <c r="D148" s="12"/>
      <c r="E148" s="12"/>
      <c r="F148" s="12"/>
      <c r="G148" s="12"/>
      <c r="H148" s="12"/>
      <c r="I148" s="13"/>
      <c r="J148" s="13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4"/>
      <c r="W148" s="12"/>
      <c r="X148" s="12"/>
      <c r="Y148" s="15"/>
      <c r="Z148" s="12"/>
      <c r="AA148" s="12"/>
      <c r="AB148" s="12"/>
      <c r="AC148" s="12"/>
    </row>
    <row r="149" spans="1:29" x14ac:dyDescent="0.3">
      <c r="A149" s="12"/>
      <c r="B149" s="12"/>
      <c r="C149" s="12"/>
      <c r="D149" s="12"/>
      <c r="E149" s="12"/>
      <c r="F149" s="12"/>
      <c r="G149" s="12"/>
      <c r="H149" s="12"/>
      <c r="I149" s="13"/>
      <c r="J149" s="13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4"/>
      <c r="W149" s="12"/>
      <c r="X149" s="12"/>
      <c r="Y149" s="15"/>
      <c r="Z149" s="12"/>
      <c r="AA149" s="12"/>
      <c r="AB149" s="12"/>
      <c r="AC149" s="12"/>
    </row>
    <row r="150" spans="1:29" x14ac:dyDescent="0.3">
      <c r="A150" s="12"/>
      <c r="B150" s="12"/>
      <c r="C150" s="12"/>
      <c r="D150" s="12"/>
      <c r="E150" s="12"/>
      <c r="F150" s="12"/>
      <c r="G150" s="12"/>
      <c r="H150" s="12"/>
      <c r="I150" s="13"/>
      <c r="J150" s="13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4"/>
      <c r="W150" s="12"/>
      <c r="X150" s="12"/>
      <c r="Y150" s="15"/>
      <c r="Z150" s="12"/>
      <c r="AA150" s="12"/>
      <c r="AB150" s="12"/>
      <c r="AC150" s="12"/>
    </row>
    <row r="151" spans="1:29" x14ac:dyDescent="0.3">
      <c r="A151" s="12"/>
      <c r="B151" s="12"/>
      <c r="C151" s="12"/>
      <c r="D151" s="12"/>
      <c r="E151" s="12"/>
      <c r="F151" s="12"/>
      <c r="G151" s="12"/>
      <c r="H151" s="12"/>
      <c r="I151" s="13"/>
      <c r="J151" s="13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4"/>
      <c r="W151" s="12"/>
      <c r="X151" s="12"/>
      <c r="Y151" s="15"/>
      <c r="Z151" s="12"/>
      <c r="AA151" s="12"/>
      <c r="AB151" s="12"/>
      <c r="AC151" s="12"/>
    </row>
    <row r="152" spans="1:29" x14ac:dyDescent="0.3">
      <c r="A152" s="12"/>
      <c r="B152" s="12"/>
      <c r="C152" s="12"/>
      <c r="D152" s="12"/>
      <c r="E152" s="12"/>
      <c r="F152" s="12"/>
      <c r="G152" s="12"/>
      <c r="H152" s="12"/>
      <c r="I152" s="13"/>
      <c r="J152" s="13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4"/>
      <c r="W152" s="12"/>
      <c r="X152" s="12"/>
      <c r="Y152" s="15"/>
      <c r="Z152" s="12"/>
      <c r="AA152" s="12"/>
      <c r="AB152" s="12"/>
      <c r="AC152" s="12"/>
    </row>
    <row r="153" spans="1:29" x14ac:dyDescent="0.3">
      <c r="A153" s="12"/>
      <c r="B153" s="12"/>
      <c r="C153" s="12"/>
      <c r="D153" s="12"/>
      <c r="E153" s="12"/>
      <c r="F153" s="12"/>
      <c r="G153" s="12"/>
      <c r="H153" s="12"/>
      <c r="I153" s="13"/>
      <c r="J153" s="13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4"/>
      <c r="W153" s="12"/>
      <c r="X153" s="12"/>
      <c r="Y153" s="15"/>
      <c r="Z153" s="12"/>
      <c r="AA153" s="12"/>
      <c r="AB153" s="12"/>
      <c r="AC153" s="12"/>
    </row>
    <row r="154" spans="1:29" x14ac:dyDescent="0.3">
      <c r="A154" s="12"/>
      <c r="B154" s="12"/>
      <c r="C154" s="12"/>
      <c r="D154" s="12"/>
      <c r="E154" s="12"/>
      <c r="F154" s="12"/>
      <c r="G154" s="12"/>
      <c r="H154" s="12"/>
      <c r="I154" s="13"/>
      <c r="J154" s="13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4"/>
      <c r="W154" s="12"/>
      <c r="X154" s="12"/>
      <c r="Y154" s="15"/>
      <c r="Z154" s="12"/>
      <c r="AA154" s="12"/>
      <c r="AB154" s="12"/>
      <c r="AC154" s="12"/>
    </row>
    <row r="155" spans="1:29" x14ac:dyDescent="0.3">
      <c r="A155" s="12"/>
      <c r="B155" s="12"/>
      <c r="C155" s="12"/>
      <c r="D155" s="12"/>
      <c r="E155" s="12"/>
      <c r="F155" s="12"/>
      <c r="G155" s="12"/>
      <c r="H155" s="12"/>
      <c r="I155" s="13"/>
      <c r="J155" s="13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4"/>
      <c r="W155" s="12"/>
      <c r="X155" s="12"/>
      <c r="Y155" s="15"/>
      <c r="Z155" s="12"/>
      <c r="AA155" s="12"/>
      <c r="AB155" s="12"/>
      <c r="AC155" s="12"/>
    </row>
    <row r="156" spans="1:29" x14ac:dyDescent="0.3">
      <c r="A156" s="12"/>
      <c r="B156" s="12"/>
      <c r="C156" s="12"/>
      <c r="D156" s="12"/>
      <c r="E156" s="12"/>
      <c r="F156" s="12"/>
      <c r="G156" s="12"/>
      <c r="H156" s="12"/>
      <c r="I156" s="13"/>
      <c r="J156" s="13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4"/>
      <c r="W156" s="12"/>
      <c r="X156" s="12"/>
      <c r="Y156" s="15"/>
      <c r="Z156" s="12"/>
      <c r="AA156" s="12"/>
      <c r="AB156" s="12"/>
      <c r="AC156" s="12"/>
    </row>
    <row r="157" spans="1:29" x14ac:dyDescent="0.3">
      <c r="A157" s="12"/>
      <c r="B157" s="12"/>
      <c r="C157" s="12"/>
      <c r="D157" s="12"/>
      <c r="E157" s="12"/>
      <c r="F157" s="12"/>
      <c r="G157" s="12"/>
      <c r="H157" s="12"/>
      <c r="I157" s="13"/>
      <c r="J157" s="13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4"/>
      <c r="W157" s="12"/>
      <c r="X157" s="12"/>
      <c r="Y157" s="15"/>
      <c r="Z157" s="12"/>
      <c r="AA157" s="12"/>
      <c r="AB157" s="12"/>
      <c r="AC157" s="12"/>
    </row>
    <row r="158" spans="1:29" x14ac:dyDescent="0.3">
      <c r="A158" s="12"/>
      <c r="B158" s="12"/>
      <c r="C158" s="12"/>
      <c r="D158" s="12"/>
      <c r="E158" s="12"/>
      <c r="F158" s="12"/>
      <c r="G158" s="12"/>
      <c r="H158" s="12"/>
      <c r="I158" s="13"/>
      <c r="J158" s="13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4"/>
      <c r="W158" s="12"/>
      <c r="X158" s="12"/>
      <c r="Y158" s="15"/>
      <c r="Z158" s="12"/>
      <c r="AA158" s="12"/>
      <c r="AB158" s="12"/>
      <c r="AC158" s="12"/>
    </row>
    <row r="159" spans="1:29" x14ac:dyDescent="0.3">
      <c r="A159" s="12"/>
      <c r="B159" s="12"/>
      <c r="C159" s="12"/>
      <c r="D159" s="12"/>
      <c r="E159" s="12"/>
      <c r="F159" s="12"/>
      <c r="G159" s="12"/>
      <c r="H159" s="12"/>
      <c r="I159" s="13"/>
      <c r="J159" s="13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4"/>
      <c r="W159" s="12"/>
      <c r="X159" s="12"/>
      <c r="Y159" s="15"/>
      <c r="Z159" s="12"/>
      <c r="AA159" s="12"/>
      <c r="AB159" s="12"/>
      <c r="AC159" s="12"/>
    </row>
    <row r="160" spans="1:29" x14ac:dyDescent="0.3">
      <c r="A160" s="12"/>
      <c r="B160" s="12"/>
      <c r="C160" s="12"/>
      <c r="D160" s="12"/>
      <c r="E160" s="12"/>
      <c r="F160" s="12"/>
      <c r="G160" s="12"/>
      <c r="H160" s="12"/>
      <c r="I160" s="13"/>
      <c r="J160" s="13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4"/>
      <c r="W160" s="12"/>
      <c r="X160" s="12"/>
      <c r="Y160" s="15"/>
      <c r="Z160" s="12"/>
      <c r="AA160" s="12"/>
      <c r="AB160" s="12"/>
      <c r="AC160" s="12"/>
    </row>
    <row r="161" spans="1:29" x14ac:dyDescent="0.3">
      <c r="A161" s="12"/>
      <c r="B161" s="12"/>
      <c r="C161" s="12"/>
      <c r="D161" s="12"/>
      <c r="E161" s="12"/>
      <c r="F161" s="12"/>
      <c r="G161" s="12"/>
      <c r="H161" s="12"/>
      <c r="I161" s="13"/>
      <c r="J161" s="13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4"/>
      <c r="W161" s="12"/>
      <c r="X161" s="12"/>
      <c r="Y161" s="15"/>
      <c r="Z161" s="12"/>
      <c r="AA161" s="12"/>
      <c r="AB161" s="12"/>
      <c r="AC161" s="12"/>
    </row>
    <row r="162" spans="1:29" x14ac:dyDescent="0.3">
      <c r="A162" s="12"/>
      <c r="B162" s="12"/>
      <c r="C162" s="12"/>
      <c r="D162" s="12"/>
      <c r="E162" s="12"/>
      <c r="F162" s="12"/>
      <c r="G162" s="12"/>
      <c r="H162" s="12"/>
      <c r="I162" s="13"/>
      <c r="J162" s="13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4"/>
      <c r="W162" s="12"/>
      <c r="X162" s="12"/>
      <c r="Y162" s="15"/>
      <c r="Z162" s="12"/>
      <c r="AA162" s="12"/>
      <c r="AB162" s="12"/>
      <c r="AC162" s="12"/>
    </row>
    <row r="163" spans="1:29" x14ac:dyDescent="0.3">
      <c r="A163" s="12"/>
      <c r="B163" s="12"/>
      <c r="C163" s="12"/>
      <c r="D163" s="12"/>
      <c r="E163" s="12"/>
      <c r="F163" s="12"/>
      <c r="G163" s="12"/>
      <c r="H163" s="12"/>
      <c r="I163" s="13"/>
      <c r="J163" s="13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4"/>
      <c r="W163" s="12"/>
      <c r="X163" s="12"/>
      <c r="Y163" s="15"/>
      <c r="Z163" s="12"/>
      <c r="AA163" s="12"/>
      <c r="AB163" s="12"/>
      <c r="AC163" s="12"/>
    </row>
    <row r="164" spans="1:29" x14ac:dyDescent="0.3">
      <c r="A164" s="12"/>
      <c r="B164" s="12"/>
      <c r="C164" s="12"/>
      <c r="D164" s="12"/>
      <c r="E164" s="12"/>
      <c r="F164" s="12"/>
      <c r="G164" s="12"/>
      <c r="H164" s="12"/>
      <c r="I164" s="13"/>
      <c r="J164" s="13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4"/>
      <c r="W164" s="12"/>
      <c r="X164" s="12"/>
      <c r="Y164" s="15"/>
      <c r="Z164" s="12"/>
      <c r="AA164" s="12"/>
      <c r="AB164" s="12"/>
      <c r="AC164" s="12"/>
    </row>
    <row r="165" spans="1:29" x14ac:dyDescent="0.3">
      <c r="A165" s="12"/>
      <c r="B165" s="12"/>
      <c r="C165" s="12"/>
      <c r="D165" s="12"/>
      <c r="E165" s="12"/>
      <c r="F165" s="12"/>
      <c r="G165" s="12"/>
      <c r="H165" s="12"/>
      <c r="I165" s="13"/>
      <c r="J165" s="13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4"/>
      <c r="W165" s="12"/>
      <c r="X165" s="12"/>
      <c r="Y165" s="15"/>
      <c r="Z165" s="12"/>
      <c r="AA165" s="12"/>
      <c r="AB165" s="12"/>
      <c r="AC165" s="12"/>
    </row>
    <row r="166" spans="1:29" x14ac:dyDescent="0.3">
      <c r="A166" s="12"/>
      <c r="B166" s="12"/>
      <c r="C166" s="12"/>
      <c r="D166" s="12"/>
      <c r="E166" s="12"/>
      <c r="F166" s="12"/>
      <c r="G166" s="12"/>
      <c r="H166" s="12"/>
      <c r="I166" s="13"/>
      <c r="J166" s="13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4"/>
      <c r="W166" s="12"/>
      <c r="X166" s="12"/>
      <c r="Y166" s="15"/>
      <c r="Z166" s="12"/>
      <c r="AA166" s="12"/>
      <c r="AB166" s="12"/>
      <c r="AC166" s="12"/>
    </row>
    <row r="167" spans="1:29" x14ac:dyDescent="0.3">
      <c r="A167" s="12"/>
      <c r="B167" s="12"/>
      <c r="C167" s="12"/>
      <c r="D167" s="12"/>
      <c r="E167" s="12"/>
      <c r="F167" s="12"/>
      <c r="G167" s="12"/>
      <c r="H167" s="12"/>
      <c r="I167" s="13"/>
      <c r="J167" s="13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4"/>
      <c r="W167" s="12"/>
      <c r="X167" s="12"/>
      <c r="Y167" s="15"/>
      <c r="Z167" s="12"/>
      <c r="AA167" s="12"/>
      <c r="AB167" s="12"/>
      <c r="AC167" s="12"/>
    </row>
    <row r="168" spans="1:29" x14ac:dyDescent="0.3">
      <c r="A168" s="12"/>
      <c r="B168" s="12"/>
      <c r="C168" s="12"/>
      <c r="D168" s="12"/>
      <c r="E168" s="12"/>
      <c r="F168" s="12"/>
      <c r="G168" s="12"/>
      <c r="H168" s="12"/>
      <c r="I168" s="13"/>
      <c r="J168" s="13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4"/>
      <c r="W168" s="12"/>
      <c r="X168" s="12"/>
      <c r="Y168" s="15"/>
      <c r="Z168" s="12"/>
      <c r="AA168" s="12"/>
      <c r="AB168" s="12"/>
      <c r="AC168" s="12"/>
    </row>
    <row r="169" spans="1:29" x14ac:dyDescent="0.3">
      <c r="A169" s="12"/>
      <c r="B169" s="12"/>
      <c r="C169" s="12"/>
      <c r="D169" s="12"/>
      <c r="E169" s="12"/>
      <c r="F169" s="12"/>
      <c r="G169" s="12"/>
      <c r="H169" s="12"/>
      <c r="I169" s="13"/>
      <c r="J169" s="13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4"/>
      <c r="W169" s="12"/>
      <c r="X169" s="12"/>
      <c r="Y169" s="15"/>
      <c r="Z169" s="12"/>
      <c r="AA169" s="12"/>
      <c r="AB169" s="12"/>
      <c r="AC169" s="12"/>
    </row>
    <row r="170" spans="1:29" x14ac:dyDescent="0.3">
      <c r="A170" s="12"/>
      <c r="B170" s="12"/>
      <c r="C170" s="12"/>
      <c r="D170" s="12"/>
      <c r="E170" s="12"/>
      <c r="F170" s="12"/>
      <c r="G170" s="12"/>
      <c r="H170" s="12"/>
      <c r="I170" s="13"/>
      <c r="J170" s="13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4"/>
      <c r="W170" s="12"/>
      <c r="X170" s="12"/>
      <c r="Y170" s="15"/>
      <c r="Z170" s="12"/>
      <c r="AA170" s="12"/>
      <c r="AB170" s="12"/>
      <c r="AC170" s="12"/>
    </row>
    <row r="171" spans="1:29" x14ac:dyDescent="0.3">
      <c r="A171" s="12"/>
      <c r="B171" s="12"/>
      <c r="C171" s="12"/>
      <c r="D171" s="12"/>
      <c r="E171" s="12"/>
      <c r="F171" s="12"/>
      <c r="G171" s="12"/>
      <c r="H171" s="12"/>
      <c r="I171" s="13"/>
      <c r="J171" s="13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4"/>
      <c r="W171" s="12"/>
      <c r="X171" s="12"/>
      <c r="Y171" s="15"/>
      <c r="Z171" s="12"/>
      <c r="AA171" s="12"/>
      <c r="AB171" s="12"/>
      <c r="AC171" s="12"/>
    </row>
    <row r="172" spans="1:29" x14ac:dyDescent="0.3">
      <c r="A172" s="12"/>
      <c r="B172" s="12"/>
      <c r="C172" s="12"/>
      <c r="D172" s="12"/>
      <c r="E172" s="12"/>
      <c r="F172" s="12"/>
      <c r="G172" s="12"/>
      <c r="H172" s="12"/>
      <c r="I172" s="13"/>
      <c r="J172" s="13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4"/>
      <c r="W172" s="12"/>
      <c r="X172" s="12"/>
      <c r="Y172" s="15"/>
      <c r="Z172" s="12"/>
      <c r="AA172" s="12"/>
      <c r="AB172" s="12"/>
      <c r="AC172" s="12"/>
    </row>
    <row r="173" spans="1:29" x14ac:dyDescent="0.3">
      <c r="A173" s="12"/>
      <c r="B173" s="12"/>
      <c r="C173" s="12"/>
      <c r="D173" s="12"/>
      <c r="E173" s="12"/>
      <c r="F173" s="12"/>
      <c r="G173" s="12"/>
      <c r="H173" s="12"/>
      <c r="I173" s="13"/>
      <c r="J173" s="13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4"/>
      <c r="W173" s="12"/>
      <c r="X173" s="12"/>
      <c r="Y173" s="15"/>
      <c r="Z173" s="12"/>
      <c r="AA173" s="12"/>
      <c r="AB173" s="12"/>
      <c r="AC173" s="12"/>
    </row>
    <row r="174" spans="1:29" x14ac:dyDescent="0.3">
      <c r="A174" s="12"/>
      <c r="B174" s="12"/>
      <c r="C174" s="12"/>
      <c r="D174" s="12"/>
      <c r="E174" s="12"/>
      <c r="F174" s="12"/>
      <c r="G174" s="12"/>
      <c r="H174" s="12"/>
      <c r="I174" s="13"/>
      <c r="J174" s="13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4"/>
      <c r="W174" s="12"/>
      <c r="X174" s="12"/>
      <c r="Y174" s="15"/>
      <c r="Z174" s="12"/>
      <c r="AA174" s="12"/>
      <c r="AB174" s="12"/>
      <c r="AC174" s="12"/>
    </row>
    <row r="175" spans="1:29" x14ac:dyDescent="0.3">
      <c r="A175" s="12"/>
      <c r="B175" s="12"/>
      <c r="C175" s="12"/>
      <c r="D175" s="12"/>
      <c r="E175" s="12"/>
      <c r="F175" s="12"/>
      <c r="G175" s="12"/>
      <c r="H175" s="12"/>
      <c r="I175" s="13"/>
      <c r="J175" s="13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4"/>
      <c r="W175" s="12"/>
      <c r="X175" s="12"/>
      <c r="Y175" s="15"/>
      <c r="Z175" s="12"/>
      <c r="AA175" s="12"/>
      <c r="AB175" s="12"/>
      <c r="AC175" s="12"/>
    </row>
    <row r="176" spans="1:29" x14ac:dyDescent="0.3">
      <c r="A176" s="12"/>
      <c r="B176" s="12"/>
      <c r="C176" s="12"/>
      <c r="D176" s="12"/>
      <c r="E176" s="12"/>
      <c r="F176" s="12"/>
      <c r="G176" s="12"/>
      <c r="H176" s="12"/>
      <c r="I176" s="13"/>
      <c r="J176" s="13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4"/>
      <c r="W176" s="12"/>
      <c r="X176" s="12"/>
      <c r="Y176" s="15"/>
      <c r="Z176" s="12"/>
      <c r="AA176" s="12"/>
      <c r="AB176" s="12"/>
      <c r="AC176" s="12"/>
    </row>
    <row r="177" spans="1:29" x14ac:dyDescent="0.3">
      <c r="A177" s="12"/>
      <c r="B177" s="12"/>
      <c r="C177" s="12"/>
      <c r="D177" s="12"/>
      <c r="E177" s="12"/>
      <c r="F177" s="12"/>
      <c r="G177" s="12"/>
      <c r="H177" s="12"/>
      <c r="I177" s="13"/>
      <c r="J177" s="13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4"/>
      <c r="W177" s="12"/>
      <c r="X177" s="12"/>
      <c r="Y177" s="15"/>
      <c r="Z177" s="12"/>
      <c r="AA177" s="12"/>
      <c r="AB177" s="12"/>
      <c r="AC177" s="12"/>
    </row>
    <row r="178" spans="1:29" x14ac:dyDescent="0.3">
      <c r="A178" s="12"/>
      <c r="B178" s="12"/>
      <c r="C178" s="12"/>
      <c r="D178" s="12"/>
      <c r="E178" s="12"/>
      <c r="F178" s="12"/>
      <c r="G178" s="12"/>
      <c r="H178" s="12"/>
      <c r="I178" s="13"/>
      <c r="J178" s="13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4"/>
      <c r="W178" s="12"/>
      <c r="X178" s="12"/>
      <c r="Y178" s="15"/>
      <c r="Z178" s="12"/>
      <c r="AA178" s="12"/>
      <c r="AB178" s="12"/>
      <c r="AC178" s="12"/>
    </row>
    <row r="179" spans="1:29" x14ac:dyDescent="0.3">
      <c r="A179" s="12"/>
      <c r="B179" s="12"/>
      <c r="C179" s="12"/>
      <c r="D179" s="12"/>
      <c r="E179" s="12"/>
      <c r="F179" s="12"/>
      <c r="G179" s="12"/>
      <c r="H179" s="12"/>
      <c r="I179" s="13"/>
      <c r="J179" s="13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4"/>
      <c r="W179" s="12"/>
      <c r="X179" s="12"/>
      <c r="Y179" s="15"/>
      <c r="Z179" s="12"/>
      <c r="AA179" s="12"/>
      <c r="AB179" s="12"/>
      <c r="AC179" s="12"/>
    </row>
    <row r="180" spans="1:29" x14ac:dyDescent="0.3">
      <c r="A180" s="12"/>
      <c r="B180" s="12"/>
      <c r="C180" s="12"/>
      <c r="D180" s="12"/>
      <c r="E180" s="12"/>
      <c r="F180" s="12"/>
      <c r="G180" s="12"/>
      <c r="H180" s="12"/>
      <c r="I180" s="13"/>
      <c r="J180" s="13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4"/>
      <c r="W180" s="12"/>
      <c r="X180" s="12"/>
      <c r="Y180" s="15"/>
      <c r="Z180" s="12"/>
      <c r="AA180" s="12"/>
      <c r="AB180" s="12"/>
      <c r="AC180" s="12"/>
    </row>
    <row r="181" spans="1:29" x14ac:dyDescent="0.3">
      <c r="A181" s="12"/>
      <c r="B181" s="12"/>
      <c r="C181" s="12"/>
      <c r="D181" s="12"/>
      <c r="E181" s="12"/>
      <c r="F181" s="12"/>
      <c r="G181" s="12"/>
      <c r="H181" s="12"/>
      <c r="I181" s="13"/>
      <c r="J181" s="13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4"/>
      <c r="W181" s="12"/>
      <c r="X181" s="12"/>
      <c r="Y181" s="15"/>
      <c r="Z181" s="12"/>
      <c r="AA181" s="12"/>
      <c r="AB181" s="12"/>
      <c r="AC181" s="12"/>
    </row>
    <row r="182" spans="1:29" x14ac:dyDescent="0.3">
      <c r="A182" s="12"/>
      <c r="B182" s="12"/>
      <c r="C182" s="12"/>
      <c r="D182" s="12"/>
      <c r="E182" s="12"/>
      <c r="F182" s="12"/>
      <c r="G182" s="12"/>
      <c r="H182" s="12"/>
      <c r="I182" s="13"/>
      <c r="J182" s="13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4"/>
      <c r="W182" s="12"/>
      <c r="X182" s="12"/>
      <c r="Y182" s="15"/>
      <c r="Z182" s="12"/>
      <c r="AA182" s="12"/>
      <c r="AB182" s="12"/>
      <c r="AC182" s="12"/>
    </row>
    <row r="183" spans="1:29" x14ac:dyDescent="0.3">
      <c r="A183" s="12"/>
      <c r="B183" s="12"/>
      <c r="C183" s="12"/>
      <c r="D183" s="12"/>
      <c r="E183" s="12"/>
      <c r="F183" s="12"/>
      <c r="G183" s="12"/>
      <c r="H183" s="12"/>
      <c r="I183" s="13"/>
      <c r="J183" s="13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4"/>
      <c r="W183" s="12"/>
      <c r="X183" s="12"/>
      <c r="Y183" s="15"/>
      <c r="Z183" s="12"/>
      <c r="AA183" s="12"/>
      <c r="AB183" s="12"/>
      <c r="AC183" s="12"/>
    </row>
    <row r="184" spans="1:29" x14ac:dyDescent="0.3">
      <c r="A184" s="12"/>
      <c r="B184" s="12"/>
      <c r="C184" s="12"/>
      <c r="D184" s="12"/>
      <c r="E184" s="12"/>
      <c r="F184" s="12"/>
      <c r="G184" s="12"/>
      <c r="H184" s="12"/>
      <c r="I184" s="13"/>
      <c r="J184" s="13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4"/>
      <c r="W184" s="12"/>
      <c r="X184" s="12"/>
      <c r="Y184" s="15"/>
      <c r="Z184" s="12"/>
      <c r="AA184" s="12"/>
      <c r="AB184" s="12"/>
      <c r="AC184" s="12"/>
    </row>
    <row r="185" spans="1:29" x14ac:dyDescent="0.3">
      <c r="A185" s="12"/>
      <c r="B185" s="12"/>
      <c r="C185" s="12"/>
      <c r="D185" s="12"/>
      <c r="E185" s="12"/>
      <c r="F185" s="12"/>
      <c r="G185" s="12"/>
      <c r="H185" s="12"/>
      <c r="I185" s="13"/>
      <c r="J185" s="13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4"/>
      <c r="W185" s="12"/>
      <c r="X185" s="12"/>
      <c r="Y185" s="15"/>
      <c r="Z185" s="12"/>
      <c r="AA185" s="12"/>
      <c r="AB185" s="12"/>
      <c r="AC185" s="12"/>
    </row>
    <row r="186" spans="1:29" x14ac:dyDescent="0.3">
      <c r="A186" s="12"/>
      <c r="B186" s="12"/>
      <c r="C186" s="12"/>
      <c r="D186" s="12"/>
      <c r="E186" s="12"/>
      <c r="F186" s="12"/>
      <c r="G186" s="12"/>
      <c r="H186" s="12"/>
      <c r="I186" s="13"/>
      <c r="J186" s="13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4"/>
      <c r="W186" s="12"/>
      <c r="X186" s="12"/>
      <c r="Y186" s="15"/>
      <c r="Z186" s="12"/>
      <c r="AA186" s="12"/>
      <c r="AB186" s="12"/>
      <c r="AC186" s="12"/>
    </row>
    <row r="187" spans="1:29" x14ac:dyDescent="0.3">
      <c r="A187" s="12"/>
      <c r="B187" s="12"/>
      <c r="C187" s="12"/>
      <c r="D187" s="12"/>
      <c r="E187" s="12"/>
      <c r="F187" s="12"/>
      <c r="G187" s="12"/>
      <c r="H187" s="12"/>
      <c r="I187" s="13"/>
      <c r="J187" s="13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4"/>
      <c r="W187" s="12"/>
      <c r="X187" s="12"/>
      <c r="Y187" s="15"/>
      <c r="Z187" s="12"/>
      <c r="AA187" s="12"/>
      <c r="AB187" s="12"/>
      <c r="AC187" s="12"/>
    </row>
    <row r="188" spans="1:29" x14ac:dyDescent="0.3">
      <c r="A188" s="12"/>
      <c r="B188" s="12"/>
      <c r="C188" s="12"/>
      <c r="D188" s="12"/>
      <c r="E188" s="12"/>
      <c r="F188" s="12"/>
      <c r="G188" s="12"/>
      <c r="H188" s="12"/>
      <c r="I188" s="13"/>
      <c r="J188" s="13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4"/>
      <c r="W188" s="12"/>
      <c r="X188" s="12"/>
      <c r="Y188" s="15"/>
      <c r="Z188" s="12"/>
      <c r="AA188" s="12"/>
      <c r="AB188" s="12"/>
      <c r="AC188" s="12"/>
    </row>
    <row r="189" spans="1:29" x14ac:dyDescent="0.3">
      <c r="A189" s="12"/>
      <c r="B189" s="12"/>
      <c r="C189" s="12"/>
      <c r="D189" s="12"/>
      <c r="E189" s="12"/>
      <c r="F189" s="12"/>
      <c r="G189" s="12"/>
      <c r="H189" s="12"/>
      <c r="I189" s="13"/>
      <c r="J189" s="13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4"/>
      <c r="W189" s="12"/>
      <c r="X189" s="12"/>
      <c r="Y189" s="15"/>
      <c r="Z189" s="12"/>
      <c r="AA189" s="12"/>
      <c r="AB189" s="12"/>
      <c r="AC189" s="12"/>
    </row>
    <row r="190" spans="1:29" x14ac:dyDescent="0.3">
      <c r="A190" s="12"/>
      <c r="B190" s="12"/>
      <c r="C190" s="12"/>
      <c r="D190" s="12"/>
      <c r="E190" s="12"/>
      <c r="F190" s="12"/>
      <c r="G190" s="12"/>
      <c r="H190" s="12"/>
      <c r="I190" s="13"/>
      <c r="J190" s="13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4"/>
      <c r="W190" s="12"/>
      <c r="X190" s="12"/>
      <c r="Y190" s="15"/>
      <c r="Z190" s="12"/>
      <c r="AA190" s="12"/>
      <c r="AB190" s="12"/>
      <c r="AC190" s="12"/>
    </row>
    <row r="191" spans="1:29" x14ac:dyDescent="0.3">
      <c r="A191" s="12"/>
      <c r="B191" s="12"/>
      <c r="C191" s="12"/>
      <c r="D191" s="12"/>
      <c r="E191" s="12"/>
      <c r="F191" s="12"/>
      <c r="G191" s="12"/>
      <c r="H191" s="12"/>
      <c r="I191" s="13"/>
      <c r="J191" s="13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4"/>
      <c r="W191" s="12"/>
      <c r="X191" s="12"/>
      <c r="Y191" s="15"/>
      <c r="Z191" s="12"/>
      <c r="AA191" s="12"/>
      <c r="AB191" s="12"/>
      <c r="AC191" s="12"/>
    </row>
    <row r="192" spans="1:29" x14ac:dyDescent="0.3">
      <c r="A192" s="12"/>
      <c r="B192" s="12"/>
      <c r="C192" s="12"/>
      <c r="D192" s="12"/>
      <c r="E192" s="12"/>
      <c r="F192" s="12"/>
      <c r="G192" s="12"/>
      <c r="H192" s="12"/>
      <c r="I192" s="13"/>
      <c r="J192" s="13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4"/>
      <c r="W192" s="12"/>
      <c r="X192" s="12"/>
      <c r="Y192" s="15"/>
      <c r="Z192" s="12"/>
      <c r="AA192" s="12"/>
      <c r="AB192" s="12"/>
      <c r="AC192" s="12"/>
    </row>
    <row r="193" spans="1:29" x14ac:dyDescent="0.3">
      <c r="A193" s="12"/>
      <c r="B193" s="12"/>
      <c r="C193" s="12"/>
      <c r="D193" s="12"/>
      <c r="E193" s="12"/>
      <c r="F193" s="12"/>
      <c r="G193" s="12"/>
      <c r="H193" s="12"/>
      <c r="I193" s="13"/>
      <c r="J193" s="13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4"/>
      <c r="W193" s="12"/>
      <c r="X193" s="12"/>
      <c r="Y193" s="15"/>
      <c r="Z193" s="12"/>
      <c r="AA193" s="12"/>
      <c r="AB193" s="12"/>
      <c r="AC193" s="12"/>
    </row>
    <row r="194" spans="1:29" x14ac:dyDescent="0.3">
      <c r="A194" s="12"/>
      <c r="B194" s="12"/>
      <c r="C194" s="12"/>
      <c r="D194" s="12"/>
      <c r="E194" s="12"/>
      <c r="F194" s="12"/>
      <c r="G194" s="12"/>
      <c r="H194" s="12"/>
      <c r="I194" s="13"/>
      <c r="J194" s="13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4"/>
      <c r="W194" s="12"/>
      <c r="X194" s="12"/>
      <c r="Y194" s="15"/>
      <c r="Z194" s="12"/>
      <c r="AA194" s="12"/>
      <c r="AB194" s="12"/>
      <c r="AC194" s="12"/>
    </row>
    <row r="195" spans="1:29" x14ac:dyDescent="0.3">
      <c r="A195" s="12"/>
      <c r="B195" s="12"/>
      <c r="C195" s="12"/>
      <c r="D195" s="12"/>
      <c r="E195" s="12"/>
      <c r="F195" s="12"/>
      <c r="G195" s="12"/>
      <c r="H195" s="12"/>
      <c r="I195" s="13"/>
      <c r="J195" s="13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4"/>
      <c r="W195" s="12"/>
      <c r="X195" s="12"/>
      <c r="Y195" s="15"/>
      <c r="Z195" s="12"/>
      <c r="AA195" s="12"/>
      <c r="AB195" s="12"/>
      <c r="AC195" s="12"/>
    </row>
    <row r="196" spans="1:29" x14ac:dyDescent="0.3">
      <c r="A196" s="12"/>
      <c r="B196" s="12"/>
      <c r="C196" s="12"/>
      <c r="D196" s="12"/>
      <c r="E196" s="12"/>
      <c r="F196" s="12"/>
      <c r="G196" s="12"/>
      <c r="H196" s="12"/>
      <c r="I196" s="13"/>
      <c r="J196" s="13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4"/>
      <c r="W196" s="12"/>
      <c r="X196" s="12"/>
      <c r="Y196" s="15"/>
      <c r="Z196" s="12"/>
      <c r="AA196" s="12"/>
      <c r="AB196" s="12"/>
      <c r="AC196" s="12"/>
    </row>
    <row r="197" spans="1:29" x14ac:dyDescent="0.3">
      <c r="A197" s="12"/>
      <c r="B197" s="12"/>
      <c r="C197" s="12"/>
      <c r="D197" s="12"/>
      <c r="E197" s="12"/>
      <c r="F197" s="12"/>
      <c r="G197" s="12"/>
      <c r="H197" s="12"/>
      <c r="I197" s="13"/>
      <c r="J197" s="13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4"/>
      <c r="W197" s="12"/>
      <c r="X197" s="12"/>
      <c r="Y197" s="15"/>
      <c r="Z197" s="12"/>
      <c r="AA197" s="12"/>
      <c r="AB197" s="12"/>
      <c r="AC197" s="12"/>
    </row>
    <row r="198" spans="1:29" x14ac:dyDescent="0.3">
      <c r="A198" s="12"/>
      <c r="B198" s="12"/>
      <c r="C198" s="12"/>
      <c r="D198" s="12"/>
      <c r="E198" s="12"/>
      <c r="F198" s="12"/>
      <c r="G198" s="12"/>
      <c r="H198" s="12"/>
      <c r="I198" s="13"/>
      <c r="J198" s="13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4"/>
      <c r="W198" s="12"/>
      <c r="X198" s="12"/>
      <c r="Y198" s="15"/>
      <c r="Z198" s="12"/>
      <c r="AA198" s="12"/>
      <c r="AB198" s="12"/>
      <c r="AC198" s="12"/>
    </row>
    <row r="199" spans="1:29" x14ac:dyDescent="0.3">
      <c r="A199" s="12"/>
      <c r="B199" s="12"/>
      <c r="C199" s="12"/>
      <c r="D199" s="12"/>
      <c r="E199" s="12"/>
      <c r="F199" s="12"/>
      <c r="G199" s="12"/>
      <c r="H199" s="12"/>
      <c r="I199" s="13"/>
      <c r="J199" s="13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4"/>
      <c r="W199" s="12"/>
      <c r="X199" s="12"/>
      <c r="Y199" s="15"/>
      <c r="Z199" s="12"/>
      <c r="AA199" s="12"/>
      <c r="AB199" s="12"/>
      <c r="AC199" s="12"/>
    </row>
    <row r="200" spans="1:29" x14ac:dyDescent="0.3">
      <c r="A200" s="12"/>
      <c r="B200" s="12"/>
      <c r="C200" s="12"/>
      <c r="D200" s="12"/>
      <c r="E200" s="12"/>
      <c r="F200" s="12"/>
      <c r="G200" s="12"/>
      <c r="H200" s="12"/>
      <c r="I200" s="13"/>
      <c r="J200" s="13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4"/>
      <c r="W200" s="12"/>
      <c r="X200" s="12"/>
      <c r="Y200" s="15"/>
      <c r="Z200" s="12"/>
      <c r="AA200" s="12"/>
      <c r="AB200" s="12"/>
      <c r="AC200" s="12"/>
    </row>
    <row r="201" spans="1:29" x14ac:dyDescent="0.3">
      <c r="A201" s="12"/>
      <c r="B201" s="12"/>
      <c r="C201" s="12"/>
      <c r="D201" s="12"/>
      <c r="E201" s="12"/>
      <c r="F201" s="12"/>
      <c r="G201" s="12"/>
      <c r="H201" s="12"/>
      <c r="I201" s="13"/>
      <c r="J201" s="13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4"/>
      <c r="W201" s="12"/>
      <c r="X201" s="12"/>
      <c r="Y201" s="15"/>
      <c r="Z201" s="12"/>
      <c r="AA201" s="12"/>
      <c r="AB201" s="12"/>
      <c r="AC201" s="12"/>
    </row>
    <row r="202" spans="1:29" x14ac:dyDescent="0.3">
      <c r="A202" s="12"/>
      <c r="B202" s="12"/>
      <c r="C202" s="12"/>
      <c r="D202" s="12"/>
      <c r="E202" s="12"/>
      <c r="F202" s="12"/>
      <c r="G202" s="12"/>
      <c r="H202" s="12"/>
      <c r="I202" s="13"/>
      <c r="J202" s="13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4"/>
      <c r="W202" s="12"/>
      <c r="X202" s="12"/>
      <c r="Y202" s="15"/>
      <c r="Z202" s="12"/>
      <c r="AA202" s="12"/>
      <c r="AB202" s="12"/>
      <c r="AC202" s="12"/>
    </row>
    <row r="203" spans="1:29" x14ac:dyDescent="0.3">
      <c r="A203" s="12"/>
      <c r="B203" s="12"/>
      <c r="C203" s="12"/>
      <c r="D203" s="12"/>
      <c r="E203" s="12"/>
      <c r="F203" s="12"/>
      <c r="G203" s="12"/>
      <c r="H203" s="12"/>
      <c r="I203" s="13"/>
      <c r="J203" s="13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4"/>
      <c r="W203" s="12"/>
      <c r="X203" s="12"/>
      <c r="Y203" s="15"/>
      <c r="Z203" s="12"/>
      <c r="AA203" s="12"/>
      <c r="AB203" s="12"/>
      <c r="AC203" s="12"/>
    </row>
    <row r="204" spans="1:29" x14ac:dyDescent="0.3">
      <c r="A204" s="12"/>
      <c r="B204" s="12"/>
      <c r="C204" s="12"/>
      <c r="D204" s="12"/>
      <c r="E204" s="12"/>
      <c r="F204" s="12"/>
      <c r="G204" s="12"/>
      <c r="H204" s="12"/>
      <c r="I204" s="13"/>
      <c r="J204" s="13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4"/>
      <c r="W204" s="12"/>
      <c r="X204" s="12"/>
      <c r="Y204" s="15"/>
      <c r="Z204" s="12"/>
      <c r="AA204" s="12"/>
      <c r="AB204" s="12"/>
      <c r="AC204" s="12"/>
    </row>
    <row r="205" spans="1:29" x14ac:dyDescent="0.3">
      <c r="A205" s="12"/>
      <c r="B205" s="12"/>
      <c r="C205" s="12"/>
      <c r="D205" s="12"/>
      <c r="E205" s="12"/>
      <c r="F205" s="12"/>
      <c r="G205" s="12"/>
      <c r="H205" s="12"/>
      <c r="I205" s="13"/>
      <c r="J205" s="13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4"/>
      <c r="W205" s="12"/>
      <c r="X205" s="12"/>
      <c r="Y205" s="15"/>
      <c r="Z205" s="12"/>
      <c r="AA205" s="12"/>
      <c r="AB205" s="12"/>
      <c r="AC205" s="12"/>
    </row>
    <row r="206" spans="1:29" x14ac:dyDescent="0.3">
      <c r="A206" s="12"/>
      <c r="B206" s="12"/>
      <c r="C206" s="12"/>
      <c r="D206" s="12"/>
      <c r="E206" s="12"/>
      <c r="F206" s="12"/>
      <c r="G206" s="12"/>
      <c r="H206" s="12"/>
      <c r="I206" s="13"/>
      <c r="J206" s="13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4"/>
      <c r="W206" s="12"/>
      <c r="X206" s="12"/>
      <c r="Y206" s="15"/>
      <c r="Z206" s="12"/>
      <c r="AA206" s="12"/>
      <c r="AB206" s="12"/>
      <c r="AC206" s="12"/>
    </row>
    <row r="207" spans="1:29" x14ac:dyDescent="0.3">
      <c r="A207" s="12"/>
      <c r="B207" s="12"/>
      <c r="C207" s="12"/>
      <c r="D207" s="12"/>
      <c r="E207" s="12"/>
      <c r="F207" s="12"/>
      <c r="G207" s="12"/>
      <c r="H207" s="12"/>
      <c r="I207" s="13"/>
      <c r="J207" s="13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4"/>
      <c r="W207" s="12"/>
      <c r="X207" s="12"/>
      <c r="Y207" s="15"/>
      <c r="Z207" s="12"/>
      <c r="AA207" s="12"/>
      <c r="AB207" s="12"/>
      <c r="AC207" s="12"/>
    </row>
    <row r="208" spans="1:29" x14ac:dyDescent="0.3">
      <c r="A208" s="12"/>
      <c r="B208" s="12"/>
      <c r="C208" s="12"/>
      <c r="D208" s="12"/>
      <c r="E208" s="12"/>
      <c r="F208" s="12"/>
      <c r="G208" s="12"/>
      <c r="H208" s="12"/>
      <c r="I208" s="13"/>
      <c r="J208" s="13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4"/>
      <c r="W208" s="12"/>
      <c r="X208" s="12"/>
      <c r="Y208" s="15"/>
      <c r="Z208" s="12"/>
      <c r="AA208" s="12"/>
      <c r="AB208" s="12"/>
      <c r="AC208" s="12"/>
    </row>
    <row r="209" spans="1:29" x14ac:dyDescent="0.3">
      <c r="A209" s="12"/>
      <c r="B209" s="12"/>
      <c r="C209" s="12"/>
      <c r="D209" s="12"/>
      <c r="E209" s="12"/>
      <c r="F209" s="12"/>
      <c r="G209" s="12"/>
      <c r="H209" s="12"/>
      <c r="I209" s="13"/>
      <c r="J209" s="13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4"/>
      <c r="W209" s="12"/>
      <c r="X209" s="12"/>
      <c r="Y209" s="15"/>
      <c r="Z209" s="12"/>
      <c r="AA209" s="12"/>
      <c r="AB209" s="12"/>
      <c r="AC209" s="12"/>
    </row>
    <row r="210" spans="1:29" x14ac:dyDescent="0.3">
      <c r="A210" s="12"/>
      <c r="B210" s="12"/>
      <c r="C210" s="12"/>
      <c r="D210" s="12"/>
      <c r="E210" s="12"/>
      <c r="F210" s="12"/>
      <c r="G210" s="12"/>
      <c r="H210" s="12"/>
      <c r="I210" s="13"/>
      <c r="J210" s="13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4"/>
      <c r="W210" s="12"/>
      <c r="X210" s="12"/>
      <c r="Y210" s="15"/>
      <c r="Z210" s="12"/>
      <c r="AA210" s="12"/>
      <c r="AB210" s="12"/>
      <c r="AC210" s="12"/>
    </row>
    <row r="211" spans="1:29" x14ac:dyDescent="0.3">
      <c r="A211" s="12"/>
      <c r="B211" s="12"/>
      <c r="C211" s="12"/>
      <c r="D211" s="12"/>
      <c r="E211" s="12"/>
      <c r="F211" s="12"/>
      <c r="G211" s="12"/>
      <c r="H211" s="12"/>
      <c r="I211" s="13"/>
      <c r="J211" s="13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4"/>
      <c r="W211" s="12"/>
      <c r="X211" s="12"/>
      <c r="Y211" s="15"/>
      <c r="Z211" s="12"/>
      <c r="AA211" s="12"/>
      <c r="AB211" s="12"/>
      <c r="AC211" s="12"/>
    </row>
    <row r="212" spans="1:29" x14ac:dyDescent="0.3">
      <c r="A212" s="12"/>
      <c r="B212" s="12"/>
      <c r="C212" s="12"/>
      <c r="D212" s="12"/>
      <c r="E212" s="12"/>
      <c r="F212" s="12"/>
      <c r="G212" s="12"/>
      <c r="H212" s="12"/>
      <c r="I212" s="13"/>
      <c r="J212" s="13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4"/>
      <c r="W212" s="12"/>
      <c r="X212" s="12"/>
      <c r="Y212" s="15"/>
      <c r="Z212" s="12"/>
      <c r="AA212" s="12"/>
      <c r="AB212" s="12"/>
      <c r="AC212" s="12"/>
    </row>
    <row r="213" spans="1:29" x14ac:dyDescent="0.3">
      <c r="A213" s="12"/>
      <c r="B213" s="12"/>
      <c r="C213" s="12"/>
      <c r="D213" s="12"/>
      <c r="E213" s="12"/>
      <c r="F213" s="12"/>
      <c r="G213" s="12"/>
      <c r="H213" s="12"/>
      <c r="I213" s="13"/>
      <c r="J213" s="13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4"/>
      <c r="W213" s="12"/>
      <c r="X213" s="12"/>
      <c r="Y213" s="15"/>
      <c r="Z213" s="12"/>
      <c r="AA213" s="12"/>
      <c r="AB213" s="12"/>
      <c r="AC213" s="12"/>
    </row>
    <row r="214" spans="1:29" x14ac:dyDescent="0.3">
      <c r="A214" s="12"/>
      <c r="B214" s="12"/>
      <c r="C214" s="12"/>
      <c r="D214" s="12"/>
      <c r="E214" s="12"/>
      <c r="F214" s="12"/>
      <c r="G214" s="12"/>
      <c r="H214" s="12"/>
      <c r="I214" s="13"/>
      <c r="J214" s="13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4"/>
      <c r="W214" s="12"/>
      <c r="X214" s="12"/>
      <c r="Y214" s="15"/>
      <c r="Z214" s="12"/>
      <c r="AA214" s="12"/>
      <c r="AB214" s="12"/>
      <c r="AC214" s="12"/>
    </row>
    <row r="215" spans="1:29" x14ac:dyDescent="0.3">
      <c r="A215" s="12"/>
      <c r="B215" s="12"/>
      <c r="C215" s="12"/>
      <c r="D215" s="12"/>
      <c r="E215" s="12"/>
      <c r="F215" s="12"/>
      <c r="G215" s="12"/>
      <c r="H215" s="12"/>
      <c r="I215" s="13"/>
      <c r="J215" s="13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4"/>
      <c r="W215" s="12"/>
      <c r="X215" s="12"/>
      <c r="Y215" s="15"/>
      <c r="Z215" s="12"/>
      <c r="AA215" s="12"/>
      <c r="AB215" s="12"/>
      <c r="AC215" s="12"/>
    </row>
    <row r="216" spans="1:29" x14ac:dyDescent="0.3">
      <c r="A216" s="12"/>
      <c r="B216" s="12"/>
      <c r="C216" s="12"/>
      <c r="D216" s="12"/>
      <c r="E216" s="12"/>
      <c r="F216" s="12"/>
      <c r="G216" s="12"/>
      <c r="H216" s="12"/>
      <c r="I216" s="13"/>
      <c r="J216" s="13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4"/>
      <c r="W216" s="12"/>
      <c r="X216" s="12"/>
      <c r="Y216" s="15"/>
      <c r="Z216" s="12"/>
      <c r="AA216" s="12"/>
      <c r="AB216" s="12"/>
      <c r="AC216" s="12"/>
    </row>
    <row r="217" spans="1:29" x14ac:dyDescent="0.3">
      <c r="A217" s="12"/>
      <c r="B217" s="12"/>
      <c r="C217" s="12"/>
      <c r="D217" s="12"/>
      <c r="E217" s="12"/>
      <c r="F217" s="12"/>
      <c r="G217" s="12"/>
      <c r="H217" s="12"/>
      <c r="I217" s="13"/>
      <c r="J217" s="13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4"/>
      <c r="W217" s="12"/>
      <c r="X217" s="12"/>
      <c r="Y217" s="15"/>
      <c r="Z217" s="12"/>
      <c r="AA217" s="12"/>
      <c r="AB217" s="12"/>
      <c r="AC217" s="12"/>
    </row>
    <row r="218" spans="1:29" x14ac:dyDescent="0.3">
      <c r="A218" s="12"/>
      <c r="B218" s="12"/>
      <c r="C218" s="12"/>
      <c r="D218" s="12"/>
      <c r="E218" s="12"/>
      <c r="F218" s="12"/>
      <c r="G218" s="12"/>
      <c r="H218" s="12"/>
      <c r="I218" s="13"/>
      <c r="J218" s="13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4"/>
      <c r="W218" s="12"/>
      <c r="X218" s="12"/>
      <c r="Y218" s="15"/>
      <c r="Z218" s="12"/>
      <c r="AA218" s="12"/>
      <c r="AB218" s="12"/>
      <c r="AC218" s="12"/>
    </row>
    <row r="219" spans="1:29" x14ac:dyDescent="0.3">
      <c r="A219" s="12"/>
      <c r="B219" s="12"/>
      <c r="C219" s="12"/>
      <c r="D219" s="12"/>
      <c r="E219" s="12"/>
      <c r="F219" s="12"/>
      <c r="G219" s="12"/>
      <c r="H219" s="12"/>
      <c r="I219" s="13"/>
      <c r="J219" s="13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4"/>
      <c r="W219" s="12"/>
      <c r="X219" s="12"/>
      <c r="Y219" s="15"/>
      <c r="Z219" s="12"/>
      <c r="AA219" s="12"/>
      <c r="AB219" s="12"/>
      <c r="AC219" s="12"/>
    </row>
    <row r="220" spans="1:29" x14ac:dyDescent="0.3">
      <c r="A220" s="12"/>
      <c r="B220" s="12"/>
      <c r="C220" s="12"/>
      <c r="D220" s="12"/>
      <c r="E220" s="12"/>
      <c r="F220" s="12"/>
      <c r="G220" s="12"/>
      <c r="H220" s="12"/>
      <c r="I220" s="13"/>
      <c r="J220" s="13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4"/>
      <c r="W220" s="12"/>
      <c r="X220" s="12"/>
      <c r="Y220" s="15"/>
      <c r="Z220" s="12"/>
      <c r="AA220" s="12"/>
      <c r="AB220" s="12"/>
      <c r="AC220" s="12"/>
    </row>
    <row r="221" spans="1:29" x14ac:dyDescent="0.3">
      <c r="A221" s="12"/>
      <c r="B221" s="12"/>
      <c r="C221" s="12"/>
      <c r="D221" s="12"/>
      <c r="E221" s="12"/>
      <c r="F221" s="12"/>
      <c r="G221" s="12"/>
      <c r="H221" s="12"/>
      <c r="I221" s="13"/>
      <c r="J221" s="13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4"/>
      <c r="W221" s="12"/>
      <c r="X221" s="12"/>
      <c r="Y221" s="15"/>
      <c r="Z221" s="12"/>
      <c r="AA221" s="12"/>
      <c r="AB221" s="12"/>
      <c r="AC221" s="12"/>
    </row>
    <row r="222" spans="1:29" x14ac:dyDescent="0.3">
      <c r="A222" s="12"/>
      <c r="B222" s="12"/>
      <c r="C222" s="12"/>
      <c r="D222" s="12"/>
      <c r="E222" s="12"/>
      <c r="F222" s="12"/>
      <c r="G222" s="12"/>
      <c r="H222" s="12"/>
      <c r="I222" s="13"/>
      <c r="J222" s="13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4"/>
      <c r="W222" s="12"/>
      <c r="X222" s="12"/>
      <c r="Y222" s="15"/>
      <c r="Z222" s="12"/>
      <c r="AA222" s="12"/>
      <c r="AB222" s="12"/>
      <c r="AC222" s="12"/>
    </row>
    <row r="223" spans="1:29" x14ac:dyDescent="0.3">
      <c r="A223" s="12"/>
      <c r="B223" s="12"/>
      <c r="C223" s="12"/>
      <c r="D223" s="12"/>
      <c r="E223" s="12"/>
      <c r="F223" s="12"/>
      <c r="G223" s="12"/>
      <c r="H223" s="12"/>
      <c r="I223" s="13"/>
      <c r="J223" s="13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4"/>
      <c r="W223" s="12"/>
      <c r="X223" s="12"/>
      <c r="Y223" s="15"/>
      <c r="Z223" s="12"/>
      <c r="AA223" s="12"/>
      <c r="AB223" s="12"/>
      <c r="AC223" s="12"/>
    </row>
    <row r="224" spans="1:29" x14ac:dyDescent="0.3">
      <c r="A224" s="12"/>
      <c r="B224" s="12"/>
      <c r="C224" s="12"/>
      <c r="D224" s="12"/>
      <c r="E224" s="12"/>
      <c r="F224" s="12"/>
      <c r="G224" s="12"/>
      <c r="H224" s="12"/>
      <c r="I224" s="13"/>
      <c r="J224" s="13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4"/>
      <c r="W224" s="12"/>
      <c r="X224" s="12"/>
      <c r="Y224" s="15"/>
      <c r="Z224" s="12"/>
      <c r="AA224" s="12"/>
      <c r="AB224" s="12"/>
      <c r="AC224" s="12"/>
    </row>
    <row r="225" spans="1:29" x14ac:dyDescent="0.3">
      <c r="A225" s="12"/>
      <c r="B225" s="12"/>
      <c r="C225" s="12"/>
      <c r="D225" s="12"/>
      <c r="E225" s="12"/>
      <c r="F225" s="12"/>
      <c r="G225" s="12"/>
      <c r="H225" s="12"/>
      <c r="I225" s="13"/>
      <c r="J225" s="13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4"/>
      <c r="W225" s="12"/>
      <c r="X225" s="12"/>
      <c r="Y225" s="15"/>
      <c r="Z225" s="12"/>
      <c r="AA225" s="12"/>
      <c r="AB225" s="12"/>
      <c r="AC225" s="12"/>
    </row>
    <row r="226" spans="1:29" x14ac:dyDescent="0.3">
      <c r="A226" s="12"/>
      <c r="B226" s="12"/>
      <c r="C226" s="12"/>
      <c r="D226" s="12"/>
      <c r="E226" s="12"/>
      <c r="F226" s="12"/>
      <c r="G226" s="12"/>
      <c r="H226" s="12"/>
      <c r="I226" s="13"/>
      <c r="J226" s="13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4"/>
      <c r="W226" s="12"/>
      <c r="X226" s="12"/>
      <c r="Y226" s="15"/>
      <c r="Z226" s="12"/>
      <c r="AA226" s="12"/>
      <c r="AB226" s="12"/>
      <c r="AC226" s="12"/>
    </row>
    <row r="227" spans="1:29" x14ac:dyDescent="0.3">
      <c r="A227" s="12"/>
      <c r="B227" s="12"/>
      <c r="C227" s="12"/>
      <c r="D227" s="12"/>
      <c r="E227" s="12"/>
      <c r="F227" s="12"/>
      <c r="G227" s="12"/>
      <c r="H227" s="12"/>
      <c r="I227" s="13"/>
      <c r="J227" s="13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4"/>
      <c r="W227" s="12"/>
      <c r="X227" s="12"/>
      <c r="Y227" s="15"/>
      <c r="Z227" s="12"/>
      <c r="AA227" s="12"/>
      <c r="AB227" s="12"/>
      <c r="AC227" s="12"/>
    </row>
    <row r="228" spans="1:29" x14ac:dyDescent="0.3">
      <c r="A228" s="12"/>
      <c r="B228" s="12"/>
      <c r="C228" s="12"/>
      <c r="D228" s="12"/>
      <c r="E228" s="12"/>
      <c r="F228" s="12"/>
      <c r="G228" s="12"/>
      <c r="H228" s="12"/>
      <c r="I228" s="13"/>
      <c r="J228" s="13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4"/>
      <c r="W228" s="12"/>
      <c r="X228" s="12"/>
      <c r="Y228" s="15"/>
      <c r="Z228" s="12"/>
      <c r="AA228" s="12"/>
      <c r="AB228" s="12"/>
      <c r="AC228" s="12"/>
    </row>
    <row r="229" spans="1:29" x14ac:dyDescent="0.3">
      <c r="A229" s="12"/>
      <c r="B229" s="12"/>
      <c r="C229" s="12"/>
      <c r="D229" s="12"/>
      <c r="E229" s="12"/>
      <c r="F229" s="12"/>
      <c r="G229" s="12"/>
      <c r="H229" s="12"/>
      <c r="I229" s="13"/>
      <c r="J229" s="13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4"/>
      <c r="W229" s="12"/>
      <c r="X229" s="12"/>
      <c r="Y229" s="15"/>
      <c r="Z229" s="12"/>
      <c r="AA229" s="12"/>
      <c r="AB229" s="12"/>
      <c r="AC229" s="12"/>
    </row>
    <row r="230" spans="1:29" x14ac:dyDescent="0.3">
      <c r="A230" s="12"/>
      <c r="B230" s="12"/>
      <c r="C230" s="12"/>
      <c r="D230" s="12"/>
      <c r="E230" s="12"/>
      <c r="F230" s="12"/>
      <c r="G230" s="12"/>
      <c r="H230" s="12"/>
      <c r="I230" s="13"/>
      <c r="J230" s="13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4"/>
      <c r="W230" s="12"/>
      <c r="X230" s="12"/>
      <c r="Y230" s="15"/>
      <c r="Z230" s="12"/>
      <c r="AA230" s="12"/>
      <c r="AB230" s="12"/>
      <c r="AC230" s="12"/>
    </row>
    <row r="231" spans="1:29" x14ac:dyDescent="0.3">
      <c r="A231" s="12"/>
      <c r="B231" s="12"/>
      <c r="C231" s="12"/>
      <c r="D231" s="12"/>
      <c r="E231" s="12"/>
      <c r="F231" s="12"/>
      <c r="G231" s="12"/>
      <c r="H231" s="12"/>
      <c r="I231" s="13"/>
      <c r="J231" s="13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4"/>
      <c r="W231" s="12"/>
      <c r="X231" s="12"/>
      <c r="Y231" s="15"/>
      <c r="Z231" s="12"/>
      <c r="AA231" s="12"/>
      <c r="AB231" s="12"/>
      <c r="AC231" s="12"/>
    </row>
    <row r="232" spans="1:29" x14ac:dyDescent="0.3">
      <c r="A232" s="12"/>
      <c r="B232" s="12"/>
      <c r="C232" s="12"/>
      <c r="D232" s="12"/>
      <c r="E232" s="12"/>
      <c r="F232" s="12"/>
      <c r="G232" s="12"/>
      <c r="H232" s="12"/>
      <c r="I232" s="13"/>
      <c r="J232" s="13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4"/>
      <c r="W232" s="12"/>
      <c r="X232" s="12"/>
      <c r="Y232" s="15"/>
      <c r="Z232" s="12"/>
      <c r="AA232" s="12"/>
      <c r="AB232" s="12"/>
      <c r="AC232" s="12"/>
    </row>
    <row r="233" spans="1:29" x14ac:dyDescent="0.3">
      <c r="A233" s="12"/>
      <c r="B233" s="12"/>
      <c r="C233" s="12"/>
      <c r="D233" s="12"/>
      <c r="E233" s="12"/>
      <c r="F233" s="12"/>
      <c r="G233" s="12"/>
      <c r="H233" s="12"/>
      <c r="I233" s="13"/>
      <c r="J233" s="13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4"/>
      <c r="W233" s="12"/>
      <c r="X233" s="12"/>
      <c r="Y233" s="15"/>
      <c r="Z233" s="12"/>
      <c r="AA233" s="12"/>
      <c r="AB233" s="12"/>
      <c r="AC233" s="12"/>
    </row>
    <row r="234" spans="1:29" x14ac:dyDescent="0.3">
      <c r="A234" s="12"/>
      <c r="B234" s="12"/>
      <c r="C234" s="12"/>
      <c r="D234" s="12"/>
      <c r="E234" s="12"/>
      <c r="F234" s="12"/>
      <c r="G234" s="12"/>
      <c r="H234" s="12"/>
      <c r="I234" s="13"/>
      <c r="J234" s="13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4"/>
      <c r="W234" s="12"/>
      <c r="X234" s="12"/>
      <c r="Y234" s="15"/>
      <c r="Z234" s="12"/>
      <c r="AA234" s="12"/>
      <c r="AB234" s="12"/>
      <c r="AC234" s="12"/>
    </row>
    <row r="235" spans="1:29" x14ac:dyDescent="0.3">
      <c r="A235" s="12"/>
      <c r="B235" s="12"/>
      <c r="C235" s="12"/>
      <c r="D235" s="12"/>
      <c r="E235" s="12"/>
      <c r="F235" s="12"/>
      <c r="G235" s="12"/>
      <c r="H235" s="12"/>
      <c r="I235" s="13"/>
      <c r="J235" s="13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4"/>
      <c r="W235" s="12"/>
      <c r="X235" s="12"/>
      <c r="Y235" s="15"/>
      <c r="Z235" s="12"/>
      <c r="AA235" s="12"/>
      <c r="AB235" s="12"/>
      <c r="AC235" s="12"/>
    </row>
    <row r="236" spans="1:29" x14ac:dyDescent="0.3">
      <c r="A236" s="12"/>
      <c r="B236" s="12"/>
      <c r="C236" s="12"/>
      <c r="D236" s="12"/>
      <c r="E236" s="12"/>
      <c r="F236" s="12"/>
      <c r="G236" s="12"/>
      <c r="H236" s="12"/>
      <c r="I236" s="13"/>
      <c r="J236" s="13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4"/>
      <c r="W236" s="12"/>
      <c r="X236" s="12"/>
      <c r="Y236" s="15"/>
      <c r="Z236" s="12"/>
      <c r="AA236" s="12"/>
      <c r="AB236" s="12"/>
      <c r="AC236" s="12"/>
    </row>
    <row r="237" spans="1:29" x14ac:dyDescent="0.3">
      <c r="A237" s="12"/>
      <c r="B237" s="12"/>
      <c r="C237" s="12"/>
      <c r="D237" s="12"/>
      <c r="E237" s="12"/>
      <c r="F237" s="12"/>
      <c r="G237" s="12"/>
      <c r="H237" s="12"/>
      <c r="I237" s="13"/>
      <c r="J237" s="13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4"/>
      <c r="W237" s="12"/>
      <c r="X237" s="12"/>
      <c r="Y237" s="15"/>
      <c r="Z237" s="12"/>
      <c r="AA237" s="12"/>
      <c r="AB237" s="12"/>
      <c r="AC237" s="12"/>
    </row>
    <row r="238" spans="1:29" x14ac:dyDescent="0.3">
      <c r="A238" s="12"/>
      <c r="B238" s="12"/>
      <c r="C238" s="12"/>
      <c r="D238" s="12"/>
      <c r="E238" s="12"/>
      <c r="F238" s="12"/>
      <c r="G238" s="12"/>
      <c r="H238" s="12"/>
      <c r="I238" s="13"/>
      <c r="J238" s="13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4"/>
      <c r="W238" s="12"/>
      <c r="X238" s="12"/>
      <c r="Y238" s="15"/>
      <c r="Z238" s="12"/>
      <c r="AA238" s="12"/>
      <c r="AB238" s="12"/>
      <c r="AC238" s="12"/>
    </row>
    <row r="239" spans="1:29" x14ac:dyDescent="0.3">
      <c r="A239" s="12"/>
      <c r="B239" s="12"/>
      <c r="C239" s="12"/>
      <c r="D239" s="12"/>
      <c r="E239" s="12"/>
      <c r="F239" s="12"/>
      <c r="G239" s="12"/>
      <c r="H239" s="12"/>
      <c r="I239" s="13"/>
      <c r="J239" s="13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4"/>
      <c r="W239" s="12"/>
      <c r="X239" s="12"/>
      <c r="Y239" s="15"/>
      <c r="Z239" s="12"/>
      <c r="AA239" s="12"/>
      <c r="AB239" s="12"/>
      <c r="AC239" s="12"/>
    </row>
    <row r="240" spans="1:29" x14ac:dyDescent="0.3">
      <c r="A240" s="12"/>
      <c r="B240" s="12"/>
      <c r="C240" s="12"/>
      <c r="D240" s="12"/>
      <c r="E240" s="12"/>
      <c r="F240" s="12"/>
      <c r="G240" s="12"/>
      <c r="H240" s="12"/>
      <c r="I240" s="13"/>
      <c r="J240" s="13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4"/>
      <c r="W240" s="12"/>
      <c r="X240" s="12"/>
      <c r="Y240" s="15"/>
      <c r="Z240" s="12"/>
      <c r="AA240" s="12"/>
      <c r="AB240" s="12"/>
      <c r="AC240" s="12"/>
    </row>
    <row r="241" spans="1:29" x14ac:dyDescent="0.3">
      <c r="A241" s="12"/>
      <c r="B241" s="12"/>
      <c r="C241" s="12"/>
      <c r="D241" s="12"/>
      <c r="E241" s="12"/>
      <c r="F241" s="12"/>
      <c r="G241" s="12"/>
      <c r="H241" s="12"/>
      <c r="I241" s="13"/>
      <c r="J241" s="13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4"/>
      <c r="W241" s="12"/>
      <c r="X241" s="12"/>
      <c r="Y241" s="15"/>
      <c r="Z241" s="12"/>
      <c r="AA241" s="12"/>
      <c r="AB241" s="12"/>
      <c r="AC241" s="12"/>
    </row>
    <row r="242" spans="1:29" x14ac:dyDescent="0.3">
      <c r="A242" s="12"/>
      <c r="B242" s="12"/>
      <c r="C242" s="12"/>
      <c r="D242" s="12"/>
      <c r="E242" s="12"/>
      <c r="F242" s="12"/>
      <c r="G242" s="12"/>
      <c r="H242" s="12"/>
      <c r="I242" s="13"/>
      <c r="J242" s="13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4"/>
      <c r="W242" s="12"/>
      <c r="X242" s="12"/>
      <c r="Y242" s="15"/>
      <c r="Z242" s="12"/>
      <c r="AA242" s="12"/>
      <c r="AB242" s="12"/>
      <c r="AC242" s="12"/>
    </row>
    <row r="243" spans="1:29" x14ac:dyDescent="0.3">
      <c r="A243" s="12"/>
      <c r="B243" s="12"/>
      <c r="C243" s="12"/>
      <c r="D243" s="12"/>
      <c r="E243" s="12"/>
      <c r="F243" s="12"/>
      <c r="G243" s="12"/>
      <c r="H243" s="12"/>
      <c r="I243" s="13"/>
      <c r="J243" s="13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4"/>
      <c r="W243" s="12"/>
      <c r="X243" s="12"/>
      <c r="Y243" s="15"/>
      <c r="Z243" s="12"/>
      <c r="AA243" s="12"/>
      <c r="AB243" s="12"/>
      <c r="AC243" s="12"/>
    </row>
    <row r="244" spans="1:29" x14ac:dyDescent="0.3">
      <c r="A244" s="12"/>
      <c r="B244" s="12"/>
      <c r="C244" s="12"/>
      <c r="D244" s="12"/>
      <c r="E244" s="12"/>
      <c r="F244" s="12"/>
      <c r="G244" s="12"/>
      <c r="H244" s="12"/>
      <c r="I244" s="13"/>
      <c r="J244" s="13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4"/>
      <c r="W244" s="12"/>
      <c r="X244" s="12"/>
      <c r="Y244" s="15"/>
      <c r="Z244" s="12"/>
      <c r="AA244" s="12"/>
      <c r="AB244" s="12"/>
      <c r="AC244" s="12"/>
    </row>
    <row r="245" spans="1:29" x14ac:dyDescent="0.3">
      <c r="A245" s="12"/>
      <c r="B245" s="12"/>
      <c r="C245" s="12"/>
      <c r="D245" s="12"/>
      <c r="E245" s="12"/>
      <c r="F245" s="12"/>
      <c r="G245" s="12"/>
      <c r="H245" s="12"/>
      <c r="I245" s="13"/>
      <c r="J245" s="13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4"/>
      <c r="W245" s="12"/>
      <c r="X245" s="12"/>
      <c r="Y245" s="15"/>
      <c r="Z245" s="12"/>
      <c r="AA245" s="12"/>
      <c r="AB245" s="12"/>
      <c r="AC245" s="12"/>
    </row>
    <row r="246" spans="1:29" x14ac:dyDescent="0.3">
      <c r="A246" s="12"/>
      <c r="B246" s="12"/>
      <c r="C246" s="12"/>
      <c r="D246" s="12"/>
      <c r="E246" s="12"/>
      <c r="F246" s="12"/>
      <c r="G246" s="12"/>
      <c r="H246" s="12"/>
      <c r="I246" s="13"/>
      <c r="J246" s="13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4"/>
      <c r="W246" s="12"/>
      <c r="X246" s="12"/>
      <c r="Y246" s="15"/>
      <c r="Z246" s="12"/>
      <c r="AA246" s="12"/>
      <c r="AB246" s="12"/>
      <c r="AC246" s="12"/>
    </row>
    <row r="247" spans="1:29" x14ac:dyDescent="0.3">
      <c r="A247" s="12"/>
      <c r="B247" s="12"/>
      <c r="C247" s="12"/>
      <c r="D247" s="12"/>
      <c r="E247" s="12"/>
      <c r="F247" s="12"/>
      <c r="G247" s="12"/>
      <c r="H247" s="12"/>
      <c r="I247" s="13"/>
      <c r="J247" s="13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4"/>
      <c r="W247" s="12"/>
      <c r="X247" s="12"/>
      <c r="Y247" s="15"/>
      <c r="Z247" s="12"/>
      <c r="AA247" s="12"/>
      <c r="AB247" s="12"/>
      <c r="AC247" s="12"/>
    </row>
    <row r="248" spans="1:29" x14ac:dyDescent="0.3">
      <c r="A248" s="12"/>
      <c r="B248" s="12"/>
      <c r="C248" s="12"/>
      <c r="D248" s="12"/>
      <c r="E248" s="12"/>
      <c r="F248" s="12"/>
      <c r="G248" s="12"/>
      <c r="H248" s="12"/>
      <c r="I248" s="13"/>
      <c r="J248" s="13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4"/>
      <c r="W248" s="12"/>
      <c r="X248" s="12"/>
      <c r="Y248" s="15"/>
      <c r="Z248" s="12"/>
      <c r="AA248" s="12"/>
      <c r="AB248" s="12"/>
      <c r="AC248" s="12"/>
    </row>
    <row r="249" spans="1:29" x14ac:dyDescent="0.3">
      <c r="A249" s="12"/>
      <c r="B249" s="12"/>
      <c r="C249" s="12"/>
      <c r="D249" s="12"/>
      <c r="E249" s="12"/>
      <c r="F249" s="12"/>
      <c r="G249" s="12"/>
      <c r="H249" s="12"/>
      <c r="I249" s="13"/>
      <c r="J249" s="13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4"/>
      <c r="W249" s="12"/>
      <c r="X249" s="12"/>
      <c r="Y249" s="15"/>
      <c r="Z249" s="12"/>
      <c r="AA249" s="12"/>
      <c r="AB249" s="12"/>
      <c r="AC249" s="12"/>
    </row>
    <row r="250" spans="1:29" x14ac:dyDescent="0.3">
      <c r="A250" s="12"/>
      <c r="B250" s="12"/>
      <c r="C250" s="12"/>
      <c r="D250" s="12"/>
      <c r="E250" s="12"/>
      <c r="F250" s="12"/>
      <c r="G250" s="12"/>
      <c r="H250" s="12"/>
      <c r="I250" s="13"/>
      <c r="J250" s="13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4"/>
      <c r="W250" s="12"/>
      <c r="X250" s="12"/>
      <c r="Y250" s="15"/>
      <c r="Z250" s="12"/>
      <c r="AA250" s="12"/>
      <c r="AB250" s="12"/>
      <c r="AC250" s="12"/>
    </row>
    <row r="251" spans="1:29" x14ac:dyDescent="0.3">
      <c r="A251" s="12"/>
      <c r="B251" s="12"/>
      <c r="C251" s="12"/>
      <c r="D251" s="12"/>
      <c r="E251" s="12"/>
      <c r="F251" s="12"/>
      <c r="G251" s="12"/>
      <c r="H251" s="12"/>
      <c r="I251" s="13"/>
      <c r="J251" s="13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4"/>
      <c r="W251" s="12"/>
      <c r="X251" s="12"/>
      <c r="Y251" s="15"/>
      <c r="Z251" s="12"/>
      <c r="AA251" s="12"/>
      <c r="AB251" s="12"/>
      <c r="AC251" s="12"/>
    </row>
    <row r="252" spans="1:29" x14ac:dyDescent="0.3">
      <c r="A252" s="12"/>
      <c r="B252" s="12"/>
      <c r="C252" s="12"/>
      <c r="D252" s="12"/>
      <c r="E252" s="12"/>
      <c r="F252" s="12"/>
      <c r="G252" s="12"/>
      <c r="H252" s="12"/>
      <c r="I252" s="13"/>
      <c r="J252" s="13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4"/>
      <c r="W252" s="12"/>
      <c r="X252" s="12"/>
      <c r="Y252" s="15"/>
      <c r="Z252" s="12"/>
      <c r="AA252" s="12"/>
      <c r="AB252" s="12"/>
      <c r="AC252" s="12"/>
    </row>
    <row r="253" spans="1:29" x14ac:dyDescent="0.3">
      <c r="A253" s="12"/>
      <c r="B253" s="12"/>
      <c r="C253" s="12"/>
      <c r="D253" s="12"/>
      <c r="E253" s="12"/>
      <c r="F253" s="12"/>
      <c r="G253" s="12"/>
      <c r="H253" s="12"/>
      <c r="I253" s="13"/>
      <c r="J253" s="13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4"/>
      <c r="W253" s="12"/>
      <c r="X253" s="12"/>
      <c r="Y253" s="15"/>
      <c r="Z253" s="12"/>
      <c r="AA253" s="12"/>
      <c r="AB253" s="12"/>
      <c r="AC253" s="12"/>
    </row>
    <row r="254" spans="1:29" x14ac:dyDescent="0.3">
      <c r="A254" s="12"/>
      <c r="B254" s="12"/>
      <c r="C254" s="12"/>
      <c r="D254" s="12"/>
      <c r="E254" s="12"/>
      <c r="F254" s="12"/>
      <c r="G254" s="12"/>
      <c r="H254" s="12"/>
      <c r="I254" s="13"/>
      <c r="J254" s="13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4"/>
      <c r="W254" s="12"/>
      <c r="X254" s="12"/>
      <c r="Y254" s="15"/>
      <c r="Z254" s="12"/>
      <c r="AA254" s="12"/>
      <c r="AB254" s="12"/>
      <c r="AC254" s="12"/>
    </row>
    <row r="255" spans="1:29" x14ac:dyDescent="0.3">
      <c r="A255" s="12"/>
      <c r="B255" s="12"/>
      <c r="C255" s="12"/>
      <c r="D255" s="12"/>
      <c r="E255" s="12"/>
      <c r="F255" s="12"/>
      <c r="G255" s="12"/>
      <c r="H255" s="12"/>
      <c r="I255" s="13"/>
      <c r="J255" s="13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4"/>
      <c r="W255" s="12"/>
      <c r="X255" s="12"/>
      <c r="Y255" s="15"/>
      <c r="Z255" s="12"/>
      <c r="AA255" s="12"/>
      <c r="AB255" s="12"/>
      <c r="AC255" s="12"/>
    </row>
    <row r="256" spans="1:29" x14ac:dyDescent="0.3">
      <c r="A256" s="12"/>
      <c r="B256" s="12"/>
      <c r="C256" s="12"/>
      <c r="D256" s="12"/>
      <c r="E256" s="12"/>
      <c r="F256" s="12"/>
      <c r="G256" s="12"/>
      <c r="H256" s="12"/>
      <c r="I256" s="13"/>
      <c r="J256" s="13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4"/>
      <c r="W256" s="12"/>
      <c r="X256" s="12"/>
      <c r="Y256" s="15"/>
      <c r="Z256" s="12"/>
      <c r="AA256" s="12"/>
      <c r="AB256" s="12"/>
      <c r="AC256" s="12"/>
    </row>
    <row r="257" spans="1:29" x14ac:dyDescent="0.3">
      <c r="A257" s="12"/>
      <c r="B257" s="12"/>
      <c r="C257" s="12"/>
      <c r="D257" s="12"/>
      <c r="E257" s="12"/>
      <c r="F257" s="12"/>
      <c r="G257" s="12"/>
      <c r="H257" s="12"/>
      <c r="I257" s="13"/>
      <c r="J257" s="13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4"/>
      <c r="W257" s="12"/>
      <c r="X257" s="12"/>
      <c r="Y257" s="15"/>
      <c r="Z257" s="12"/>
      <c r="AA257" s="12"/>
      <c r="AB257" s="12"/>
      <c r="AC257" s="12"/>
    </row>
    <row r="258" spans="1:29" x14ac:dyDescent="0.3">
      <c r="A258" s="12"/>
      <c r="B258" s="12"/>
      <c r="C258" s="12"/>
      <c r="D258" s="12"/>
      <c r="E258" s="12"/>
      <c r="F258" s="12"/>
      <c r="G258" s="12"/>
      <c r="H258" s="12"/>
      <c r="I258" s="13"/>
      <c r="J258" s="13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4"/>
      <c r="W258" s="12"/>
      <c r="X258" s="12"/>
      <c r="Y258" s="15"/>
      <c r="Z258" s="12"/>
      <c r="AA258" s="12"/>
      <c r="AB258" s="12"/>
      <c r="AC258" s="12"/>
    </row>
    <row r="259" spans="1:29" x14ac:dyDescent="0.3">
      <c r="A259" s="12"/>
      <c r="B259" s="12"/>
      <c r="C259" s="12"/>
      <c r="D259" s="12"/>
      <c r="E259" s="12"/>
      <c r="F259" s="12"/>
      <c r="G259" s="12"/>
      <c r="H259" s="12"/>
      <c r="I259" s="13"/>
      <c r="J259" s="13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4"/>
      <c r="W259" s="12"/>
      <c r="X259" s="12"/>
      <c r="Y259" s="15"/>
      <c r="Z259" s="12"/>
      <c r="AA259" s="12"/>
      <c r="AB259" s="12"/>
      <c r="AC259" s="12"/>
    </row>
    <row r="260" spans="1:29" x14ac:dyDescent="0.3">
      <c r="A260" s="12"/>
      <c r="B260" s="12"/>
      <c r="C260" s="12"/>
      <c r="D260" s="12"/>
      <c r="E260" s="12"/>
      <c r="F260" s="12"/>
      <c r="G260" s="12"/>
      <c r="H260" s="12"/>
      <c r="I260" s="13"/>
      <c r="J260" s="13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4"/>
      <c r="W260" s="12"/>
      <c r="X260" s="12"/>
      <c r="Y260" s="15"/>
      <c r="Z260" s="12"/>
      <c r="AA260" s="12"/>
      <c r="AB260" s="12"/>
      <c r="AC260" s="12"/>
    </row>
    <row r="261" spans="1:29" x14ac:dyDescent="0.3">
      <c r="A261" s="12"/>
      <c r="B261" s="12"/>
      <c r="C261" s="12"/>
      <c r="D261" s="12"/>
      <c r="E261" s="12"/>
      <c r="F261" s="12"/>
      <c r="G261" s="12"/>
      <c r="H261" s="12"/>
      <c r="I261" s="13"/>
      <c r="J261" s="13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4"/>
      <c r="W261" s="12"/>
      <c r="X261" s="12"/>
      <c r="Y261" s="15"/>
      <c r="Z261" s="12"/>
      <c r="AA261" s="12"/>
      <c r="AB261" s="12"/>
      <c r="AC261" s="12"/>
    </row>
    <row r="262" spans="1:29" x14ac:dyDescent="0.3">
      <c r="A262" s="12"/>
      <c r="B262" s="12"/>
      <c r="C262" s="12"/>
      <c r="D262" s="12"/>
      <c r="E262" s="12"/>
      <c r="F262" s="12"/>
      <c r="G262" s="12"/>
      <c r="H262" s="12"/>
      <c r="I262" s="13"/>
      <c r="J262" s="13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4"/>
      <c r="W262" s="12"/>
      <c r="X262" s="12"/>
      <c r="Y262" s="15"/>
      <c r="Z262" s="12"/>
      <c r="AA262" s="12"/>
      <c r="AB262" s="12"/>
      <c r="AC262" s="12"/>
    </row>
    <row r="263" spans="1:29" x14ac:dyDescent="0.3">
      <c r="A263" s="12"/>
      <c r="B263" s="12"/>
      <c r="C263" s="12"/>
      <c r="D263" s="12"/>
      <c r="E263" s="12"/>
      <c r="F263" s="12"/>
      <c r="G263" s="12"/>
      <c r="H263" s="12"/>
      <c r="I263" s="13"/>
      <c r="J263" s="13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4"/>
      <c r="W263" s="12"/>
      <c r="X263" s="12"/>
      <c r="Y263" s="15"/>
      <c r="Z263" s="12"/>
      <c r="AA263" s="12"/>
      <c r="AB263" s="12"/>
      <c r="AC263" s="12"/>
    </row>
    <row r="264" spans="1:29" x14ac:dyDescent="0.3">
      <c r="A264" s="12"/>
      <c r="B264" s="12"/>
      <c r="C264" s="12"/>
      <c r="D264" s="12"/>
      <c r="E264" s="12"/>
      <c r="F264" s="12"/>
      <c r="G264" s="12"/>
      <c r="H264" s="12"/>
      <c r="I264" s="13"/>
      <c r="J264" s="13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4"/>
      <c r="W264" s="12"/>
      <c r="X264" s="12"/>
      <c r="Y264" s="15"/>
      <c r="Z264" s="12"/>
      <c r="AA264" s="12"/>
      <c r="AB264" s="12"/>
      <c r="AC264" s="12"/>
    </row>
    <row r="265" spans="1:29" x14ac:dyDescent="0.3">
      <c r="A265" s="12"/>
      <c r="B265" s="12"/>
      <c r="C265" s="12"/>
      <c r="D265" s="12"/>
      <c r="E265" s="12"/>
      <c r="F265" s="12"/>
      <c r="G265" s="12"/>
      <c r="H265" s="12"/>
      <c r="I265" s="13"/>
      <c r="J265" s="13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4"/>
      <c r="W265" s="12"/>
      <c r="X265" s="12"/>
      <c r="Y265" s="15"/>
      <c r="Z265" s="12"/>
      <c r="AA265" s="12"/>
      <c r="AB265" s="12"/>
      <c r="AC265" s="12"/>
    </row>
    <row r="266" spans="1:29" x14ac:dyDescent="0.3">
      <c r="A266" s="12"/>
      <c r="B266" s="12"/>
      <c r="C266" s="12"/>
      <c r="D266" s="12"/>
      <c r="E266" s="12"/>
      <c r="F266" s="12"/>
      <c r="G266" s="12"/>
      <c r="H266" s="12"/>
      <c r="I266" s="13"/>
      <c r="J266" s="13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4"/>
      <c r="W266" s="12"/>
      <c r="X266" s="12"/>
      <c r="Y266" s="15"/>
      <c r="Z266" s="12"/>
      <c r="AA266" s="12"/>
      <c r="AB266" s="12"/>
      <c r="AC266" s="12"/>
    </row>
    <row r="267" spans="1:29" x14ac:dyDescent="0.3">
      <c r="A267" s="12"/>
      <c r="B267" s="12"/>
      <c r="C267" s="12"/>
      <c r="D267" s="12"/>
      <c r="E267" s="12"/>
      <c r="F267" s="12"/>
      <c r="G267" s="12"/>
      <c r="H267" s="12"/>
      <c r="I267" s="13"/>
      <c r="J267" s="13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4"/>
      <c r="W267" s="12"/>
      <c r="X267" s="12"/>
      <c r="Y267" s="15"/>
      <c r="Z267" s="12"/>
      <c r="AA267" s="12"/>
      <c r="AB267" s="12"/>
      <c r="AC267" s="12"/>
    </row>
    <row r="268" spans="1:29" x14ac:dyDescent="0.3">
      <c r="A268" s="12"/>
      <c r="B268" s="12"/>
      <c r="C268" s="12"/>
      <c r="D268" s="12"/>
      <c r="E268" s="12"/>
      <c r="F268" s="12"/>
      <c r="G268" s="12"/>
      <c r="H268" s="12"/>
      <c r="I268" s="13"/>
      <c r="J268" s="13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4"/>
      <c r="W268" s="12"/>
      <c r="X268" s="12"/>
      <c r="Y268" s="15"/>
      <c r="Z268" s="12"/>
      <c r="AA268" s="12"/>
      <c r="AB268" s="12"/>
      <c r="AC268" s="12"/>
    </row>
    <row r="269" spans="1:29" x14ac:dyDescent="0.3">
      <c r="A269" s="12"/>
      <c r="B269" s="12"/>
      <c r="C269" s="12"/>
      <c r="D269" s="12"/>
      <c r="E269" s="12"/>
      <c r="F269" s="12"/>
      <c r="G269" s="12"/>
      <c r="H269" s="12"/>
      <c r="I269" s="13"/>
      <c r="J269" s="13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4"/>
      <c r="W269" s="12"/>
      <c r="X269" s="12"/>
      <c r="Y269" s="15"/>
      <c r="Z269" s="12"/>
      <c r="AA269" s="12"/>
      <c r="AB269" s="12"/>
      <c r="AC269" s="12"/>
    </row>
    <row r="270" spans="1:29" x14ac:dyDescent="0.3">
      <c r="A270" s="12"/>
      <c r="B270" s="12"/>
      <c r="C270" s="12"/>
      <c r="D270" s="12"/>
      <c r="E270" s="12"/>
      <c r="F270" s="12"/>
      <c r="G270" s="12"/>
      <c r="H270" s="12"/>
      <c r="I270" s="13"/>
      <c r="J270" s="13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4"/>
      <c r="W270" s="12"/>
      <c r="X270" s="12"/>
      <c r="Y270" s="15"/>
      <c r="Z270" s="12"/>
      <c r="AA270" s="12"/>
      <c r="AB270" s="12"/>
      <c r="AC270" s="12"/>
    </row>
    <row r="271" spans="1:29" x14ac:dyDescent="0.3">
      <c r="A271" s="12"/>
      <c r="B271" s="12"/>
      <c r="C271" s="12"/>
      <c r="D271" s="12"/>
      <c r="E271" s="12"/>
      <c r="F271" s="12"/>
      <c r="G271" s="12"/>
      <c r="H271" s="12"/>
      <c r="I271" s="13"/>
      <c r="J271" s="13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4"/>
      <c r="W271" s="12"/>
      <c r="X271" s="12"/>
      <c r="Y271" s="15"/>
      <c r="Z271" s="12"/>
      <c r="AA271" s="12"/>
      <c r="AB271" s="12"/>
      <c r="AC271" s="12"/>
    </row>
    <row r="272" spans="1:29" x14ac:dyDescent="0.3">
      <c r="A272" s="12"/>
      <c r="B272" s="12"/>
      <c r="C272" s="12"/>
      <c r="D272" s="12"/>
      <c r="E272" s="12"/>
      <c r="F272" s="12"/>
      <c r="G272" s="12"/>
      <c r="H272" s="12"/>
      <c r="I272" s="13"/>
      <c r="J272" s="13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4"/>
      <c r="W272" s="12"/>
      <c r="X272" s="12"/>
      <c r="Y272" s="15"/>
      <c r="Z272" s="12"/>
      <c r="AA272" s="12"/>
      <c r="AB272" s="12"/>
      <c r="AC272" s="12"/>
    </row>
    <row r="273" spans="1:29" x14ac:dyDescent="0.3">
      <c r="A273" s="12"/>
      <c r="B273" s="12"/>
      <c r="C273" s="12"/>
      <c r="D273" s="12"/>
      <c r="E273" s="12"/>
      <c r="F273" s="12"/>
      <c r="G273" s="12"/>
      <c r="H273" s="12"/>
      <c r="I273" s="13"/>
      <c r="J273" s="13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4"/>
      <c r="W273" s="12"/>
      <c r="X273" s="12"/>
      <c r="Y273" s="15"/>
      <c r="Z273" s="12"/>
      <c r="AA273" s="12"/>
      <c r="AB273" s="12"/>
      <c r="AC273" s="12"/>
    </row>
    <row r="274" spans="1:29" x14ac:dyDescent="0.3">
      <c r="A274" s="12"/>
      <c r="B274" s="12"/>
      <c r="C274" s="12"/>
      <c r="D274" s="12"/>
      <c r="E274" s="12"/>
      <c r="F274" s="12"/>
      <c r="G274" s="12"/>
      <c r="H274" s="12"/>
      <c r="I274" s="13"/>
      <c r="J274" s="13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4"/>
      <c r="W274" s="12"/>
      <c r="X274" s="12"/>
      <c r="Y274" s="15"/>
      <c r="Z274" s="12"/>
      <c r="AA274" s="12"/>
      <c r="AB274" s="12"/>
      <c r="AC274" s="12"/>
    </row>
    <row r="275" spans="1:29" x14ac:dyDescent="0.3">
      <c r="A275" s="12"/>
      <c r="B275" s="12"/>
      <c r="C275" s="12"/>
      <c r="D275" s="12"/>
      <c r="E275" s="12"/>
      <c r="F275" s="12"/>
      <c r="G275" s="12"/>
      <c r="H275" s="12"/>
      <c r="I275" s="13"/>
      <c r="J275" s="13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4"/>
      <c r="W275" s="12"/>
      <c r="X275" s="12"/>
      <c r="Y275" s="15"/>
      <c r="Z275" s="12"/>
      <c r="AA275" s="12"/>
      <c r="AB275" s="12"/>
      <c r="AC275" s="12"/>
    </row>
    <row r="276" spans="1:29" x14ac:dyDescent="0.3">
      <c r="A276" s="12"/>
      <c r="B276" s="12"/>
      <c r="C276" s="12"/>
      <c r="D276" s="12"/>
      <c r="E276" s="12"/>
      <c r="F276" s="12"/>
      <c r="G276" s="12"/>
      <c r="H276" s="12"/>
      <c r="I276" s="13"/>
      <c r="J276" s="13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4"/>
      <c r="W276" s="12"/>
      <c r="X276" s="12"/>
      <c r="Y276" s="15"/>
      <c r="Z276" s="12"/>
      <c r="AA276" s="12"/>
      <c r="AB276" s="12"/>
      <c r="AC276" s="12"/>
    </row>
    <row r="277" spans="1:29" x14ac:dyDescent="0.3">
      <c r="A277" s="12"/>
      <c r="B277" s="12"/>
      <c r="C277" s="12"/>
      <c r="D277" s="12"/>
      <c r="E277" s="12"/>
      <c r="F277" s="12"/>
      <c r="G277" s="12"/>
      <c r="H277" s="12"/>
      <c r="I277" s="13"/>
      <c r="J277" s="13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4"/>
      <c r="W277" s="12"/>
      <c r="X277" s="12"/>
      <c r="Y277" s="15"/>
      <c r="Z277" s="12"/>
      <c r="AA277" s="12"/>
      <c r="AB277" s="12"/>
      <c r="AC277" s="12"/>
    </row>
    <row r="278" spans="1:29" x14ac:dyDescent="0.3">
      <c r="A278" s="12"/>
      <c r="B278" s="12"/>
      <c r="C278" s="12"/>
      <c r="D278" s="12"/>
      <c r="E278" s="12"/>
      <c r="F278" s="12"/>
      <c r="G278" s="12"/>
      <c r="H278" s="12"/>
      <c r="I278" s="13"/>
      <c r="J278" s="13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4"/>
      <c r="W278" s="12"/>
      <c r="X278" s="12"/>
      <c r="Y278" s="15"/>
      <c r="Z278" s="12"/>
      <c r="AA278" s="12"/>
      <c r="AB278" s="12"/>
      <c r="AC278" s="12"/>
    </row>
    <row r="279" spans="1:29" x14ac:dyDescent="0.3">
      <c r="A279" s="12"/>
      <c r="B279" s="12"/>
      <c r="C279" s="12"/>
      <c r="D279" s="12"/>
      <c r="E279" s="12"/>
      <c r="F279" s="12"/>
      <c r="G279" s="12"/>
      <c r="H279" s="12"/>
      <c r="I279" s="13"/>
      <c r="J279" s="13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4"/>
      <c r="W279" s="12"/>
      <c r="X279" s="12"/>
      <c r="Y279" s="15"/>
      <c r="Z279" s="12"/>
      <c r="AA279" s="12"/>
      <c r="AB279" s="12"/>
      <c r="AC279" s="12"/>
    </row>
    <row r="280" spans="1:29" x14ac:dyDescent="0.3">
      <c r="A280" s="12"/>
      <c r="B280" s="12"/>
      <c r="C280" s="12"/>
      <c r="D280" s="12"/>
      <c r="E280" s="12"/>
      <c r="F280" s="12"/>
      <c r="G280" s="12"/>
      <c r="H280" s="12"/>
      <c r="I280" s="13"/>
      <c r="J280" s="13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4"/>
      <c r="W280" s="12"/>
      <c r="X280" s="12"/>
      <c r="Y280" s="15"/>
      <c r="Z280" s="12"/>
      <c r="AA280" s="12"/>
      <c r="AB280" s="12"/>
      <c r="AC280" s="12"/>
    </row>
    <row r="281" spans="1:29" x14ac:dyDescent="0.3">
      <c r="A281" s="12"/>
      <c r="B281" s="12"/>
      <c r="C281" s="12"/>
      <c r="D281" s="12"/>
      <c r="E281" s="12"/>
      <c r="F281" s="12"/>
      <c r="G281" s="12"/>
      <c r="H281" s="12"/>
      <c r="I281" s="13"/>
      <c r="J281" s="13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4"/>
      <c r="W281" s="12"/>
      <c r="X281" s="12"/>
      <c r="Y281" s="15"/>
      <c r="Z281" s="12"/>
      <c r="AA281" s="12"/>
      <c r="AB281" s="12"/>
      <c r="AC281" s="12"/>
    </row>
    <row r="282" spans="1:29" x14ac:dyDescent="0.3">
      <c r="A282" s="12"/>
      <c r="B282" s="12"/>
      <c r="C282" s="12"/>
      <c r="D282" s="12"/>
      <c r="E282" s="12"/>
      <c r="F282" s="12"/>
      <c r="G282" s="12"/>
      <c r="H282" s="12"/>
      <c r="I282" s="13"/>
      <c r="J282" s="13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4"/>
      <c r="W282" s="12"/>
      <c r="X282" s="12"/>
      <c r="Y282" s="15"/>
      <c r="Z282" s="12"/>
      <c r="AA282" s="12"/>
      <c r="AB282" s="12"/>
      <c r="AC282" s="12"/>
    </row>
    <row r="283" spans="1:29" x14ac:dyDescent="0.3">
      <c r="A283" s="12"/>
      <c r="B283" s="12"/>
      <c r="C283" s="12"/>
      <c r="D283" s="12"/>
      <c r="E283" s="12"/>
      <c r="F283" s="12"/>
      <c r="G283" s="12"/>
      <c r="H283" s="12"/>
      <c r="I283" s="13"/>
      <c r="J283" s="13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4"/>
      <c r="W283" s="12"/>
      <c r="X283" s="12"/>
      <c r="Y283" s="15"/>
      <c r="Z283" s="12"/>
      <c r="AA283" s="12"/>
      <c r="AB283" s="12"/>
      <c r="AC283" s="12"/>
    </row>
    <row r="284" spans="1:29" x14ac:dyDescent="0.3">
      <c r="A284" s="12"/>
      <c r="B284" s="12"/>
      <c r="C284" s="12"/>
      <c r="D284" s="12"/>
      <c r="E284" s="12"/>
      <c r="F284" s="12"/>
      <c r="G284" s="12"/>
      <c r="H284" s="12"/>
      <c r="I284" s="13"/>
      <c r="J284" s="13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4"/>
      <c r="W284" s="12"/>
      <c r="X284" s="12"/>
      <c r="Y284" s="15"/>
      <c r="Z284" s="12"/>
      <c r="AA284" s="12"/>
      <c r="AB284" s="12"/>
      <c r="AC284" s="12"/>
    </row>
    <row r="285" spans="1:29" x14ac:dyDescent="0.3">
      <c r="A285" s="12"/>
      <c r="B285" s="12"/>
      <c r="C285" s="12"/>
      <c r="D285" s="12"/>
      <c r="E285" s="12"/>
      <c r="F285" s="12"/>
      <c r="G285" s="12"/>
      <c r="H285" s="12"/>
      <c r="I285" s="13"/>
      <c r="J285" s="13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4"/>
      <c r="W285" s="12"/>
      <c r="X285" s="12"/>
      <c r="Y285" s="15"/>
      <c r="Z285" s="12"/>
      <c r="AA285" s="12"/>
      <c r="AB285" s="12"/>
      <c r="AC285" s="12"/>
    </row>
    <row r="286" spans="1:29" x14ac:dyDescent="0.3">
      <c r="A286" s="12"/>
      <c r="B286" s="12"/>
      <c r="C286" s="12"/>
      <c r="D286" s="12"/>
      <c r="E286" s="12"/>
      <c r="F286" s="12"/>
      <c r="G286" s="12"/>
      <c r="H286" s="12"/>
      <c r="I286" s="13"/>
      <c r="J286" s="13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4"/>
      <c r="W286" s="12"/>
      <c r="X286" s="12"/>
      <c r="Y286" s="15"/>
      <c r="Z286" s="12"/>
      <c r="AA286" s="12"/>
      <c r="AB286" s="12"/>
      <c r="AC286" s="12"/>
    </row>
    <row r="287" spans="1:29" x14ac:dyDescent="0.3">
      <c r="A287" s="12"/>
      <c r="B287" s="12"/>
      <c r="C287" s="12"/>
      <c r="D287" s="12"/>
      <c r="E287" s="12"/>
      <c r="F287" s="12"/>
      <c r="G287" s="12"/>
      <c r="H287" s="12"/>
      <c r="I287" s="13"/>
      <c r="J287" s="13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4"/>
      <c r="W287" s="12"/>
      <c r="X287" s="12"/>
      <c r="Y287" s="15"/>
      <c r="Z287" s="12"/>
      <c r="AA287" s="12"/>
      <c r="AB287" s="12"/>
      <c r="AC287" s="12"/>
    </row>
    <row r="288" spans="1:29" x14ac:dyDescent="0.3">
      <c r="A288" s="12"/>
      <c r="B288" s="12"/>
      <c r="C288" s="12"/>
      <c r="D288" s="12"/>
      <c r="E288" s="12"/>
      <c r="F288" s="12"/>
      <c r="G288" s="12"/>
      <c r="H288" s="12"/>
      <c r="I288" s="13"/>
      <c r="J288" s="13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4"/>
      <c r="W288" s="12"/>
      <c r="X288" s="12"/>
      <c r="Y288" s="15"/>
      <c r="Z288" s="12"/>
      <c r="AA288" s="12"/>
      <c r="AB288" s="12"/>
      <c r="AC288" s="12"/>
    </row>
    <row r="289" spans="1:29" x14ac:dyDescent="0.3">
      <c r="A289" s="12"/>
      <c r="B289" s="12"/>
      <c r="C289" s="12"/>
      <c r="D289" s="12"/>
      <c r="E289" s="12"/>
      <c r="F289" s="12"/>
      <c r="G289" s="12"/>
      <c r="H289" s="12"/>
      <c r="I289" s="13"/>
      <c r="J289" s="13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4"/>
      <c r="W289" s="12"/>
      <c r="X289" s="12"/>
      <c r="Y289" s="15"/>
      <c r="Z289" s="12"/>
      <c r="AA289" s="12"/>
      <c r="AB289" s="12"/>
      <c r="AC289" s="12"/>
    </row>
    <row r="290" spans="1:29" x14ac:dyDescent="0.3">
      <c r="A290" s="12"/>
      <c r="B290" s="12"/>
      <c r="C290" s="12"/>
      <c r="D290" s="12"/>
      <c r="E290" s="12"/>
      <c r="F290" s="12"/>
      <c r="G290" s="12"/>
      <c r="H290" s="12"/>
      <c r="I290" s="13"/>
      <c r="J290" s="13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4"/>
      <c r="W290" s="12"/>
      <c r="X290" s="12"/>
      <c r="Y290" s="15"/>
      <c r="Z290" s="12"/>
      <c r="AA290" s="12"/>
      <c r="AB290" s="12"/>
      <c r="AC290" s="12"/>
    </row>
    <row r="291" spans="1:29" x14ac:dyDescent="0.3">
      <c r="A291" s="12"/>
      <c r="B291" s="12"/>
      <c r="C291" s="12"/>
      <c r="D291" s="12"/>
      <c r="E291" s="12"/>
      <c r="F291" s="12"/>
      <c r="G291" s="12"/>
      <c r="H291" s="12"/>
      <c r="I291" s="13"/>
      <c r="J291" s="13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4"/>
      <c r="W291" s="12"/>
      <c r="X291" s="12"/>
      <c r="Y291" s="15"/>
      <c r="Z291" s="12"/>
      <c r="AA291" s="12"/>
      <c r="AB291" s="12"/>
      <c r="AC291" s="12"/>
    </row>
    <row r="292" spans="1:29" x14ac:dyDescent="0.3">
      <c r="A292" s="12"/>
      <c r="B292" s="12"/>
      <c r="C292" s="12"/>
      <c r="D292" s="12"/>
      <c r="E292" s="12"/>
      <c r="F292" s="12"/>
      <c r="G292" s="12"/>
      <c r="H292" s="12"/>
      <c r="I292" s="13"/>
      <c r="J292" s="13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4"/>
      <c r="W292" s="12"/>
      <c r="X292" s="12"/>
      <c r="Y292" s="15"/>
      <c r="Z292" s="12"/>
      <c r="AA292" s="12"/>
      <c r="AB292" s="12"/>
      <c r="AC292" s="12"/>
    </row>
    <row r="293" spans="1:29" x14ac:dyDescent="0.3">
      <c r="A293" s="12"/>
      <c r="B293" s="12"/>
      <c r="C293" s="12"/>
      <c r="D293" s="12"/>
      <c r="E293" s="12"/>
      <c r="F293" s="12"/>
      <c r="G293" s="12"/>
      <c r="H293" s="12"/>
      <c r="I293" s="13"/>
      <c r="J293" s="13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4"/>
      <c r="W293" s="12"/>
      <c r="X293" s="12"/>
      <c r="Y293" s="15"/>
      <c r="Z293" s="12"/>
      <c r="AA293" s="12"/>
      <c r="AB293" s="12"/>
      <c r="AC293" s="12"/>
    </row>
    <row r="294" spans="1:29" x14ac:dyDescent="0.3">
      <c r="A294" s="12"/>
      <c r="B294" s="12"/>
      <c r="C294" s="12"/>
      <c r="D294" s="12"/>
      <c r="E294" s="12"/>
      <c r="F294" s="12"/>
      <c r="G294" s="12"/>
      <c r="H294" s="12"/>
      <c r="I294" s="13"/>
      <c r="J294" s="13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4"/>
      <c r="W294" s="12"/>
      <c r="X294" s="12"/>
      <c r="Y294" s="15"/>
      <c r="Z294" s="12"/>
      <c r="AA294" s="12"/>
      <c r="AB294" s="12"/>
      <c r="AC294" s="12"/>
    </row>
    <row r="295" spans="1:29" x14ac:dyDescent="0.3">
      <c r="A295" s="12"/>
      <c r="B295" s="12"/>
      <c r="C295" s="12"/>
      <c r="D295" s="12"/>
      <c r="E295" s="12"/>
      <c r="F295" s="12"/>
      <c r="G295" s="12"/>
      <c r="H295" s="12"/>
      <c r="I295" s="13"/>
      <c r="J295" s="13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4"/>
      <c r="W295" s="12"/>
      <c r="X295" s="12"/>
      <c r="Y295" s="15"/>
      <c r="Z295" s="12"/>
      <c r="AA295" s="12"/>
      <c r="AB295" s="12"/>
      <c r="AC295" s="12"/>
    </row>
    <row r="296" spans="1:29" x14ac:dyDescent="0.3">
      <c r="A296" s="12"/>
      <c r="B296" s="12"/>
      <c r="C296" s="12"/>
      <c r="D296" s="12"/>
      <c r="E296" s="12"/>
      <c r="F296" s="12"/>
      <c r="G296" s="12"/>
      <c r="H296" s="12"/>
      <c r="I296" s="13"/>
      <c r="J296" s="13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4"/>
      <c r="W296" s="12"/>
      <c r="X296" s="12"/>
      <c r="Y296" s="15"/>
      <c r="Z296" s="12"/>
      <c r="AA296" s="12"/>
      <c r="AB296" s="12"/>
      <c r="AC296" s="12"/>
    </row>
    <row r="297" spans="1:29" x14ac:dyDescent="0.3">
      <c r="A297" s="12"/>
      <c r="B297" s="12"/>
      <c r="C297" s="12"/>
      <c r="D297" s="12"/>
      <c r="E297" s="12"/>
      <c r="F297" s="12"/>
      <c r="G297" s="12"/>
      <c r="H297" s="12"/>
      <c r="I297" s="13"/>
      <c r="J297" s="13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4"/>
      <c r="W297" s="12"/>
      <c r="X297" s="12"/>
      <c r="Y297" s="15"/>
      <c r="Z297" s="12"/>
      <c r="AA297" s="12"/>
      <c r="AB297" s="12"/>
      <c r="AC297" s="12"/>
    </row>
    <row r="298" spans="1:29" x14ac:dyDescent="0.3">
      <c r="A298" s="12"/>
      <c r="B298" s="12"/>
      <c r="C298" s="12"/>
      <c r="D298" s="12"/>
      <c r="E298" s="12"/>
      <c r="F298" s="12"/>
      <c r="G298" s="12"/>
      <c r="H298" s="12"/>
      <c r="I298" s="13"/>
      <c r="J298" s="13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4"/>
      <c r="W298" s="12"/>
      <c r="X298" s="12"/>
      <c r="Y298" s="15"/>
      <c r="Z298" s="12"/>
      <c r="AA298" s="12"/>
      <c r="AB298" s="12"/>
      <c r="AC298" s="12"/>
    </row>
    <row r="299" spans="1:29" x14ac:dyDescent="0.3">
      <c r="A299" s="12"/>
      <c r="B299" s="12"/>
      <c r="C299" s="12"/>
      <c r="D299" s="12"/>
      <c r="E299" s="12"/>
      <c r="F299" s="12"/>
      <c r="G299" s="12"/>
      <c r="H299" s="12"/>
      <c r="I299" s="13"/>
      <c r="J299" s="13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4"/>
      <c r="W299" s="12"/>
      <c r="X299" s="12"/>
      <c r="Y299" s="15"/>
      <c r="Z299" s="12"/>
      <c r="AA299" s="12"/>
      <c r="AB299" s="12"/>
      <c r="AC299" s="12"/>
    </row>
    <row r="300" spans="1:29" x14ac:dyDescent="0.3">
      <c r="A300" s="12"/>
      <c r="B300" s="12"/>
      <c r="C300" s="12"/>
      <c r="D300" s="12"/>
      <c r="E300" s="12"/>
      <c r="F300" s="12"/>
      <c r="G300" s="12"/>
      <c r="H300" s="12"/>
      <c r="I300" s="13"/>
      <c r="J300" s="13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4"/>
      <c r="W300" s="12"/>
      <c r="X300" s="12"/>
      <c r="Y300" s="15"/>
      <c r="Z300" s="12"/>
      <c r="AA300" s="12"/>
      <c r="AB300" s="12"/>
      <c r="AC300" s="12"/>
    </row>
    <row r="301" spans="1:29" x14ac:dyDescent="0.3">
      <c r="A301" s="12"/>
      <c r="B301" s="12"/>
      <c r="C301" s="12"/>
      <c r="D301" s="12"/>
      <c r="E301" s="12"/>
      <c r="F301" s="12"/>
      <c r="G301" s="12"/>
      <c r="H301" s="12"/>
      <c r="I301" s="13"/>
      <c r="J301" s="13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4"/>
      <c r="W301" s="12"/>
      <c r="X301" s="12"/>
      <c r="Y301" s="15"/>
      <c r="Z301" s="12"/>
      <c r="AA301" s="12"/>
      <c r="AB301" s="12"/>
      <c r="AC301" s="12"/>
    </row>
    <row r="302" spans="1:29" x14ac:dyDescent="0.3">
      <c r="A302" s="12"/>
      <c r="B302" s="12"/>
      <c r="C302" s="12"/>
      <c r="D302" s="12"/>
      <c r="E302" s="12"/>
      <c r="F302" s="12"/>
      <c r="G302" s="12"/>
      <c r="H302" s="12"/>
      <c r="I302" s="13"/>
      <c r="J302" s="13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4"/>
      <c r="W302" s="12"/>
      <c r="X302" s="12"/>
      <c r="Y302" s="15"/>
      <c r="Z302" s="12"/>
      <c r="AA302" s="12"/>
      <c r="AB302" s="12"/>
      <c r="AC302" s="12"/>
    </row>
    <row r="303" spans="1:29" x14ac:dyDescent="0.3">
      <c r="A303" s="12"/>
      <c r="B303" s="12"/>
      <c r="C303" s="12"/>
      <c r="D303" s="12"/>
      <c r="E303" s="12"/>
      <c r="F303" s="12"/>
      <c r="G303" s="12"/>
      <c r="H303" s="12"/>
      <c r="I303" s="13"/>
      <c r="J303" s="13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4"/>
      <c r="W303" s="12"/>
      <c r="X303" s="12"/>
      <c r="Y303" s="15"/>
      <c r="Z303" s="12"/>
      <c r="AA303" s="12"/>
      <c r="AB303" s="12"/>
      <c r="AC303" s="12"/>
    </row>
    <row r="304" spans="1:29" x14ac:dyDescent="0.3">
      <c r="A304" s="12"/>
      <c r="B304" s="12"/>
      <c r="C304" s="12"/>
      <c r="D304" s="12"/>
      <c r="E304" s="12"/>
      <c r="F304" s="12"/>
      <c r="G304" s="12"/>
      <c r="H304" s="12"/>
      <c r="I304" s="13"/>
      <c r="J304" s="13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4"/>
      <c r="W304" s="12"/>
      <c r="X304" s="12"/>
      <c r="Y304" s="15"/>
      <c r="Z304" s="12"/>
      <c r="AA304" s="12"/>
      <c r="AB304" s="12"/>
      <c r="AC304" s="12"/>
    </row>
    <row r="305" spans="1:29" x14ac:dyDescent="0.3">
      <c r="A305" s="12"/>
      <c r="B305" s="12"/>
      <c r="C305" s="12"/>
      <c r="D305" s="12"/>
      <c r="E305" s="12"/>
      <c r="F305" s="12"/>
      <c r="G305" s="12"/>
      <c r="H305" s="12"/>
      <c r="I305" s="13"/>
      <c r="J305" s="13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4"/>
      <c r="W305" s="12"/>
      <c r="X305" s="12"/>
      <c r="Y305" s="15"/>
      <c r="Z305" s="12"/>
      <c r="AA305" s="12"/>
      <c r="AB305" s="12"/>
      <c r="AC305" s="12"/>
    </row>
    <row r="306" spans="1:29" x14ac:dyDescent="0.3">
      <c r="A306" s="12"/>
      <c r="B306" s="12"/>
      <c r="C306" s="12"/>
      <c r="D306" s="12"/>
      <c r="E306" s="12"/>
      <c r="F306" s="12"/>
      <c r="G306" s="12"/>
      <c r="H306" s="12"/>
      <c r="I306" s="13"/>
      <c r="J306" s="13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4"/>
      <c r="W306" s="12"/>
      <c r="X306" s="12"/>
      <c r="Y306" s="15"/>
      <c r="Z306" s="12"/>
      <c r="AA306" s="12"/>
      <c r="AB306" s="12"/>
      <c r="AC306" s="12"/>
    </row>
    <row r="307" spans="1:29" x14ac:dyDescent="0.3">
      <c r="A307" s="12"/>
      <c r="B307" s="12"/>
      <c r="C307" s="12"/>
      <c r="D307" s="12"/>
      <c r="E307" s="12"/>
      <c r="F307" s="12"/>
      <c r="G307" s="12"/>
      <c r="H307" s="12"/>
      <c r="I307" s="13"/>
      <c r="J307" s="13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4"/>
      <c r="W307" s="12"/>
      <c r="X307" s="12"/>
      <c r="Y307" s="15"/>
      <c r="Z307" s="12"/>
      <c r="AA307" s="12"/>
      <c r="AB307" s="12"/>
      <c r="AC307" s="12"/>
    </row>
    <row r="308" spans="1:29" x14ac:dyDescent="0.3">
      <c r="A308" s="12"/>
      <c r="B308" s="12"/>
      <c r="C308" s="12"/>
      <c r="D308" s="12"/>
      <c r="E308" s="12"/>
      <c r="F308" s="12"/>
      <c r="G308" s="12"/>
      <c r="H308" s="12"/>
      <c r="I308" s="13"/>
      <c r="J308" s="13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4"/>
      <c r="W308" s="12"/>
      <c r="X308" s="12"/>
      <c r="Y308" s="15"/>
      <c r="Z308" s="12"/>
      <c r="AA308" s="12"/>
      <c r="AB308" s="12"/>
      <c r="AC308" s="12"/>
    </row>
    <row r="309" spans="1:29" x14ac:dyDescent="0.3">
      <c r="A309" s="12"/>
      <c r="B309" s="12"/>
      <c r="C309" s="12"/>
      <c r="D309" s="12"/>
      <c r="E309" s="12"/>
      <c r="F309" s="12"/>
      <c r="G309" s="12"/>
      <c r="H309" s="12"/>
      <c r="I309" s="13"/>
      <c r="J309" s="13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4"/>
      <c r="W309" s="12"/>
      <c r="X309" s="12"/>
      <c r="Y309" s="15"/>
      <c r="Z309" s="12"/>
      <c r="AA309" s="12"/>
      <c r="AB309" s="12"/>
      <c r="AC309" s="12"/>
    </row>
    <row r="310" spans="1:29" x14ac:dyDescent="0.3">
      <c r="A310" s="12"/>
      <c r="B310" s="12"/>
      <c r="C310" s="12"/>
      <c r="D310" s="12"/>
      <c r="E310" s="12"/>
      <c r="F310" s="12"/>
      <c r="G310" s="12"/>
      <c r="H310" s="12"/>
      <c r="I310" s="13"/>
      <c r="J310" s="13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4"/>
      <c r="W310" s="12"/>
      <c r="X310" s="12"/>
      <c r="Y310" s="15"/>
      <c r="Z310" s="12"/>
      <c r="AA310" s="12"/>
      <c r="AB310" s="12"/>
      <c r="AC310" s="12"/>
    </row>
    <row r="311" spans="1:29" x14ac:dyDescent="0.3">
      <c r="A311" s="12"/>
      <c r="B311" s="12"/>
      <c r="C311" s="12"/>
      <c r="D311" s="12"/>
      <c r="E311" s="12"/>
      <c r="F311" s="12"/>
      <c r="G311" s="12"/>
      <c r="H311" s="12"/>
      <c r="I311" s="13"/>
      <c r="J311" s="13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4"/>
      <c r="W311" s="12"/>
      <c r="X311" s="12"/>
      <c r="Y311" s="15"/>
      <c r="Z311" s="12"/>
      <c r="AA311" s="12"/>
      <c r="AB311" s="12"/>
      <c r="AC311" s="12"/>
    </row>
    <row r="312" spans="1:29" x14ac:dyDescent="0.3">
      <c r="A312" s="12"/>
      <c r="B312" s="12"/>
      <c r="C312" s="12"/>
      <c r="D312" s="12"/>
      <c r="E312" s="12"/>
      <c r="F312" s="12"/>
      <c r="G312" s="12"/>
      <c r="H312" s="12"/>
      <c r="I312" s="13"/>
      <c r="J312" s="13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4"/>
      <c r="W312" s="12"/>
      <c r="X312" s="12"/>
      <c r="Y312" s="15"/>
      <c r="Z312" s="12"/>
      <c r="AA312" s="12"/>
      <c r="AB312" s="12"/>
      <c r="AC312" s="12"/>
    </row>
    <row r="313" spans="1:29" x14ac:dyDescent="0.3">
      <c r="A313" s="12"/>
      <c r="B313" s="12"/>
      <c r="C313" s="12"/>
      <c r="D313" s="12"/>
      <c r="E313" s="12"/>
      <c r="F313" s="12"/>
      <c r="G313" s="12"/>
      <c r="H313" s="12"/>
      <c r="I313" s="13"/>
      <c r="J313" s="13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4"/>
      <c r="W313" s="12"/>
      <c r="X313" s="12"/>
      <c r="Y313" s="15"/>
      <c r="Z313" s="12"/>
      <c r="AA313" s="12"/>
      <c r="AB313" s="12"/>
      <c r="AC313" s="12"/>
    </row>
    <row r="314" spans="1:29" x14ac:dyDescent="0.3">
      <c r="A314" s="12"/>
      <c r="B314" s="12"/>
      <c r="C314" s="12"/>
      <c r="D314" s="12"/>
      <c r="E314" s="12"/>
      <c r="F314" s="12"/>
      <c r="G314" s="12"/>
      <c r="H314" s="12"/>
      <c r="I314" s="13"/>
      <c r="J314" s="13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4"/>
      <c r="W314" s="12"/>
      <c r="X314" s="12"/>
      <c r="Y314" s="15"/>
      <c r="Z314" s="12"/>
      <c r="AA314" s="12"/>
      <c r="AB314" s="12"/>
      <c r="AC314" s="12"/>
    </row>
    <row r="315" spans="1:29" x14ac:dyDescent="0.3">
      <c r="A315" s="12"/>
      <c r="B315" s="12"/>
      <c r="C315" s="12"/>
      <c r="D315" s="12"/>
      <c r="E315" s="12"/>
      <c r="F315" s="12"/>
      <c r="G315" s="12"/>
      <c r="H315" s="12"/>
      <c r="I315" s="13"/>
      <c r="J315" s="13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4"/>
      <c r="W315" s="12"/>
      <c r="X315" s="12"/>
      <c r="Y315" s="15"/>
      <c r="Z315" s="12"/>
      <c r="AA315" s="12"/>
      <c r="AB315" s="12"/>
      <c r="AC315" s="12"/>
    </row>
    <row r="316" spans="1:29" x14ac:dyDescent="0.3">
      <c r="A316" s="12"/>
      <c r="B316" s="12"/>
      <c r="C316" s="12"/>
      <c r="D316" s="12"/>
      <c r="E316" s="12"/>
      <c r="F316" s="12"/>
      <c r="G316" s="12"/>
      <c r="H316" s="12"/>
      <c r="I316" s="13"/>
      <c r="J316" s="13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4"/>
      <c r="W316" s="12"/>
      <c r="X316" s="12"/>
      <c r="Y316" s="15"/>
      <c r="Z316" s="12"/>
      <c r="AA316" s="12"/>
      <c r="AB316" s="12"/>
      <c r="AC316" s="12"/>
    </row>
    <row r="317" spans="1:29" x14ac:dyDescent="0.3">
      <c r="A317" s="12"/>
      <c r="B317" s="12"/>
      <c r="C317" s="12"/>
      <c r="D317" s="12"/>
      <c r="E317" s="12"/>
      <c r="F317" s="12"/>
      <c r="G317" s="12"/>
      <c r="H317" s="12"/>
      <c r="I317" s="13"/>
      <c r="J317" s="13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4"/>
      <c r="W317" s="12"/>
      <c r="X317" s="12"/>
      <c r="Y317" s="15"/>
      <c r="Z317" s="12"/>
      <c r="AA317" s="12"/>
      <c r="AB317" s="12"/>
      <c r="AC317" s="12"/>
    </row>
    <row r="318" spans="1:29" x14ac:dyDescent="0.3">
      <c r="A318" s="12"/>
      <c r="B318" s="12"/>
      <c r="C318" s="12"/>
      <c r="D318" s="12"/>
      <c r="E318" s="12"/>
      <c r="F318" s="12"/>
      <c r="G318" s="12"/>
      <c r="H318" s="12"/>
      <c r="I318" s="13"/>
      <c r="J318" s="13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4"/>
      <c r="W318" s="12"/>
      <c r="X318" s="12"/>
      <c r="Y318" s="15"/>
      <c r="Z318" s="12"/>
      <c r="AA318" s="12"/>
      <c r="AB318" s="12"/>
      <c r="AC318" s="12"/>
    </row>
    <row r="319" spans="1:29" x14ac:dyDescent="0.3">
      <c r="A319" s="12"/>
      <c r="B319" s="12"/>
      <c r="C319" s="12"/>
      <c r="D319" s="12"/>
      <c r="E319" s="12"/>
      <c r="F319" s="12"/>
      <c r="G319" s="12"/>
      <c r="H319" s="12"/>
      <c r="I319" s="13"/>
      <c r="J319" s="13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4"/>
      <c r="W319" s="12"/>
      <c r="X319" s="12"/>
      <c r="Y319" s="15"/>
      <c r="Z319" s="12"/>
      <c r="AA319" s="12"/>
      <c r="AB319" s="12"/>
      <c r="AC319" s="12"/>
    </row>
    <row r="320" spans="1:29" x14ac:dyDescent="0.3">
      <c r="A320" s="12"/>
      <c r="B320" s="12"/>
      <c r="C320" s="12"/>
      <c r="D320" s="12"/>
      <c r="E320" s="12"/>
      <c r="F320" s="12"/>
      <c r="G320" s="12"/>
      <c r="H320" s="12"/>
      <c r="I320" s="13"/>
      <c r="J320" s="13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4"/>
      <c r="W320" s="12"/>
      <c r="X320" s="12"/>
      <c r="Y320" s="15"/>
      <c r="Z320" s="12"/>
      <c r="AA320" s="12"/>
      <c r="AB320" s="12"/>
      <c r="AC320" s="12"/>
    </row>
    <row r="321" spans="1:29" x14ac:dyDescent="0.3">
      <c r="A321" s="12"/>
      <c r="B321" s="12"/>
      <c r="C321" s="12"/>
      <c r="D321" s="12"/>
      <c r="E321" s="12"/>
      <c r="F321" s="12"/>
      <c r="G321" s="12"/>
      <c r="H321" s="12"/>
      <c r="I321" s="13"/>
      <c r="J321" s="13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4"/>
      <c r="W321" s="12"/>
      <c r="X321" s="12"/>
      <c r="Y321" s="15"/>
      <c r="Z321" s="12"/>
      <c r="AA321" s="12"/>
      <c r="AB321" s="12"/>
      <c r="AC321" s="12"/>
    </row>
    <row r="322" spans="1:29" x14ac:dyDescent="0.3">
      <c r="A322" s="12"/>
      <c r="B322" s="12"/>
      <c r="C322" s="12"/>
      <c r="D322" s="12"/>
      <c r="E322" s="12"/>
      <c r="F322" s="12"/>
      <c r="G322" s="12"/>
      <c r="H322" s="12"/>
      <c r="I322" s="13"/>
      <c r="J322" s="13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4"/>
      <c r="W322" s="12"/>
      <c r="X322" s="12"/>
      <c r="Y322" s="15"/>
      <c r="Z322" s="12"/>
      <c r="AA322" s="12"/>
      <c r="AB322" s="12"/>
      <c r="AC322" s="12"/>
    </row>
    <row r="323" spans="1:29" x14ac:dyDescent="0.3">
      <c r="A323" s="12"/>
      <c r="B323" s="12"/>
      <c r="C323" s="12"/>
      <c r="D323" s="12"/>
      <c r="E323" s="12"/>
      <c r="F323" s="12"/>
      <c r="G323" s="12"/>
      <c r="H323" s="12"/>
      <c r="I323" s="13"/>
      <c r="J323" s="13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4"/>
      <c r="W323" s="12"/>
      <c r="X323" s="12"/>
      <c r="Y323" s="15"/>
      <c r="Z323" s="12"/>
      <c r="AA323" s="12"/>
      <c r="AB323" s="12"/>
      <c r="AC323" s="12"/>
    </row>
    <row r="324" spans="1:29" x14ac:dyDescent="0.3">
      <c r="A324" s="12"/>
      <c r="B324" s="12"/>
      <c r="C324" s="12"/>
      <c r="D324" s="12"/>
      <c r="E324" s="12"/>
      <c r="F324" s="12"/>
      <c r="G324" s="12"/>
      <c r="H324" s="12"/>
      <c r="I324" s="13"/>
      <c r="J324" s="13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4"/>
      <c r="W324" s="12"/>
      <c r="X324" s="12"/>
      <c r="Y324" s="15"/>
      <c r="Z324" s="12"/>
      <c r="AA324" s="12"/>
      <c r="AB324" s="12"/>
      <c r="AC324" s="12"/>
    </row>
    <row r="325" spans="1:29" x14ac:dyDescent="0.3">
      <c r="A325" s="12"/>
      <c r="B325" s="12"/>
      <c r="C325" s="12"/>
      <c r="D325" s="12"/>
      <c r="E325" s="12"/>
      <c r="F325" s="12"/>
      <c r="G325" s="12"/>
      <c r="H325" s="12"/>
      <c r="I325" s="13"/>
      <c r="J325" s="13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4"/>
      <c r="W325" s="12"/>
      <c r="X325" s="12"/>
      <c r="Y325" s="15"/>
      <c r="Z325" s="12"/>
      <c r="AA325" s="12"/>
      <c r="AB325" s="12"/>
      <c r="AC325" s="12"/>
    </row>
    <row r="326" spans="1:29" x14ac:dyDescent="0.3">
      <c r="A326" s="12"/>
      <c r="B326" s="12"/>
      <c r="C326" s="12"/>
      <c r="D326" s="12"/>
      <c r="E326" s="12"/>
      <c r="F326" s="12"/>
      <c r="G326" s="12"/>
      <c r="H326" s="12"/>
      <c r="I326" s="13"/>
      <c r="J326" s="13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4"/>
      <c r="W326" s="12"/>
      <c r="X326" s="12"/>
      <c r="Y326" s="15"/>
      <c r="Z326" s="12"/>
      <c r="AA326" s="12"/>
      <c r="AB326" s="12"/>
      <c r="AC326" s="12"/>
    </row>
    <row r="327" spans="1:29" x14ac:dyDescent="0.3">
      <c r="A327" s="12"/>
      <c r="B327" s="12"/>
      <c r="C327" s="12"/>
      <c r="D327" s="12"/>
      <c r="E327" s="12"/>
      <c r="F327" s="12"/>
      <c r="G327" s="12"/>
      <c r="H327" s="12"/>
      <c r="I327" s="13"/>
      <c r="J327" s="13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4"/>
      <c r="W327" s="12"/>
      <c r="X327" s="12"/>
      <c r="Y327" s="15"/>
      <c r="Z327" s="12"/>
      <c r="AA327" s="12"/>
      <c r="AB327" s="12"/>
      <c r="AC327" s="12"/>
    </row>
    <row r="328" spans="1:29" x14ac:dyDescent="0.3">
      <c r="A328" s="12"/>
      <c r="B328" s="12"/>
      <c r="C328" s="12"/>
      <c r="D328" s="12"/>
      <c r="E328" s="12"/>
      <c r="F328" s="12"/>
      <c r="G328" s="12"/>
      <c r="H328" s="12"/>
      <c r="I328" s="13"/>
      <c r="J328" s="13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4"/>
      <c r="W328" s="12"/>
      <c r="X328" s="12"/>
      <c r="Y328" s="15"/>
      <c r="Z328" s="12"/>
      <c r="AA328" s="12"/>
      <c r="AB328" s="12"/>
      <c r="AC328" s="12"/>
    </row>
    <row r="329" spans="1:29" x14ac:dyDescent="0.3">
      <c r="A329" s="12"/>
      <c r="B329" s="12"/>
      <c r="C329" s="12"/>
      <c r="D329" s="12"/>
      <c r="E329" s="12"/>
      <c r="F329" s="12"/>
      <c r="G329" s="12"/>
      <c r="H329" s="12"/>
      <c r="I329" s="13"/>
      <c r="J329" s="13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4"/>
      <c r="W329" s="12"/>
      <c r="X329" s="12"/>
      <c r="Y329" s="15"/>
      <c r="Z329" s="12"/>
      <c r="AA329" s="12"/>
      <c r="AB329" s="12"/>
      <c r="AC329" s="12"/>
    </row>
    <row r="330" spans="1:29" x14ac:dyDescent="0.3">
      <c r="A330" s="12"/>
      <c r="B330" s="12"/>
      <c r="C330" s="12"/>
      <c r="D330" s="12"/>
      <c r="E330" s="12"/>
      <c r="F330" s="12"/>
      <c r="G330" s="12"/>
      <c r="H330" s="12"/>
      <c r="I330" s="13"/>
      <c r="J330" s="13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4"/>
      <c r="W330" s="12"/>
      <c r="X330" s="12"/>
      <c r="Y330" s="15"/>
      <c r="Z330" s="12"/>
      <c r="AA330" s="12"/>
      <c r="AB330" s="12"/>
      <c r="AC330" s="12"/>
    </row>
    <row r="331" spans="1:29" x14ac:dyDescent="0.3">
      <c r="A331" s="12"/>
      <c r="B331" s="12"/>
      <c r="C331" s="12"/>
      <c r="D331" s="12"/>
      <c r="E331" s="12"/>
      <c r="F331" s="12"/>
      <c r="G331" s="12"/>
      <c r="H331" s="12"/>
      <c r="I331" s="13"/>
      <c r="J331" s="13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4"/>
      <c r="W331" s="12"/>
      <c r="X331" s="12"/>
      <c r="Y331" s="15"/>
      <c r="Z331" s="12"/>
      <c r="AA331" s="12"/>
      <c r="AB331" s="12"/>
      <c r="AC331" s="12"/>
    </row>
    <row r="332" spans="1:29" x14ac:dyDescent="0.3">
      <c r="A332" s="12"/>
      <c r="B332" s="12"/>
      <c r="C332" s="12"/>
      <c r="D332" s="12"/>
      <c r="E332" s="12"/>
      <c r="F332" s="12"/>
      <c r="G332" s="12"/>
      <c r="H332" s="12"/>
      <c r="I332" s="13"/>
      <c r="J332" s="13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4"/>
      <c r="W332" s="12"/>
      <c r="X332" s="12"/>
      <c r="Y332" s="15"/>
      <c r="Z332" s="12"/>
      <c r="AA332" s="12"/>
      <c r="AB332" s="12"/>
      <c r="AC332" s="12"/>
    </row>
    <row r="333" spans="1:29" x14ac:dyDescent="0.3">
      <c r="A333" s="12"/>
      <c r="B333" s="12"/>
      <c r="C333" s="12"/>
      <c r="D333" s="12"/>
      <c r="E333" s="12"/>
      <c r="F333" s="12"/>
      <c r="G333" s="12"/>
      <c r="H333" s="12"/>
      <c r="I333" s="13"/>
      <c r="J333" s="13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4"/>
      <c r="W333" s="12"/>
      <c r="X333" s="12"/>
      <c r="Y333" s="15"/>
      <c r="Z333" s="12"/>
      <c r="AA333" s="12"/>
      <c r="AB333" s="12"/>
      <c r="AC333" s="12"/>
    </row>
    <row r="334" spans="1:29" x14ac:dyDescent="0.3">
      <c r="A334" s="12"/>
      <c r="B334" s="12"/>
      <c r="C334" s="12"/>
      <c r="D334" s="12"/>
      <c r="E334" s="12"/>
      <c r="F334" s="12"/>
      <c r="G334" s="12"/>
      <c r="H334" s="12"/>
      <c r="I334" s="13"/>
      <c r="J334" s="13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4"/>
      <c r="W334" s="12"/>
      <c r="X334" s="12"/>
      <c r="Y334" s="15"/>
      <c r="Z334" s="12"/>
      <c r="AA334" s="12"/>
      <c r="AB334" s="12"/>
      <c r="AC334" s="12"/>
    </row>
    <row r="335" spans="1:29" x14ac:dyDescent="0.3">
      <c r="A335" s="12"/>
      <c r="B335" s="12"/>
      <c r="C335" s="12"/>
      <c r="D335" s="12"/>
      <c r="E335" s="12"/>
      <c r="F335" s="12"/>
      <c r="G335" s="12"/>
      <c r="H335" s="12"/>
      <c r="I335" s="13"/>
      <c r="J335" s="13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4"/>
      <c r="W335" s="12"/>
      <c r="X335" s="12"/>
      <c r="Y335" s="15"/>
      <c r="Z335" s="12"/>
      <c r="AA335" s="12"/>
      <c r="AB335" s="12"/>
      <c r="AC335" s="12"/>
    </row>
    <row r="336" spans="1:29" x14ac:dyDescent="0.3">
      <c r="A336" s="12"/>
      <c r="B336" s="12"/>
      <c r="C336" s="12"/>
      <c r="D336" s="12"/>
      <c r="E336" s="12"/>
      <c r="F336" s="12"/>
      <c r="G336" s="12"/>
      <c r="H336" s="12"/>
      <c r="I336" s="13"/>
      <c r="J336" s="13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4"/>
      <c r="W336" s="12"/>
      <c r="X336" s="12"/>
      <c r="Y336" s="15"/>
      <c r="Z336" s="12"/>
      <c r="AA336" s="12"/>
      <c r="AB336" s="12"/>
      <c r="AC336" s="12"/>
    </row>
    <row r="337" spans="1:29" x14ac:dyDescent="0.3">
      <c r="A337" s="12"/>
      <c r="B337" s="12"/>
      <c r="C337" s="12"/>
      <c r="D337" s="12"/>
      <c r="E337" s="12"/>
      <c r="F337" s="12"/>
      <c r="G337" s="12"/>
      <c r="H337" s="12"/>
      <c r="I337" s="13"/>
      <c r="J337" s="13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4"/>
      <c r="W337" s="12"/>
      <c r="X337" s="12"/>
      <c r="Y337" s="15"/>
      <c r="Z337" s="12"/>
      <c r="AA337" s="12"/>
      <c r="AB337" s="12"/>
      <c r="AC337" s="12"/>
    </row>
    <row r="338" spans="1:29" x14ac:dyDescent="0.3">
      <c r="A338" s="12"/>
      <c r="B338" s="12"/>
      <c r="C338" s="12"/>
      <c r="D338" s="12"/>
      <c r="E338" s="12"/>
      <c r="F338" s="12"/>
      <c r="G338" s="12"/>
      <c r="H338" s="12"/>
      <c r="I338" s="13"/>
      <c r="J338" s="13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4"/>
      <c r="W338" s="12"/>
      <c r="X338" s="12"/>
      <c r="Y338" s="15"/>
      <c r="Z338" s="12"/>
      <c r="AA338" s="12"/>
      <c r="AB338" s="12"/>
      <c r="AC338" s="12"/>
    </row>
    <row r="339" spans="1:29" x14ac:dyDescent="0.3">
      <c r="A339" s="12"/>
      <c r="B339" s="12"/>
      <c r="C339" s="12"/>
      <c r="D339" s="12"/>
      <c r="E339" s="12"/>
      <c r="F339" s="12"/>
      <c r="G339" s="12"/>
      <c r="H339" s="12"/>
      <c r="I339" s="13"/>
      <c r="J339" s="13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4"/>
      <c r="W339" s="12"/>
      <c r="X339" s="12"/>
      <c r="Y339" s="15"/>
      <c r="Z339" s="12"/>
      <c r="AA339" s="12"/>
      <c r="AB339" s="12"/>
      <c r="AC339" s="12"/>
    </row>
    <row r="340" spans="1:29" x14ac:dyDescent="0.3">
      <c r="A340" s="12"/>
      <c r="B340" s="12"/>
      <c r="C340" s="12"/>
      <c r="D340" s="12"/>
      <c r="E340" s="12"/>
      <c r="F340" s="12"/>
      <c r="G340" s="12"/>
      <c r="H340" s="12"/>
      <c r="I340" s="13"/>
      <c r="J340" s="13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4"/>
      <c r="W340" s="12"/>
      <c r="X340" s="12"/>
      <c r="Y340" s="15"/>
      <c r="Z340" s="12"/>
      <c r="AA340" s="12"/>
      <c r="AB340" s="12"/>
      <c r="AC340" s="12"/>
    </row>
    <row r="341" spans="1:29" x14ac:dyDescent="0.3">
      <c r="A341" s="12"/>
      <c r="B341" s="12"/>
      <c r="C341" s="12"/>
      <c r="D341" s="12"/>
      <c r="E341" s="12"/>
      <c r="F341" s="12"/>
      <c r="G341" s="12"/>
      <c r="H341" s="12"/>
      <c r="I341" s="13"/>
      <c r="J341" s="13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4"/>
      <c r="W341" s="12"/>
      <c r="X341" s="12"/>
      <c r="Y341" s="15"/>
      <c r="Z341" s="12"/>
      <c r="AA341" s="12"/>
      <c r="AB341" s="12"/>
      <c r="AC341" s="12"/>
    </row>
    <row r="342" spans="1:29" x14ac:dyDescent="0.3">
      <c r="A342" s="12"/>
      <c r="B342" s="12"/>
      <c r="C342" s="12"/>
      <c r="D342" s="12"/>
      <c r="E342" s="12"/>
      <c r="F342" s="12"/>
      <c r="G342" s="12"/>
      <c r="H342" s="12"/>
      <c r="I342" s="13"/>
      <c r="J342" s="13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4"/>
      <c r="W342" s="12"/>
      <c r="X342" s="12"/>
      <c r="Y342" s="15"/>
      <c r="Z342" s="12"/>
      <c r="AA342" s="12"/>
      <c r="AB342" s="12"/>
      <c r="AC342" s="12"/>
    </row>
    <row r="343" spans="1:29" x14ac:dyDescent="0.3">
      <c r="A343" s="12"/>
      <c r="B343" s="12"/>
      <c r="C343" s="12"/>
      <c r="D343" s="12"/>
      <c r="E343" s="12"/>
      <c r="F343" s="12"/>
      <c r="G343" s="12"/>
      <c r="H343" s="12"/>
      <c r="I343" s="13"/>
      <c r="J343" s="13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4"/>
      <c r="W343" s="12"/>
      <c r="X343" s="12"/>
      <c r="Y343" s="15"/>
      <c r="Z343" s="12"/>
      <c r="AA343" s="12"/>
      <c r="AB343" s="12"/>
      <c r="AC343" s="12"/>
    </row>
    <row r="344" spans="1:29" x14ac:dyDescent="0.3">
      <c r="A344" s="12"/>
      <c r="B344" s="12"/>
      <c r="C344" s="12"/>
      <c r="D344" s="12"/>
      <c r="E344" s="12"/>
      <c r="F344" s="12"/>
      <c r="G344" s="12"/>
      <c r="H344" s="12"/>
      <c r="I344" s="13"/>
      <c r="J344" s="13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4"/>
      <c r="W344" s="12"/>
      <c r="X344" s="12"/>
      <c r="Y344" s="15"/>
      <c r="Z344" s="12"/>
      <c r="AA344" s="12"/>
      <c r="AB344" s="12"/>
      <c r="AC344" s="12"/>
    </row>
    <row r="345" spans="1:29" x14ac:dyDescent="0.3">
      <c r="A345" s="12"/>
      <c r="B345" s="12"/>
      <c r="C345" s="12"/>
      <c r="D345" s="12"/>
      <c r="E345" s="12"/>
      <c r="F345" s="12"/>
      <c r="G345" s="12"/>
      <c r="H345" s="12"/>
      <c r="I345" s="13"/>
      <c r="J345" s="13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4"/>
      <c r="W345" s="12"/>
      <c r="X345" s="12"/>
      <c r="Y345" s="15"/>
      <c r="Z345" s="12"/>
      <c r="AA345" s="12"/>
      <c r="AB345" s="12"/>
      <c r="AC345" s="12"/>
    </row>
    <row r="346" spans="1:29" x14ac:dyDescent="0.3">
      <c r="A346" s="12"/>
      <c r="B346" s="12"/>
      <c r="C346" s="12"/>
      <c r="D346" s="12"/>
      <c r="E346" s="12"/>
      <c r="F346" s="12"/>
      <c r="G346" s="12"/>
      <c r="H346" s="12"/>
      <c r="I346" s="13"/>
      <c r="J346" s="13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4"/>
      <c r="W346" s="12"/>
      <c r="X346" s="12"/>
      <c r="Y346" s="15"/>
      <c r="Z346" s="12"/>
      <c r="AA346" s="12"/>
      <c r="AB346" s="12"/>
      <c r="AC346" s="12"/>
    </row>
    <row r="347" spans="1:29" x14ac:dyDescent="0.3">
      <c r="A347" s="12"/>
      <c r="B347" s="12"/>
      <c r="C347" s="12"/>
      <c r="D347" s="12"/>
      <c r="E347" s="12"/>
      <c r="F347" s="12"/>
      <c r="G347" s="12"/>
      <c r="H347" s="12"/>
      <c r="I347" s="13"/>
      <c r="J347" s="13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4"/>
      <c r="W347" s="12"/>
      <c r="X347" s="12"/>
      <c r="Y347" s="15"/>
      <c r="Z347" s="12"/>
      <c r="AA347" s="12"/>
      <c r="AB347" s="12"/>
      <c r="AC347" s="12"/>
    </row>
    <row r="348" spans="1:29" x14ac:dyDescent="0.3">
      <c r="A348" s="12"/>
      <c r="B348" s="12"/>
      <c r="C348" s="12"/>
      <c r="D348" s="12"/>
      <c r="E348" s="12"/>
      <c r="F348" s="12"/>
      <c r="G348" s="12"/>
      <c r="H348" s="12"/>
      <c r="I348" s="13"/>
      <c r="J348" s="13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4"/>
      <c r="W348" s="12"/>
      <c r="X348" s="12"/>
      <c r="Y348" s="15"/>
      <c r="Z348" s="12"/>
      <c r="AA348" s="12"/>
      <c r="AB348" s="12"/>
      <c r="AC348" s="12"/>
    </row>
    <row r="349" spans="1:29" x14ac:dyDescent="0.3">
      <c r="A349" s="12"/>
      <c r="B349" s="12"/>
      <c r="C349" s="12"/>
      <c r="D349" s="12"/>
      <c r="E349" s="12"/>
      <c r="F349" s="12"/>
      <c r="G349" s="12"/>
      <c r="H349" s="12"/>
      <c r="I349" s="13"/>
      <c r="J349" s="13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4"/>
      <c r="W349" s="12"/>
      <c r="X349" s="12"/>
      <c r="Y349" s="15"/>
      <c r="Z349" s="12"/>
      <c r="AA349" s="12"/>
      <c r="AB349" s="12"/>
      <c r="AC349" s="12"/>
    </row>
    <row r="350" spans="1:29" x14ac:dyDescent="0.3">
      <c r="A350" s="12"/>
      <c r="B350" s="12"/>
      <c r="C350" s="12"/>
      <c r="D350" s="12"/>
      <c r="E350" s="12"/>
      <c r="F350" s="12"/>
      <c r="G350" s="12"/>
      <c r="H350" s="12"/>
      <c r="I350" s="13"/>
      <c r="J350" s="13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4"/>
      <c r="W350" s="12"/>
      <c r="X350" s="12"/>
      <c r="Y350" s="15"/>
      <c r="Z350" s="12"/>
      <c r="AA350" s="12"/>
      <c r="AB350" s="12"/>
      <c r="AC350" s="12"/>
    </row>
    <row r="351" spans="1:29" x14ac:dyDescent="0.3">
      <c r="A351" s="12"/>
      <c r="B351" s="12"/>
      <c r="C351" s="12"/>
      <c r="D351" s="12"/>
      <c r="E351" s="12"/>
      <c r="F351" s="12"/>
      <c r="G351" s="12"/>
      <c r="H351" s="12"/>
      <c r="I351" s="13"/>
      <c r="J351" s="13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4"/>
      <c r="W351" s="12"/>
      <c r="X351" s="12"/>
      <c r="Y351" s="15"/>
      <c r="Z351" s="12"/>
      <c r="AA351" s="12"/>
      <c r="AB351" s="12"/>
      <c r="AC351" s="12"/>
    </row>
    <row r="352" spans="1:29" x14ac:dyDescent="0.3">
      <c r="A352" s="12"/>
      <c r="B352" s="12"/>
      <c r="C352" s="12"/>
      <c r="D352" s="12"/>
      <c r="E352" s="12"/>
      <c r="F352" s="12"/>
      <c r="G352" s="12"/>
      <c r="H352" s="12"/>
      <c r="I352" s="13"/>
      <c r="J352" s="13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4"/>
      <c r="W352" s="12"/>
      <c r="X352" s="12"/>
      <c r="Y352" s="15"/>
      <c r="Z352" s="12"/>
      <c r="AA352" s="12"/>
      <c r="AB352" s="12"/>
      <c r="AC352" s="12"/>
    </row>
    <row r="353" spans="1:29" x14ac:dyDescent="0.3">
      <c r="A353" s="12"/>
      <c r="B353" s="12"/>
      <c r="C353" s="12"/>
      <c r="D353" s="12"/>
      <c r="E353" s="12"/>
      <c r="F353" s="12"/>
      <c r="G353" s="12"/>
      <c r="H353" s="12"/>
      <c r="I353" s="13"/>
      <c r="J353" s="13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4"/>
      <c r="W353" s="12"/>
      <c r="X353" s="12"/>
      <c r="Y353" s="15"/>
      <c r="Z353" s="12"/>
      <c r="AA353" s="12"/>
      <c r="AB353" s="12"/>
      <c r="AC353" s="12"/>
    </row>
    <row r="354" spans="1:29" x14ac:dyDescent="0.3">
      <c r="A354" s="12"/>
      <c r="B354" s="12"/>
      <c r="C354" s="12"/>
      <c r="D354" s="12"/>
      <c r="E354" s="12"/>
      <c r="F354" s="12"/>
      <c r="G354" s="12"/>
      <c r="H354" s="12"/>
      <c r="I354" s="13"/>
      <c r="J354" s="13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4"/>
      <c r="W354" s="12"/>
      <c r="X354" s="12"/>
      <c r="Y354" s="15"/>
      <c r="Z354" s="12"/>
      <c r="AA354" s="12"/>
      <c r="AB354" s="12"/>
      <c r="AC354" s="12"/>
    </row>
    <row r="355" spans="1:29" x14ac:dyDescent="0.3">
      <c r="A355" s="12"/>
      <c r="B355" s="12"/>
      <c r="C355" s="12"/>
      <c r="D355" s="12"/>
      <c r="E355" s="12"/>
      <c r="F355" s="12"/>
      <c r="G355" s="12"/>
      <c r="H355" s="12"/>
      <c r="I355" s="13"/>
      <c r="J355" s="13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4"/>
      <c r="W355" s="12"/>
      <c r="X355" s="12"/>
      <c r="Y355" s="15"/>
      <c r="Z355" s="12"/>
      <c r="AA355" s="12"/>
      <c r="AB355" s="12"/>
      <c r="AC355" s="12"/>
    </row>
    <row r="356" spans="1:29" x14ac:dyDescent="0.3">
      <c r="A356" s="12"/>
      <c r="B356" s="12"/>
      <c r="C356" s="12"/>
      <c r="D356" s="12"/>
      <c r="E356" s="12"/>
      <c r="F356" s="12"/>
      <c r="G356" s="12"/>
      <c r="H356" s="12"/>
      <c r="I356" s="13"/>
      <c r="J356" s="13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4"/>
      <c r="W356" s="12"/>
      <c r="X356" s="12"/>
      <c r="Y356" s="15"/>
      <c r="Z356" s="12"/>
      <c r="AA356" s="12"/>
      <c r="AB356" s="12"/>
      <c r="AC356" s="12"/>
    </row>
    <row r="357" spans="1:29" x14ac:dyDescent="0.3">
      <c r="A357" s="12"/>
      <c r="B357" s="12"/>
      <c r="C357" s="12"/>
      <c r="D357" s="12"/>
      <c r="E357" s="12"/>
      <c r="F357" s="12"/>
      <c r="G357" s="12"/>
      <c r="H357" s="12"/>
      <c r="I357" s="13"/>
      <c r="J357" s="13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4"/>
      <c r="W357" s="12"/>
      <c r="X357" s="12"/>
      <c r="Y357" s="15"/>
      <c r="Z357" s="12"/>
      <c r="AA357" s="12"/>
      <c r="AB357" s="12"/>
      <c r="AC357" s="12"/>
    </row>
    <row r="358" spans="1:29" x14ac:dyDescent="0.3">
      <c r="A358" s="12"/>
      <c r="B358" s="12"/>
      <c r="C358" s="12"/>
      <c r="D358" s="12"/>
      <c r="E358" s="12"/>
      <c r="F358" s="12"/>
      <c r="G358" s="12"/>
      <c r="H358" s="12"/>
      <c r="I358" s="13"/>
      <c r="J358" s="13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4"/>
      <c r="W358" s="12"/>
      <c r="X358" s="12"/>
      <c r="Y358" s="15"/>
      <c r="Z358" s="12"/>
      <c r="AA358" s="12"/>
      <c r="AB358" s="12"/>
      <c r="AC358" s="12"/>
    </row>
    <row r="359" spans="1:29" x14ac:dyDescent="0.3">
      <c r="A359" s="12"/>
      <c r="B359" s="12"/>
      <c r="C359" s="12"/>
      <c r="D359" s="12"/>
      <c r="E359" s="12"/>
      <c r="F359" s="12"/>
      <c r="G359" s="12"/>
      <c r="H359" s="12"/>
      <c r="I359" s="13"/>
      <c r="J359" s="13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4"/>
      <c r="W359" s="12"/>
      <c r="X359" s="12"/>
      <c r="Y359" s="15"/>
      <c r="Z359" s="12"/>
      <c r="AA359" s="12"/>
      <c r="AB359" s="12"/>
      <c r="AC359" s="12"/>
    </row>
    <row r="360" spans="1:29" x14ac:dyDescent="0.3">
      <c r="A360" s="12"/>
      <c r="B360" s="12"/>
      <c r="C360" s="12"/>
      <c r="D360" s="12"/>
      <c r="E360" s="12"/>
      <c r="F360" s="12"/>
      <c r="G360" s="12"/>
      <c r="H360" s="12"/>
      <c r="I360" s="13"/>
      <c r="J360" s="13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4"/>
      <c r="W360" s="12"/>
      <c r="X360" s="12"/>
      <c r="Y360" s="15"/>
      <c r="Z360" s="12"/>
      <c r="AA360" s="12"/>
      <c r="AB360" s="12"/>
      <c r="AC360" s="12"/>
    </row>
    <row r="361" spans="1:29" x14ac:dyDescent="0.3">
      <c r="A361" s="12"/>
      <c r="B361" s="12"/>
      <c r="C361" s="12"/>
      <c r="D361" s="12"/>
      <c r="E361" s="12"/>
      <c r="F361" s="12"/>
      <c r="G361" s="12"/>
      <c r="H361" s="12"/>
      <c r="I361" s="13"/>
      <c r="J361" s="13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4"/>
      <c r="W361" s="12"/>
      <c r="X361" s="12"/>
      <c r="Y361" s="15"/>
      <c r="Z361" s="12"/>
      <c r="AA361" s="12"/>
      <c r="AB361" s="12"/>
      <c r="AC361" s="12"/>
    </row>
    <row r="362" spans="1:29" x14ac:dyDescent="0.3">
      <c r="A362" s="12"/>
      <c r="B362" s="12"/>
      <c r="C362" s="12"/>
      <c r="D362" s="12"/>
      <c r="E362" s="12"/>
      <c r="F362" s="12"/>
      <c r="G362" s="12"/>
      <c r="H362" s="12"/>
      <c r="I362" s="13"/>
      <c r="J362" s="13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4"/>
      <c r="W362" s="12"/>
      <c r="X362" s="12"/>
      <c r="Y362" s="15"/>
      <c r="Z362" s="12"/>
      <c r="AA362" s="12"/>
      <c r="AB362" s="12"/>
      <c r="AC362" s="12"/>
    </row>
    <row r="363" spans="1:29" x14ac:dyDescent="0.3">
      <c r="A363" s="12"/>
      <c r="B363" s="12"/>
      <c r="C363" s="12"/>
      <c r="D363" s="12"/>
      <c r="E363" s="12"/>
      <c r="F363" s="12"/>
      <c r="G363" s="12"/>
      <c r="H363" s="12"/>
      <c r="I363" s="13"/>
      <c r="J363" s="13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4"/>
      <c r="W363" s="12"/>
      <c r="X363" s="12"/>
      <c r="Y363" s="15"/>
      <c r="Z363" s="12"/>
      <c r="AA363" s="12"/>
      <c r="AB363" s="12"/>
      <c r="AC363" s="12"/>
    </row>
    <row r="364" spans="1:29" x14ac:dyDescent="0.3">
      <c r="A364" s="12"/>
      <c r="B364" s="12"/>
      <c r="C364" s="12"/>
      <c r="D364" s="12"/>
      <c r="E364" s="12"/>
      <c r="F364" s="12"/>
      <c r="G364" s="12"/>
      <c r="H364" s="12"/>
      <c r="I364" s="13"/>
      <c r="J364" s="13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4"/>
      <c r="W364" s="12"/>
      <c r="X364" s="12"/>
      <c r="Y364" s="15"/>
      <c r="Z364" s="12"/>
      <c r="AA364" s="12"/>
      <c r="AB364" s="12"/>
      <c r="AC364" s="12"/>
    </row>
    <row r="365" spans="1:29" x14ac:dyDescent="0.3">
      <c r="A365" s="12"/>
      <c r="B365" s="12"/>
      <c r="C365" s="12"/>
      <c r="D365" s="12"/>
      <c r="E365" s="12"/>
      <c r="F365" s="12"/>
      <c r="G365" s="12"/>
      <c r="H365" s="12"/>
      <c r="I365" s="13"/>
      <c r="J365" s="13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4"/>
      <c r="W365" s="12"/>
      <c r="X365" s="12"/>
      <c r="Y365" s="15"/>
      <c r="Z365" s="12"/>
      <c r="AA365" s="12"/>
      <c r="AB365" s="12"/>
      <c r="AC365" s="12"/>
    </row>
    <row r="366" spans="1:29" x14ac:dyDescent="0.3">
      <c r="A366" s="12"/>
      <c r="B366" s="12"/>
      <c r="C366" s="12"/>
      <c r="D366" s="12"/>
      <c r="E366" s="12"/>
      <c r="F366" s="12"/>
      <c r="G366" s="12"/>
      <c r="H366" s="12"/>
      <c r="I366" s="13"/>
      <c r="J366" s="13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4"/>
      <c r="W366" s="12"/>
      <c r="X366" s="12"/>
      <c r="Y366" s="15"/>
      <c r="Z366" s="12"/>
      <c r="AA366" s="12"/>
      <c r="AB366" s="12"/>
      <c r="AC366" s="12"/>
    </row>
    <row r="367" spans="1:29" x14ac:dyDescent="0.3">
      <c r="A367" s="12"/>
      <c r="B367" s="12"/>
      <c r="C367" s="12"/>
      <c r="D367" s="12"/>
      <c r="E367" s="12"/>
      <c r="F367" s="12"/>
      <c r="G367" s="12"/>
      <c r="H367" s="12"/>
      <c r="I367" s="13"/>
      <c r="J367" s="13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4"/>
      <c r="W367" s="12"/>
      <c r="X367" s="12"/>
      <c r="Y367" s="15"/>
      <c r="Z367" s="12"/>
      <c r="AA367" s="12"/>
      <c r="AB367" s="12"/>
      <c r="AC367" s="12"/>
    </row>
    <row r="368" spans="1:29" x14ac:dyDescent="0.3">
      <c r="A368" s="12"/>
      <c r="B368" s="12"/>
      <c r="C368" s="12"/>
      <c r="D368" s="12"/>
      <c r="E368" s="12"/>
      <c r="F368" s="12"/>
      <c r="G368" s="12"/>
      <c r="H368" s="12"/>
      <c r="I368" s="13"/>
      <c r="J368" s="13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4"/>
      <c r="W368" s="12"/>
      <c r="X368" s="12"/>
      <c r="Y368" s="15"/>
      <c r="Z368" s="12"/>
      <c r="AA368" s="12"/>
      <c r="AB368" s="12"/>
      <c r="AC368" s="12"/>
    </row>
    <row r="369" spans="1:29" x14ac:dyDescent="0.3">
      <c r="A369" s="12"/>
      <c r="B369" s="12"/>
      <c r="C369" s="12"/>
      <c r="D369" s="12"/>
      <c r="E369" s="12"/>
      <c r="F369" s="12"/>
      <c r="G369" s="12"/>
      <c r="H369" s="12"/>
      <c r="I369" s="13"/>
      <c r="J369" s="13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4"/>
      <c r="W369" s="12"/>
      <c r="X369" s="12"/>
      <c r="Y369" s="15"/>
      <c r="Z369" s="12"/>
      <c r="AA369" s="12"/>
      <c r="AB369" s="12"/>
      <c r="AC369" s="12"/>
    </row>
    <row r="370" spans="1:29" x14ac:dyDescent="0.3">
      <c r="A370" s="12"/>
      <c r="B370" s="12"/>
      <c r="C370" s="12"/>
      <c r="D370" s="12"/>
      <c r="E370" s="12"/>
      <c r="F370" s="12"/>
      <c r="G370" s="12"/>
      <c r="H370" s="12"/>
      <c r="I370" s="13"/>
      <c r="J370" s="13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4"/>
      <c r="W370" s="12"/>
      <c r="X370" s="12"/>
      <c r="Y370" s="15"/>
      <c r="Z370" s="12"/>
      <c r="AA370" s="12"/>
      <c r="AB370" s="12"/>
      <c r="AC370" s="12"/>
    </row>
    <row r="371" spans="1:29" x14ac:dyDescent="0.3">
      <c r="A371" s="12"/>
      <c r="B371" s="12"/>
      <c r="C371" s="12"/>
      <c r="D371" s="12"/>
      <c r="E371" s="12"/>
      <c r="F371" s="12"/>
      <c r="G371" s="12"/>
      <c r="H371" s="12"/>
      <c r="I371" s="13"/>
      <c r="J371" s="13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4"/>
      <c r="W371" s="12"/>
      <c r="X371" s="12"/>
      <c r="Y371" s="15"/>
      <c r="Z371" s="12"/>
      <c r="AA371" s="12"/>
      <c r="AB371" s="12"/>
      <c r="AC371" s="12"/>
    </row>
    <row r="372" spans="1:29" x14ac:dyDescent="0.3">
      <c r="A372" s="12"/>
      <c r="B372" s="12"/>
      <c r="C372" s="12"/>
      <c r="D372" s="12"/>
      <c r="E372" s="12"/>
      <c r="F372" s="12"/>
      <c r="G372" s="12"/>
      <c r="H372" s="12"/>
      <c r="I372" s="13"/>
      <c r="J372" s="13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4"/>
      <c r="W372" s="12"/>
      <c r="X372" s="12"/>
      <c r="Y372" s="15"/>
      <c r="Z372" s="12"/>
      <c r="AA372" s="12"/>
      <c r="AB372" s="12"/>
      <c r="AC372" s="12"/>
    </row>
    <row r="373" spans="1:29" x14ac:dyDescent="0.3">
      <c r="A373" s="12"/>
      <c r="B373" s="12"/>
      <c r="C373" s="12"/>
      <c r="D373" s="12"/>
      <c r="E373" s="12"/>
      <c r="F373" s="12"/>
      <c r="G373" s="12"/>
      <c r="H373" s="12"/>
      <c r="I373" s="13"/>
      <c r="J373" s="13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4"/>
      <c r="W373" s="12"/>
      <c r="X373" s="12"/>
      <c r="Y373" s="15"/>
      <c r="Z373" s="12"/>
      <c r="AA373" s="12"/>
      <c r="AB373" s="12"/>
      <c r="AC373" s="12"/>
    </row>
    <row r="374" spans="1:29" x14ac:dyDescent="0.3">
      <c r="A374" s="12"/>
      <c r="B374" s="12"/>
      <c r="C374" s="12"/>
      <c r="D374" s="12"/>
      <c r="E374" s="12"/>
      <c r="F374" s="12"/>
      <c r="G374" s="12"/>
      <c r="H374" s="12"/>
      <c r="I374" s="13"/>
      <c r="J374" s="13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4"/>
      <c r="W374" s="12"/>
      <c r="X374" s="12"/>
      <c r="Y374" s="15"/>
      <c r="Z374" s="12"/>
      <c r="AA374" s="12"/>
      <c r="AB374" s="12"/>
      <c r="AC374" s="12"/>
    </row>
    <row r="375" spans="1:29" x14ac:dyDescent="0.3">
      <c r="A375" s="12"/>
      <c r="B375" s="12"/>
      <c r="C375" s="12"/>
      <c r="D375" s="12"/>
      <c r="E375" s="12"/>
      <c r="F375" s="12"/>
      <c r="G375" s="12"/>
      <c r="H375" s="12"/>
      <c r="I375" s="13"/>
      <c r="J375" s="13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4"/>
      <c r="W375" s="12"/>
      <c r="X375" s="12"/>
      <c r="Y375" s="15"/>
      <c r="Z375" s="12"/>
      <c r="AA375" s="12"/>
      <c r="AB375" s="12"/>
      <c r="AC375" s="12"/>
    </row>
    <row r="376" spans="1:29" x14ac:dyDescent="0.3">
      <c r="A376" s="12"/>
      <c r="B376" s="12"/>
      <c r="C376" s="12"/>
      <c r="D376" s="12"/>
      <c r="E376" s="12"/>
      <c r="F376" s="12"/>
      <c r="G376" s="12"/>
      <c r="H376" s="12"/>
      <c r="I376" s="13"/>
      <c r="J376" s="13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4"/>
      <c r="W376" s="12"/>
      <c r="X376" s="12"/>
      <c r="Y376" s="15"/>
      <c r="Z376" s="12"/>
      <c r="AA376" s="12"/>
      <c r="AB376" s="12"/>
      <c r="AC376" s="12"/>
    </row>
    <row r="377" spans="1:29" x14ac:dyDescent="0.3">
      <c r="A377" s="12"/>
      <c r="B377" s="12"/>
      <c r="C377" s="12"/>
      <c r="D377" s="12"/>
      <c r="E377" s="12"/>
      <c r="F377" s="12"/>
      <c r="G377" s="12"/>
      <c r="H377" s="12"/>
      <c r="I377" s="13"/>
      <c r="J377" s="13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4"/>
      <c r="W377" s="12"/>
      <c r="X377" s="12"/>
      <c r="Y377" s="15"/>
      <c r="Z377" s="12"/>
      <c r="AA377" s="12"/>
      <c r="AB377" s="12"/>
      <c r="AC377" s="12"/>
    </row>
    <row r="378" spans="1:29" x14ac:dyDescent="0.3">
      <c r="A378" s="12"/>
      <c r="B378" s="12"/>
      <c r="C378" s="12"/>
      <c r="D378" s="12"/>
      <c r="E378" s="12"/>
      <c r="F378" s="12"/>
      <c r="G378" s="12"/>
      <c r="H378" s="12"/>
      <c r="I378" s="13"/>
      <c r="J378" s="13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4"/>
      <c r="W378" s="12"/>
      <c r="X378" s="12"/>
      <c r="Y378" s="15"/>
      <c r="Z378" s="12"/>
      <c r="AA378" s="12"/>
      <c r="AB378" s="12"/>
      <c r="AC378" s="12"/>
    </row>
    <row r="379" spans="1:29" x14ac:dyDescent="0.3">
      <c r="A379" s="12"/>
      <c r="B379" s="12"/>
      <c r="C379" s="12"/>
      <c r="D379" s="12"/>
      <c r="E379" s="12"/>
      <c r="F379" s="12"/>
      <c r="G379" s="12"/>
      <c r="H379" s="12"/>
      <c r="I379" s="13"/>
      <c r="J379" s="13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4"/>
      <c r="W379" s="12"/>
      <c r="X379" s="12"/>
      <c r="Y379" s="15"/>
      <c r="Z379" s="12"/>
      <c r="AA379" s="12"/>
      <c r="AB379" s="12"/>
      <c r="AC379" s="12"/>
    </row>
    <row r="380" spans="1:29" x14ac:dyDescent="0.3">
      <c r="A380" s="12"/>
      <c r="B380" s="12"/>
      <c r="C380" s="12"/>
      <c r="D380" s="12"/>
      <c r="E380" s="12"/>
      <c r="F380" s="12"/>
      <c r="G380" s="12"/>
      <c r="H380" s="12"/>
      <c r="I380" s="13"/>
      <c r="J380" s="13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4"/>
      <c r="W380" s="12"/>
      <c r="X380" s="12"/>
      <c r="Y380" s="15"/>
      <c r="Z380" s="12"/>
      <c r="AA380" s="12"/>
      <c r="AB380" s="12"/>
      <c r="AC380" s="12"/>
    </row>
    <row r="381" spans="1:29" x14ac:dyDescent="0.3">
      <c r="A381" s="12"/>
      <c r="B381" s="12"/>
      <c r="C381" s="12"/>
      <c r="D381" s="12"/>
      <c r="E381" s="12"/>
      <c r="F381" s="12"/>
      <c r="G381" s="12"/>
      <c r="H381" s="12"/>
      <c r="I381" s="13"/>
      <c r="J381" s="13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4"/>
      <c r="W381" s="12"/>
      <c r="X381" s="12"/>
      <c r="Y381" s="15"/>
      <c r="Z381" s="12"/>
      <c r="AA381" s="12"/>
      <c r="AB381" s="12"/>
      <c r="AC381" s="12"/>
    </row>
    <row r="382" spans="1:29" x14ac:dyDescent="0.3">
      <c r="A382" s="12"/>
      <c r="B382" s="12"/>
      <c r="C382" s="12"/>
      <c r="D382" s="12"/>
      <c r="E382" s="12"/>
      <c r="F382" s="12"/>
      <c r="G382" s="12"/>
      <c r="H382" s="12"/>
      <c r="I382" s="13"/>
      <c r="J382" s="13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4"/>
      <c r="W382" s="12"/>
      <c r="X382" s="12"/>
      <c r="Y382" s="15"/>
      <c r="Z382" s="12"/>
      <c r="AA382" s="12"/>
      <c r="AB382" s="12"/>
      <c r="AC382" s="12"/>
    </row>
    <row r="383" spans="1:29" x14ac:dyDescent="0.3">
      <c r="A383" s="12"/>
      <c r="B383" s="12"/>
      <c r="C383" s="12"/>
      <c r="D383" s="12"/>
      <c r="E383" s="12"/>
      <c r="F383" s="12"/>
      <c r="G383" s="12"/>
      <c r="H383" s="12"/>
      <c r="I383" s="13"/>
      <c r="J383" s="13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4"/>
      <c r="W383" s="12"/>
      <c r="X383" s="12"/>
      <c r="Y383" s="15"/>
      <c r="Z383" s="12"/>
      <c r="AA383" s="12"/>
      <c r="AB383" s="12"/>
      <c r="AC383" s="12"/>
    </row>
    <row r="384" spans="1:29" x14ac:dyDescent="0.3">
      <c r="A384" s="12"/>
      <c r="B384" s="12"/>
      <c r="C384" s="12"/>
      <c r="D384" s="12"/>
      <c r="E384" s="12"/>
      <c r="F384" s="12"/>
      <c r="G384" s="12"/>
      <c r="H384" s="12"/>
      <c r="I384" s="13"/>
      <c r="J384" s="13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4"/>
      <c r="W384" s="12"/>
      <c r="X384" s="12"/>
      <c r="Y384" s="15"/>
      <c r="Z384" s="12"/>
      <c r="AA384" s="12"/>
      <c r="AB384" s="12"/>
      <c r="AC384" s="12"/>
    </row>
    <row r="385" spans="1:29" x14ac:dyDescent="0.3">
      <c r="A385" s="12"/>
      <c r="B385" s="12"/>
      <c r="C385" s="12"/>
      <c r="D385" s="12"/>
      <c r="E385" s="12"/>
      <c r="F385" s="12"/>
      <c r="G385" s="12"/>
      <c r="H385" s="12"/>
      <c r="I385" s="13"/>
      <c r="J385" s="13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4"/>
      <c r="W385" s="12"/>
      <c r="X385" s="12"/>
      <c r="Y385" s="15"/>
      <c r="Z385" s="12"/>
      <c r="AA385" s="12"/>
      <c r="AB385" s="12"/>
      <c r="AC385" s="12"/>
    </row>
    <row r="386" spans="1:29" x14ac:dyDescent="0.3">
      <c r="A386" s="12"/>
      <c r="B386" s="12"/>
      <c r="C386" s="12"/>
      <c r="D386" s="12"/>
      <c r="E386" s="12"/>
      <c r="F386" s="12"/>
      <c r="G386" s="12"/>
      <c r="H386" s="12"/>
      <c r="I386" s="13"/>
      <c r="J386" s="13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4"/>
      <c r="W386" s="12"/>
      <c r="X386" s="12"/>
      <c r="Y386" s="15"/>
      <c r="Z386" s="12"/>
      <c r="AA386" s="12"/>
      <c r="AB386" s="12"/>
      <c r="AC386" s="12"/>
    </row>
    <row r="387" spans="1:29" x14ac:dyDescent="0.3">
      <c r="A387" s="12"/>
      <c r="B387" s="12"/>
      <c r="C387" s="12"/>
      <c r="D387" s="12"/>
      <c r="E387" s="12"/>
      <c r="F387" s="12"/>
      <c r="G387" s="12"/>
      <c r="H387" s="12"/>
      <c r="I387" s="13"/>
      <c r="J387" s="13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4"/>
      <c r="W387" s="12"/>
      <c r="X387" s="12"/>
      <c r="Y387" s="15"/>
      <c r="Z387" s="12"/>
      <c r="AA387" s="12"/>
      <c r="AB387" s="12"/>
      <c r="AC387" s="12"/>
    </row>
    <row r="388" spans="1:29" x14ac:dyDescent="0.3">
      <c r="A388" s="12"/>
      <c r="B388" s="12"/>
      <c r="C388" s="12"/>
      <c r="D388" s="12"/>
      <c r="E388" s="12"/>
      <c r="F388" s="12"/>
      <c r="G388" s="12"/>
      <c r="H388" s="12"/>
      <c r="I388" s="13"/>
      <c r="J388" s="13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4"/>
      <c r="W388" s="12"/>
      <c r="X388" s="12"/>
      <c r="Y388" s="15"/>
      <c r="Z388" s="12"/>
      <c r="AA388" s="12"/>
      <c r="AB388" s="12"/>
      <c r="AC388" s="12"/>
    </row>
    <row r="389" spans="1:29" x14ac:dyDescent="0.3">
      <c r="A389" s="12"/>
      <c r="B389" s="12"/>
      <c r="C389" s="12"/>
      <c r="D389" s="12"/>
      <c r="E389" s="12"/>
      <c r="F389" s="12"/>
      <c r="G389" s="12"/>
      <c r="H389" s="12"/>
      <c r="I389" s="13"/>
      <c r="J389" s="13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4"/>
      <c r="W389" s="12"/>
      <c r="X389" s="12"/>
      <c r="Y389" s="15"/>
      <c r="Z389" s="12"/>
      <c r="AA389" s="12"/>
      <c r="AB389" s="12"/>
      <c r="AC389" s="12"/>
    </row>
    <row r="390" spans="1:29" x14ac:dyDescent="0.3">
      <c r="A390" s="12"/>
      <c r="B390" s="12"/>
      <c r="C390" s="12"/>
      <c r="D390" s="12"/>
      <c r="E390" s="12"/>
      <c r="F390" s="12"/>
      <c r="G390" s="12"/>
      <c r="H390" s="12"/>
      <c r="I390" s="13"/>
      <c r="J390" s="13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4"/>
      <c r="W390" s="12"/>
      <c r="X390" s="12"/>
      <c r="Y390" s="15"/>
      <c r="Z390" s="12"/>
      <c r="AA390" s="12"/>
      <c r="AB390" s="12"/>
      <c r="AC390" s="12"/>
    </row>
    <row r="391" spans="1:29" x14ac:dyDescent="0.3">
      <c r="A391" s="12"/>
      <c r="B391" s="12"/>
      <c r="C391" s="12"/>
      <c r="D391" s="12"/>
      <c r="E391" s="12"/>
      <c r="F391" s="12"/>
      <c r="G391" s="12"/>
      <c r="H391" s="12"/>
      <c r="I391" s="13"/>
      <c r="J391" s="13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4"/>
      <c r="W391" s="12"/>
      <c r="X391" s="12"/>
      <c r="Y391" s="15"/>
      <c r="Z391" s="12"/>
      <c r="AA391" s="12"/>
      <c r="AB391" s="12"/>
      <c r="AC391" s="12"/>
    </row>
    <row r="392" spans="1:29" x14ac:dyDescent="0.3">
      <c r="A392" s="12"/>
      <c r="B392" s="12"/>
      <c r="C392" s="12"/>
      <c r="D392" s="12"/>
      <c r="E392" s="12"/>
      <c r="F392" s="12"/>
      <c r="G392" s="12"/>
      <c r="H392" s="12"/>
      <c r="I392" s="13"/>
      <c r="J392" s="13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4"/>
      <c r="W392" s="12"/>
      <c r="X392" s="12"/>
      <c r="Y392" s="15"/>
      <c r="Z392" s="12"/>
      <c r="AA392" s="12"/>
      <c r="AB392" s="12"/>
      <c r="AC392" s="12"/>
    </row>
    <row r="393" spans="1:29" x14ac:dyDescent="0.3">
      <c r="A393" s="12"/>
      <c r="B393" s="12"/>
      <c r="C393" s="12"/>
      <c r="D393" s="12"/>
      <c r="E393" s="12"/>
      <c r="F393" s="12"/>
      <c r="G393" s="12"/>
      <c r="H393" s="12"/>
      <c r="I393" s="13"/>
      <c r="J393" s="13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4"/>
      <c r="W393" s="12"/>
      <c r="X393" s="12"/>
      <c r="Y393" s="15"/>
      <c r="Z393" s="12"/>
      <c r="AA393" s="12"/>
      <c r="AB393" s="12"/>
      <c r="AC393" s="12"/>
    </row>
    <row r="394" spans="1:29" x14ac:dyDescent="0.3">
      <c r="A394" s="12"/>
      <c r="B394" s="12"/>
      <c r="C394" s="12"/>
      <c r="D394" s="12"/>
      <c r="E394" s="12"/>
      <c r="F394" s="12"/>
      <c r="G394" s="12"/>
      <c r="H394" s="12"/>
      <c r="I394" s="13"/>
      <c r="J394" s="13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4"/>
      <c r="W394" s="12"/>
      <c r="X394" s="12"/>
      <c r="Y394" s="15"/>
      <c r="Z394" s="12"/>
      <c r="AA394" s="12"/>
      <c r="AB394" s="12"/>
      <c r="AC394" s="12"/>
    </row>
    <row r="395" spans="1:29" x14ac:dyDescent="0.3">
      <c r="A395" s="12"/>
      <c r="B395" s="12"/>
      <c r="C395" s="12"/>
      <c r="D395" s="12"/>
      <c r="E395" s="12"/>
      <c r="F395" s="12"/>
      <c r="G395" s="12"/>
      <c r="H395" s="12"/>
      <c r="I395" s="13"/>
      <c r="J395" s="13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4"/>
      <c r="W395" s="12"/>
      <c r="X395" s="12"/>
      <c r="Y395" s="15"/>
      <c r="Z395" s="12"/>
      <c r="AA395" s="12"/>
      <c r="AB395" s="12"/>
      <c r="AC395" s="12"/>
    </row>
    <row r="396" spans="1:29" x14ac:dyDescent="0.3">
      <c r="A396" s="12"/>
      <c r="B396" s="12"/>
      <c r="C396" s="12"/>
      <c r="D396" s="12"/>
      <c r="E396" s="12"/>
      <c r="F396" s="12"/>
      <c r="G396" s="12"/>
      <c r="H396" s="12"/>
      <c r="I396" s="13"/>
      <c r="J396" s="13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4"/>
      <c r="W396" s="12"/>
      <c r="X396" s="12"/>
      <c r="Y396" s="15"/>
      <c r="Z396" s="12"/>
      <c r="AA396" s="12"/>
      <c r="AB396" s="12"/>
      <c r="AC396" s="12"/>
    </row>
    <row r="397" spans="1:29" x14ac:dyDescent="0.3">
      <c r="A397" s="12"/>
      <c r="B397" s="12"/>
      <c r="C397" s="12"/>
      <c r="D397" s="12"/>
      <c r="E397" s="12"/>
      <c r="F397" s="12"/>
      <c r="G397" s="12"/>
      <c r="H397" s="12"/>
      <c r="I397" s="13"/>
      <c r="J397" s="13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4"/>
      <c r="W397" s="12"/>
      <c r="X397" s="12"/>
      <c r="Y397" s="15"/>
      <c r="Z397" s="12"/>
      <c r="AA397" s="12"/>
      <c r="AB397" s="12"/>
      <c r="AC397" s="12"/>
    </row>
    <row r="398" spans="1:29" x14ac:dyDescent="0.3">
      <c r="A398" s="12"/>
      <c r="B398" s="12"/>
      <c r="C398" s="12"/>
      <c r="D398" s="12"/>
      <c r="E398" s="12"/>
      <c r="F398" s="12"/>
      <c r="G398" s="12"/>
      <c r="H398" s="12"/>
      <c r="I398" s="13"/>
      <c r="J398" s="13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4"/>
      <c r="W398" s="12"/>
      <c r="X398" s="12"/>
      <c r="Y398" s="15"/>
      <c r="Z398" s="12"/>
      <c r="AA398" s="12"/>
      <c r="AB398" s="12"/>
      <c r="AC398" s="12"/>
    </row>
    <row r="399" spans="1:29" x14ac:dyDescent="0.3">
      <c r="A399" s="12"/>
      <c r="B399" s="12"/>
      <c r="C399" s="12"/>
      <c r="D399" s="12"/>
      <c r="E399" s="12"/>
      <c r="F399" s="12"/>
      <c r="G399" s="12"/>
      <c r="H399" s="12"/>
      <c r="I399" s="13"/>
      <c r="J399" s="13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4"/>
      <c r="W399" s="12"/>
      <c r="X399" s="12"/>
      <c r="Y399" s="15"/>
      <c r="Z399" s="12"/>
      <c r="AA399" s="12"/>
      <c r="AB399" s="12"/>
      <c r="AC399" s="12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C9BF-5271-44A4-9ABB-CE590D27EAFA}">
  <sheetPr codeName="Sheet20">
    <tabColor theme="7" tint="0.39997558519241921"/>
  </sheetPr>
  <dimension ref="A1:N1"/>
  <sheetViews>
    <sheetView workbookViewId="0">
      <selection activeCell="A2" sqref="A2:N326"/>
    </sheetView>
  </sheetViews>
  <sheetFormatPr defaultRowHeight="14.4" x14ac:dyDescent="0.3"/>
  <cols>
    <col min="1" max="1" width="14" bestFit="1" customWidth="1"/>
    <col min="2" max="2" width="11.88671875" bestFit="1" customWidth="1"/>
    <col min="3" max="3" width="8.44140625" bestFit="1" customWidth="1"/>
    <col min="4" max="4" width="37.33203125" bestFit="1" customWidth="1"/>
    <col min="5" max="5" width="10.6640625" bestFit="1" customWidth="1"/>
    <col min="6" max="6" width="7.33203125" bestFit="1" customWidth="1"/>
    <col min="7" max="7" width="7.5546875" bestFit="1" customWidth="1"/>
    <col min="8" max="8" width="6.44140625" bestFit="1" customWidth="1"/>
    <col min="9" max="9" width="7.5546875" bestFit="1" customWidth="1"/>
    <col min="10" max="10" width="6.33203125" bestFit="1" customWidth="1"/>
    <col min="11" max="11" width="11.44140625" bestFit="1" customWidth="1"/>
    <col min="12" max="12" width="6.6640625" bestFit="1" customWidth="1"/>
    <col min="13" max="13" width="31.33203125" bestFit="1" customWidth="1"/>
    <col min="14" max="14" width="4.44140625" bestFit="1" customWidth="1"/>
  </cols>
  <sheetData>
    <row r="1" spans="1:14" x14ac:dyDescent="0.3">
      <c r="A1" t="s">
        <v>128</v>
      </c>
      <c r="B1" t="s">
        <v>133</v>
      </c>
      <c r="C1" t="s">
        <v>275</v>
      </c>
      <c r="D1" t="s">
        <v>274</v>
      </c>
      <c r="E1" t="s">
        <v>6</v>
      </c>
      <c r="F1" t="s">
        <v>63</v>
      </c>
      <c r="G1" t="s">
        <v>86</v>
      </c>
      <c r="H1" t="s">
        <v>132</v>
      </c>
      <c r="I1" t="s">
        <v>131</v>
      </c>
      <c r="J1" t="s">
        <v>7</v>
      </c>
      <c r="K1" t="s">
        <v>15</v>
      </c>
      <c r="L1" t="s">
        <v>129</v>
      </c>
      <c r="M1" t="s">
        <v>10</v>
      </c>
      <c r="N1" t="s">
        <v>130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6204-607F-475C-8B54-659285EDCD44}">
  <sheetPr codeName="Sheet25">
    <tabColor theme="9" tint="0.79998168889431442"/>
  </sheetPr>
  <dimension ref="A1:L3"/>
  <sheetViews>
    <sheetView workbookViewId="0">
      <selection activeCell="A3" sqref="A3:L28"/>
    </sheetView>
  </sheetViews>
  <sheetFormatPr defaultRowHeight="14.4" x14ac:dyDescent="0.3"/>
  <cols>
    <col min="1" max="1" width="10.21875" bestFit="1" customWidth="1"/>
    <col min="2" max="2" width="11.6640625" bestFit="1" customWidth="1"/>
    <col min="3" max="3" width="10.109375" bestFit="1" customWidth="1"/>
    <col min="4" max="4" width="13.21875" bestFit="1" customWidth="1"/>
    <col min="5" max="5" width="6.88671875" bestFit="1" customWidth="1"/>
    <col min="6" max="6" width="7.33203125" bestFit="1" customWidth="1"/>
    <col min="7" max="7" width="6.21875" bestFit="1" customWidth="1"/>
    <col min="8" max="8" width="7.33203125" bestFit="1" customWidth="1"/>
    <col min="9" max="9" width="6.109375" bestFit="1" customWidth="1"/>
    <col min="10" max="10" width="11.109375" bestFit="1" customWidth="1"/>
    <col min="11" max="11" width="6.5546875" bestFit="1" customWidth="1"/>
    <col min="12" max="12" width="4.21875" bestFit="1" customWidth="1"/>
  </cols>
  <sheetData>
    <row r="1" spans="1:12" ht="21" x14ac:dyDescent="0.4">
      <c r="A1" s="27" t="s">
        <v>317</v>
      </c>
    </row>
    <row r="3" spans="1:12" x14ac:dyDescent="0.3">
      <c r="A3" t="s">
        <v>60</v>
      </c>
      <c r="B3" t="s">
        <v>128</v>
      </c>
      <c r="C3" t="s">
        <v>133</v>
      </c>
      <c r="D3" t="s">
        <v>10</v>
      </c>
      <c r="E3" t="s">
        <v>63</v>
      </c>
      <c r="F3" t="s">
        <v>86</v>
      </c>
      <c r="G3" t="s">
        <v>132</v>
      </c>
      <c r="H3" t="s">
        <v>131</v>
      </c>
      <c r="I3" t="s">
        <v>7</v>
      </c>
      <c r="J3" t="s">
        <v>15</v>
      </c>
      <c r="K3" t="s">
        <v>129</v>
      </c>
      <c r="L3" t="s">
        <v>130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CDE6-171A-440D-A9E2-D61EFEA811AB}">
  <sheetPr codeName="Sheet26">
    <tabColor theme="9" tint="0.79998168889431442"/>
  </sheetPr>
  <dimension ref="A1:L4"/>
  <sheetViews>
    <sheetView tabSelected="1" workbookViewId="0">
      <selection activeCell="B9" sqref="B9"/>
    </sheetView>
  </sheetViews>
  <sheetFormatPr defaultRowHeight="14.4" x14ac:dyDescent="0.3"/>
  <cols>
    <col min="1" max="1" width="25.44140625" bestFit="1" customWidth="1"/>
    <col min="2" max="2" width="12.21875" bestFit="1" customWidth="1"/>
    <col min="3" max="3" width="11.44140625" bestFit="1" customWidth="1"/>
    <col min="4" max="4" width="27.109375" bestFit="1" customWidth="1"/>
    <col min="5" max="5" width="6.88671875" bestFit="1" customWidth="1"/>
    <col min="6" max="6" width="7.33203125" bestFit="1" customWidth="1"/>
    <col min="7" max="7" width="6.21875" bestFit="1" customWidth="1"/>
    <col min="8" max="8" width="7.33203125" bestFit="1" customWidth="1"/>
    <col min="9" max="9" width="6.109375" bestFit="1" customWidth="1"/>
    <col min="10" max="10" width="11.109375" bestFit="1" customWidth="1"/>
    <col min="11" max="11" width="6.5546875" bestFit="1" customWidth="1"/>
    <col min="12" max="12" width="4.21875" bestFit="1" customWidth="1"/>
  </cols>
  <sheetData>
    <row r="1" spans="1:12" ht="21" x14ac:dyDescent="0.4">
      <c r="A1" s="27" t="s">
        <v>318</v>
      </c>
    </row>
    <row r="3" spans="1:12" x14ac:dyDescent="0.3">
      <c r="A3" t="s">
        <v>60</v>
      </c>
      <c r="B3" t="s">
        <v>128</v>
      </c>
      <c r="C3" t="s">
        <v>133</v>
      </c>
      <c r="D3" t="s">
        <v>10</v>
      </c>
      <c r="E3" t="s">
        <v>63</v>
      </c>
      <c r="F3" t="s">
        <v>86</v>
      </c>
      <c r="G3" t="s">
        <v>132</v>
      </c>
      <c r="H3" t="s">
        <v>131</v>
      </c>
      <c r="I3" t="s">
        <v>7</v>
      </c>
      <c r="J3" t="s">
        <v>15</v>
      </c>
      <c r="K3" t="s">
        <v>129</v>
      </c>
      <c r="L3" t="s">
        <v>130</v>
      </c>
    </row>
    <row r="4" spans="1:12" x14ac:dyDescent="0.3">
      <c r="A4" t="s">
        <v>313</v>
      </c>
      <c r="B4" t="s">
        <v>554</v>
      </c>
      <c r="C4" t="s">
        <v>555</v>
      </c>
      <c r="D4" t="s">
        <v>454</v>
      </c>
      <c r="E4" t="s">
        <v>339</v>
      </c>
      <c r="F4" t="s">
        <v>87</v>
      </c>
      <c r="G4" t="s">
        <v>87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4015B81-BA0D-44E0-B2D6-94BE4F981B7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6B61B44-7963-4C93-9F31-403F6E047387}">
  <ds:schemaRefs/>
</ds:datastoreItem>
</file>

<file path=customXml/itemProps3.xml><?xml version="1.0" encoding="utf-8"?>
<ds:datastoreItem xmlns:ds="http://schemas.openxmlformats.org/officeDocument/2006/customXml" ds:itemID="{DC406B50-1B41-4FC0-BC98-B2D27C8114DA}">
  <ds:schemaRefs/>
</ds:datastoreItem>
</file>

<file path=customXml/itemProps4.xml><?xml version="1.0" encoding="utf-8"?>
<ds:datastoreItem xmlns:ds="http://schemas.openxmlformats.org/officeDocument/2006/customXml" ds:itemID="{4FC7F4F7-7BC5-4EAF-A2EE-FFFD6847263C}">
  <ds:schemaRefs/>
</ds:datastoreItem>
</file>

<file path=customXml/itemProps5.xml><?xml version="1.0" encoding="utf-8"?>
<ds:datastoreItem xmlns:ds="http://schemas.openxmlformats.org/officeDocument/2006/customXml" ds:itemID="{9332462A-DE09-4E9E-8CD6-C01B5B8B772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Dashboard</vt:lpstr>
      <vt:lpstr>EmailNotification</vt:lpstr>
      <vt:lpstr>StowList</vt:lpstr>
      <vt:lpstr>CustomerEmail</vt:lpstr>
      <vt:lpstr>PortConverter</vt:lpstr>
      <vt:lpstr>AKL</vt:lpstr>
      <vt:lpstr>TRG</vt:lpstr>
      <vt:lpstr>LYT</vt:lpstr>
      <vt:lpstr>NSN</vt:lpstr>
      <vt:lpstr>NPE</vt:lpstr>
      <vt:lpstr>WLG</vt:lpstr>
      <vt:lpstr>Calculation</vt:lpstr>
      <vt:lpstr>ForCor</vt:lpstr>
      <vt:lpstr>Data</vt:lpstr>
      <vt:lpstr>Sheet8</vt:lpstr>
      <vt:lpstr>Sheet7</vt:lpstr>
      <vt:lpstr>Sheet6</vt:lpstr>
      <vt:lpstr>Sheet5</vt:lpstr>
      <vt:lpstr>Sheet4</vt:lpstr>
      <vt:lpstr>Sheet3</vt:lpstr>
      <vt:lpstr>Sheet2</vt:lpstr>
      <vt:lpstr>Sheet1</vt:lpstr>
      <vt:lpstr>Merged</vt:lpstr>
      <vt:lpstr>DSR</vt:lpstr>
      <vt:lpstr>CARGO</vt:lpstr>
      <vt:lpstr>LISA</vt:lpstr>
      <vt:lpstr>CData</vt:lpstr>
      <vt:lpstr>OnDeck</vt:lpstr>
      <vt:lpstr>UnderDeck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PLYUSNIN Vladislav</dc:creator>
  <cp:lastModifiedBy>PLYUSNIN Vladislav</cp:lastModifiedBy>
  <dcterms:created xsi:type="dcterms:W3CDTF">2015-06-05T18:17:20Z</dcterms:created>
  <dcterms:modified xsi:type="dcterms:W3CDTF">2024-07-10T04:31:56Z</dcterms:modified>
</cp:coreProperties>
</file>