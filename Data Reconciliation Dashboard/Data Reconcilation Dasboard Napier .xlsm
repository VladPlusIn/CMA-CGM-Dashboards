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cmacgmgroup-my.sharepoint.com/personal/akd_vplyusnin_cma-cgm_com/Documents/Desktop/project/Napier LL/"/>
    </mc:Choice>
  </mc:AlternateContent>
  <xr:revisionPtr revIDLastSave="20" documentId="8_{B10D705A-FF0F-4AD1-B288-203DD84A3838}" xr6:coauthVersionLast="45" xr6:coauthVersionMax="45" xr10:uidLastSave="{273CCF2D-24FC-4815-B2FE-0155F0EA2511}"/>
  <bookViews>
    <workbookView xWindow="-11196" yWindow="13008" windowWidth="23256" windowHeight="12576" xr2:uid="{976CB409-082E-489E-87B7-01C786717C73}"/>
  </bookViews>
  <sheets>
    <sheet name="Dashboard" sheetId="5" r:id="rId1"/>
    <sheet name="CMADS" sheetId="18" r:id="rId2"/>
    <sheet name="NapierRAW" sheetId="11" r:id="rId3"/>
    <sheet name="CMANapier" sheetId="17" r:id="rId4"/>
    <sheet name="NapierCMARAW" sheetId="16" r:id="rId5"/>
    <sheet name="LaraRAW" sheetId="12" r:id="rId6"/>
    <sheet name="Napier" sheetId="14" r:id="rId7"/>
    <sheet name="Lara" sheetId="2" r:id="rId8"/>
    <sheet name="Calculation" sheetId="4" r:id="rId9"/>
  </sheets>
  <definedNames>
    <definedName name="AKD0304405_">#REF!</definedName>
    <definedName name="AKD0305596_">#REF!</definedName>
    <definedName name="AKD0305605_">#REF!</definedName>
    <definedName name="AKD0305733_">#REF!</definedName>
    <definedName name="AKD0305737_">#REF!</definedName>
    <definedName name="AKD0305742_">#REF!</definedName>
    <definedName name="AKD0305969_">#REF!</definedName>
    <definedName name="AKD0305973_">#REF!</definedName>
    <definedName name="AKD0305974_">#REF!</definedName>
    <definedName name="BookingCheck">#REF!</definedName>
    <definedName name="Bookings">_xlfn.UNIQUE(#REF!)</definedName>
    <definedName name="ContainerLARA">INDEX(Contianer_in_LARA_BOOKING,1):INDEX(Contianer_in_LARA_BOOKING,COUNTA(#REF!))</definedName>
    <definedName name="ContainerZespri">INDEX(Contianer_in_ZSP_BOOKING,1):INDEX(Contianer_in_ZSP_BOOKING,COUNTA(#REF!))</definedName>
    <definedName name="Contianer_in_LARA_BOOKING">#REF!</definedName>
    <definedName name="Contianer_in_ZSP_BOOKING">#REF!</definedName>
    <definedName name="ExternalData_1" localSheetId="3" hidden="1">CMANapier!$A$1:$M$2</definedName>
    <definedName name="ExternalData_1" localSheetId="0" hidden="1">Dashboard!#REF!</definedName>
    <definedName name="ExternalData_1" localSheetId="6" hidden="1">Napier!$A$1:$K$2</definedName>
    <definedName name="ExternalData_2" localSheetId="1" hidden="1">CMADS!$B$24:$V$25</definedName>
    <definedName name="ExternalData_2" localSheetId="0" hidden="1">Dashboard!$B$23:$AB$24</definedName>
    <definedName name="ExternalData_2" localSheetId="7" hidden="1">Lara!$A$1:$H$2</definedName>
    <definedName name="Linked_to_booking">#REF!</definedName>
    <definedName name="LinkedBookings">INDEX(Linked_to_booking,1):INDEX(Linked_to_booking,COUNTA(#REF!))</definedName>
    <definedName name="ZESPRI_Booking">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" i="4" l="1"/>
  <c r="B16" i="4" s="1"/>
  <c r="O3" i="4"/>
  <c r="M3" i="4"/>
  <c r="L3" i="4"/>
  <c r="K3" i="4"/>
  <c r="J3" i="4"/>
  <c r="F3" i="4"/>
  <c r="E3" i="4"/>
  <c r="D3" i="4"/>
  <c r="F16" i="4"/>
  <c r="E22" i="18" s="1"/>
  <c r="D16" i="4"/>
  <c r="E20" i="18" s="1"/>
  <c r="G16" i="4"/>
  <c r="G3" i="4"/>
  <c r="I16" i="4"/>
  <c r="H16" i="4"/>
  <c r="M16" i="4"/>
  <c r="L16" i="4"/>
  <c r="K16" i="4"/>
  <c r="J16" i="4"/>
  <c r="A15" i="4"/>
  <c r="B15" i="4"/>
  <c r="C16" i="4" l="1"/>
  <c r="B20" i="18" s="1"/>
  <c r="V21" i="18"/>
  <c r="V20" i="18"/>
  <c r="P21" i="18"/>
  <c r="P20" i="18"/>
  <c r="L21" i="18"/>
  <c r="L20" i="18"/>
  <c r="L22" i="18"/>
  <c r="E16" i="4"/>
  <c r="E21" i="18" s="1"/>
  <c r="M20" i="5"/>
  <c r="I3" i="4"/>
  <c r="I20" i="5" s="1"/>
  <c r="H3" i="4"/>
  <c r="I19" i="5" s="1"/>
  <c r="I21" i="5"/>
  <c r="A7" i="4"/>
  <c r="B19" i="5"/>
  <c r="B21" i="18" l="1"/>
  <c r="A8" i="4"/>
  <c r="C11" i="4"/>
  <c r="Z20" i="5" s="1"/>
  <c r="N3" i="4"/>
  <c r="S19" i="5" l="1"/>
  <c r="E20" i="5"/>
  <c r="B21" i="5"/>
  <c r="C8" i="4"/>
  <c r="B11" i="4"/>
  <c r="Z19" i="5" s="1"/>
  <c r="S20" i="5"/>
  <c r="M19" i="5"/>
  <c r="E19" i="5"/>
  <c r="B3" i="4" a="1"/>
  <c r="B3" i="4" s="1"/>
  <c r="C3" i="4" s="1"/>
  <c r="B20" i="5" l="1"/>
  <c r="A16" i="4"/>
  <c r="B22" i="18"/>
  <c r="B8" i="4"/>
  <c r="D21" i="5"/>
  <c r="E21" i="5"/>
  <c r="E4" i="4"/>
  <c r="H4" i="4"/>
  <c r="N4" i="4"/>
  <c r="E8" i="4" l="1"/>
  <c r="C14" i="5" l="1"/>
  <c r="C14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05C0063-137F-4EAC-91B9-4A9A80C91968}" keepAlive="1" name="Query - CMA bookings" description="Connection to the 'CMA bookings' query in the workbook." type="5" refreshedVersion="6" background="1" saveData="1">
    <dbPr connection="Provider=Microsoft.Mashup.OleDb.1;Data Source=$Workbook$;Location=&quot;CMA bookings&quot;;Extended Properties=&quot;&quot;" command="SELECT * FROM [CMA bookings]"/>
  </connection>
  <connection id="2" xr16:uid="{C80B7DF4-F6BB-4930-9EA1-2CF1C56BCD40}" keepAlive="1" name="Query - Lara Cargo" description="Connection to the 'Lara Cargo' query in the workbook." type="5" refreshedVersion="6" background="1" saveData="1">
    <dbPr connection="Provider=Microsoft.Mashup.OleDb.1;Data Source=$Workbook$;Location=Lara Cargo;Extended Properties=&quot;&quot;" command="SELECT * FROM [Lara Cargo]"/>
  </connection>
  <connection id="3" xr16:uid="{DE4E3538-FD01-4723-9089-ADA2894AA113}" keepAlive="1" name="Query - Merge1" description="Connection to the 'Merge1' query in the workbook." type="5" refreshedVersion="6" background="1" saveData="1">
    <dbPr connection="Provider=Microsoft.Mashup.OleDb.1;Data Source=$Workbook$;Location=Merge1;Extended Properties=&quot;&quot;" command="SELECT * FROM [Merge1]"/>
  </connection>
  <connection id="4" xr16:uid="{B19002B4-3299-4EEF-8E34-CD5BF4CF8ACA}" keepAlive="1" name="Query - Merge2" description="Connection to the 'Merge2' query in the workbook." type="5" refreshedVersion="6" background="1" saveData="1">
    <dbPr connection="Provider=Microsoft.Mashup.OleDb.1;Data Source=$Workbook$;Location=Merge2;Extended Properties=&quot;&quot;" command="SELECT * FROM [Merge2]"/>
  </connection>
  <connection id="5" xr16:uid="{695CEE6D-B123-4D47-B679-39145295BCEB}" keepAlive="1" name="Query - NapierCMA" description="Connection to the 'NapierCMA' query in the workbook." type="5" refreshedVersion="6" background="1" saveData="1">
    <dbPr connection="Provider=Microsoft.Mashup.OleDb.1;Data Source=$Workbook$;Location=NapierCMA;Extended Properties=&quot;&quot;" command="SELECT * FROM [NapierCMA]"/>
  </connection>
  <connection id="6" xr16:uid="{425C4895-2F5A-4E0E-83EF-2FA7668158F9}" keepAlive="1" name="Query - NapierLL" description="Connection to the 'NapierLL' query in the workbook." type="5" refreshedVersion="6" background="1" saveData="1">
    <dbPr connection="Provider=Microsoft.Mashup.OleDb.1;Data Source=$Workbook$;Location=NapierLL;Extended Properties=&quot;&quot;" command="SELECT * FROM [NapierLL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<sst xmlns="http://schemas.openxmlformats.org/spreadsheetml/2006/main" count="282" uniqueCount="210">
  <si>
    <t>Cont.Id</t>
  </si>
  <si>
    <t>Ref</t>
  </si>
  <si>
    <t>POO</t>
  </si>
  <si>
    <t xml:space="preserve">Total Contianers </t>
  </si>
  <si>
    <t xml:space="preserve">Completed </t>
  </si>
  <si>
    <t>FPD</t>
  </si>
  <si>
    <t>Count</t>
  </si>
  <si>
    <t>ISO id</t>
  </si>
  <si>
    <t>Operator</t>
  </si>
  <si>
    <t>Trade Operator</t>
  </si>
  <si>
    <t>Idle time</t>
  </si>
  <si>
    <t>Custom</t>
  </si>
  <si>
    <t>Nomination</t>
  </si>
  <si>
    <t>Track</t>
  </si>
  <si>
    <t>Stack</t>
  </si>
  <si>
    <t>RF</t>
  </si>
  <si>
    <t>NOR</t>
  </si>
  <si>
    <t>NO ROLL</t>
  </si>
  <si>
    <t>High Priority</t>
  </si>
  <si>
    <t>MTY</t>
  </si>
  <si>
    <t>HZ</t>
  </si>
  <si>
    <t>FX</t>
  </si>
  <si>
    <t>T</t>
  </si>
  <si>
    <t>T-</t>
  </si>
  <si>
    <t>T+</t>
  </si>
  <si>
    <t>OOG</t>
  </si>
  <si>
    <t>OH</t>
  </si>
  <si>
    <t>OWR</t>
  </si>
  <si>
    <t>OWL</t>
  </si>
  <si>
    <t>OLF</t>
  </si>
  <si>
    <t>OLR</t>
  </si>
  <si>
    <t>OPT</t>
  </si>
  <si>
    <t>BB</t>
  </si>
  <si>
    <t>PDT RANK</t>
  </si>
  <si>
    <t>DETAIL RANK</t>
  </si>
  <si>
    <t>TTL Teus</t>
  </si>
  <si>
    <t>TEU</t>
  </si>
  <si>
    <t>Lost</t>
  </si>
  <si>
    <t>Weight</t>
  </si>
  <si>
    <t>VGM</t>
  </si>
  <si>
    <t>SQ</t>
  </si>
  <si>
    <t>Cust. Type</t>
  </si>
  <si>
    <t>Decidee</t>
  </si>
  <si>
    <t>Named Account</t>
  </si>
  <si>
    <t>Consignee</t>
  </si>
  <si>
    <t>Commodity</t>
  </si>
  <si>
    <t>Status</t>
  </si>
  <si>
    <t>BL</t>
  </si>
  <si>
    <t>Bkg.Agt</t>
  </si>
  <si>
    <t>Bkg.Name</t>
  </si>
  <si>
    <t>Bkg.Date</t>
  </si>
  <si>
    <t>Alt Base Port POL</t>
  </si>
  <si>
    <t>POL</t>
  </si>
  <si>
    <t>POD</t>
  </si>
  <si>
    <t>Alt Base Port POD</t>
  </si>
  <si>
    <t>POD TERMINAL</t>
  </si>
  <si>
    <t>Disch. Inst.</t>
  </si>
  <si>
    <t>SO</t>
  </si>
  <si>
    <t>Cut</t>
  </si>
  <si>
    <t>Source</t>
  </si>
  <si>
    <t>ETA Prev Leg</t>
  </si>
  <si>
    <t>Service</t>
  </si>
  <si>
    <t>Vessel</t>
  </si>
  <si>
    <t>Voyage</t>
  </si>
  <si>
    <t>ETA Current Leg</t>
  </si>
  <si>
    <t>POL TERMINAL</t>
  </si>
  <si>
    <t>LARA</t>
  </si>
  <si>
    <t>From</t>
  </si>
  <si>
    <t>Comments</t>
  </si>
  <si>
    <t>Comment Type</t>
  </si>
  <si>
    <t>POL2</t>
  </si>
  <si>
    <t>Service3</t>
  </si>
  <si>
    <t>Vessel4</t>
  </si>
  <si>
    <t>Voyage5</t>
  </si>
  <si>
    <t>POD6</t>
  </si>
  <si>
    <t>POD TERMINAL7</t>
  </si>
  <si>
    <t>Disch. Inst.8</t>
  </si>
  <si>
    <t>Service9</t>
  </si>
  <si>
    <t>Vessel10</t>
  </si>
  <si>
    <t>Voyage11</t>
  </si>
  <si>
    <t>POD:</t>
  </si>
  <si>
    <r>
      <rPr>
        <sz val="11"/>
        <color theme="1"/>
        <rFont val="Calibri"/>
        <family val="2"/>
      </rPr>
      <t>TEMPᵒ</t>
    </r>
    <r>
      <rPr>
        <sz val="11"/>
        <color theme="1"/>
        <rFont val="Calibri"/>
        <family val="2"/>
        <scheme val="minor"/>
      </rPr>
      <t>:</t>
    </r>
  </si>
  <si>
    <t>Container ID</t>
  </si>
  <si>
    <t>Line Op</t>
  </si>
  <si>
    <t>ISO</t>
  </si>
  <si>
    <t>Booking Nbr</t>
  </si>
  <si>
    <t>Transit State</t>
  </si>
  <si>
    <t>CEDO</t>
  </si>
  <si>
    <t>Dest</t>
  </si>
  <si>
    <t>Temp Required</t>
  </si>
  <si>
    <t>Vent Req</t>
  </si>
  <si>
    <t>Humidity</t>
  </si>
  <si>
    <t>Hazardous</t>
  </si>
  <si>
    <t>Booking Check</t>
  </si>
  <si>
    <t>Container check</t>
  </si>
  <si>
    <t>Temp chek</t>
  </si>
  <si>
    <t>POD check</t>
  </si>
  <si>
    <t>FPD check</t>
  </si>
  <si>
    <t>OOG check</t>
  </si>
  <si>
    <t>Haz check</t>
  </si>
  <si>
    <t>CEDO check</t>
  </si>
  <si>
    <t>FPD:</t>
  </si>
  <si>
    <t>HAZ</t>
  </si>
  <si>
    <t>Port Containers</t>
  </si>
  <si>
    <t>LARA Containers</t>
  </si>
  <si>
    <t>Port POD</t>
  </si>
  <si>
    <t>Port FPD</t>
  </si>
  <si>
    <t>Port OOG</t>
  </si>
  <si>
    <t>Port HAZ</t>
  </si>
  <si>
    <t>Shipper Name</t>
  </si>
  <si>
    <t>COMPLETED</t>
  </si>
  <si>
    <t>NOT COMPLETED ANL</t>
  </si>
  <si>
    <t>NOT COMPLETED CMA</t>
  </si>
  <si>
    <t>%</t>
  </si>
  <si>
    <t>CONTAINERS NOT LINKED</t>
  </si>
  <si>
    <t>CONTAINERS NOT PRE-ADVISED</t>
  </si>
  <si>
    <r>
      <t xml:space="preserve">BOOKING MIS </t>
    </r>
    <r>
      <rPr>
        <sz val="11"/>
        <color theme="1"/>
        <rFont val="Calibri"/>
        <family val="2"/>
      </rPr>
      <t>№</t>
    </r>
    <r>
      <rPr>
        <sz val="11"/>
        <color theme="1"/>
        <rFont val="Calibri"/>
        <family val="2"/>
        <scheme val="minor"/>
      </rPr>
      <t>:</t>
    </r>
  </si>
  <si>
    <t>VENTILATION</t>
  </si>
  <si>
    <t>HUMIDITY</t>
  </si>
  <si>
    <t>CEDO COMPLETED</t>
  </si>
  <si>
    <t>CEDO NOT COMPLETED</t>
  </si>
  <si>
    <t xml:space="preserve">                    DISCREPANCIES</t>
  </si>
  <si>
    <t>Vent</t>
  </si>
  <si>
    <t>Port Booking</t>
  </si>
  <si>
    <t>LARA Booking</t>
  </si>
  <si>
    <t>Transit</t>
  </si>
  <si>
    <t>Port T</t>
  </si>
  <si>
    <t>LARA T</t>
  </si>
  <si>
    <t>LARA POD</t>
  </si>
  <si>
    <t>LARA FPD</t>
  </si>
  <si>
    <t>Hum</t>
  </si>
  <si>
    <t>Napier Load List preparation DASHBOARD</t>
  </si>
  <si>
    <t>Container No</t>
  </si>
  <si>
    <t>Booking No</t>
  </si>
  <si>
    <t>Tr State</t>
  </si>
  <si>
    <t>Cmdty</t>
  </si>
  <si>
    <t>Temp</t>
  </si>
  <si>
    <t>Hazard</t>
  </si>
  <si>
    <t>CMA bookings</t>
  </si>
  <si>
    <t>CMA Bkg.Name</t>
  </si>
  <si>
    <t>CMA POD</t>
  </si>
  <si>
    <t>CMA FPD</t>
  </si>
  <si>
    <t>CMA Container</t>
  </si>
  <si>
    <t>CMA T</t>
  </si>
  <si>
    <t>EMPTY BOOKINGS ANL</t>
  </si>
  <si>
    <t>EMPTY BOOKINGS CMA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</si>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</sst>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</font>
    <font>
      <b/>
      <sz val="12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3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9"/>
      <color rgb="FFFFFFFF"/>
      <name val="Times New Roman"/>
      <family val="1"/>
    </font>
    <font>
      <b/>
      <sz val="11"/>
      <color theme="0" tint="-0.499984740745262"/>
      <name val="Calibri"/>
      <family val="2"/>
      <scheme val="minor"/>
    </font>
    <font>
      <b/>
      <sz val="9"/>
      <color indexed="9"/>
      <name val="Arial"/>
      <family val="2"/>
    </font>
    <font>
      <sz val="9"/>
      <color rgb="FF000000"/>
      <name val="Times New Roman"/>
      <family val="1"/>
    </font>
    <font>
      <sz val="9"/>
      <color rgb="FF000000"/>
      <name val="Times New Roman"/>
      <family val="1"/>
    </font>
    <font>
      <sz val="9"/>
      <color rgb="FFFFFFFF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rgb="FF102240"/>
        <bgColor indexed="64"/>
      </patternFill>
    </fill>
    <fill>
      <patternFill patternType="solid">
        <fgColor rgb="FF808080"/>
      </patternFill>
    </fill>
    <fill>
      <patternFill patternType="solid">
        <fgColor rgb="FFFFFFFF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B5B5"/>
        <bgColor indexed="64"/>
      </patternFill>
    </fill>
    <fill>
      <patternFill patternType="solid">
        <fgColor indexed="8"/>
      </patternFill>
    </fill>
    <fill>
      <patternFill patternType="solid">
        <fgColor rgb="FF00206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</fills>
  <borders count="24">
    <border>
      <left/>
      <right/>
      <top/>
      <bottom/>
      <diagonal/>
    </border>
    <border>
      <left style="thick">
        <color indexed="8"/>
      </left>
      <right style="thick">
        <color indexed="8"/>
      </right>
      <top/>
      <bottom style="thick">
        <color indexed="8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/>
      <right style="thin">
        <color rgb="FFA9A9A9"/>
      </right>
      <top/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 style="thin">
        <color rgb="FFA9A9A9"/>
      </bottom>
      <diagonal/>
    </border>
    <border>
      <left style="thin">
        <color rgb="FFA9A9A9"/>
      </left>
      <right/>
      <top/>
      <bottom style="thin">
        <color rgb="FFA9A9A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ck">
        <color indexed="8"/>
      </left>
      <right style="thick">
        <color indexed="8"/>
      </right>
      <top style="thick">
        <color indexed="8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</borders>
  <cellStyleXfs count="6">
    <xf numFmtId="0" fontId="0" fillId="0" borderId="0"/>
    <xf numFmtId="9" fontId="6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4" applyBorder="0"/>
    <xf numFmtId="0" fontId="6" fillId="8" borderId="4" applyBorder="0"/>
  </cellStyleXfs>
  <cellXfs count="69">
    <xf numFmtId="0" fontId="0" fillId="0" borderId="0" xfId="0"/>
    <xf numFmtId="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/>
    <xf numFmtId="0" fontId="0" fillId="0" borderId="0" xfId="0" applyBorder="1"/>
    <xf numFmtId="0" fontId="0" fillId="2" borderId="0" xfId="0" applyFill="1" applyBorder="1"/>
    <xf numFmtId="0" fontId="3" fillId="0" borderId="0" xfId="0" applyFont="1" applyBorder="1" applyAlignment="1">
      <alignment vertical="center"/>
    </xf>
    <xf numFmtId="0" fontId="7" fillId="0" borderId="0" xfId="0" applyFont="1"/>
    <xf numFmtId="9" fontId="11" fillId="0" borderId="0" xfId="0" applyNumberFormat="1" applyFont="1"/>
    <xf numFmtId="0" fontId="11" fillId="0" borderId="0" xfId="0" applyFont="1" applyAlignment="1">
      <alignment horizontal="right"/>
    </xf>
    <xf numFmtId="0" fontId="13" fillId="3" borderId="6" xfId="0" applyFont="1" applyFill="1" applyBorder="1" applyAlignment="1">
      <alignment horizontal="center" vertical="center" wrapText="1" readingOrder="1"/>
    </xf>
    <xf numFmtId="0" fontId="13" fillId="3" borderId="7" xfId="0" applyFont="1" applyFill="1" applyBorder="1" applyAlignment="1">
      <alignment horizontal="center" vertical="center" wrapText="1" readingOrder="1"/>
    </xf>
    <xf numFmtId="0" fontId="13" fillId="3" borderId="8" xfId="0" applyFont="1" applyFill="1" applyBorder="1" applyAlignment="1">
      <alignment horizontal="center" vertical="center" wrapText="1" readingOrder="1"/>
    </xf>
    <xf numFmtId="0" fontId="0" fillId="0" borderId="3" xfId="0" applyNumberFormat="1" applyBorder="1"/>
    <xf numFmtId="0" fontId="0" fillId="2" borderId="9" xfId="0" applyFill="1" applyBorder="1"/>
    <xf numFmtId="0" fontId="10" fillId="0" borderId="9" xfId="0" applyFont="1" applyBorder="1" applyAlignment="1"/>
    <xf numFmtId="0" fontId="10" fillId="0" borderId="9" xfId="0" applyFont="1" applyBorder="1" applyAlignment="1">
      <alignment horizontal="left"/>
    </xf>
    <xf numFmtId="0" fontId="0" fillId="0" borderId="9" xfId="0" applyBorder="1"/>
    <xf numFmtId="0" fontId="0" fillId="0" borderId="9" xfId="0" applyBorder="1" applyAlignment="1"/>
    <xf numFmtId="0" fontId="12" fillId="0" borderId="9" xfId="0" applyFont="1" applyBorder="1"/>
    <xf numFmtId="0" fontId="14" fillId="0" borderId="0" xfId="0" applyFont="1" applyAlignment="1">
      <alignment horizontal="left"/>
    </xf>
    <xf numFmtId="0" fontId="0" fillId="0" borderId="0" xfId="0" applyFill="1"/>
    <xf numFmtId="0" fontId="0" fillId="0" borderId="9" xfId="0" applyFill="1" applyBorder="1"/>
    <xf numFmtId="0" fontId="14" fillId="0" borderId="9" xfId="0" applyFont="1" applyBorder="1" applyAlignment="1">
      <alignment horizontal="left"/>
    </xf>
    <xf numFmtId="9" fontId="8" fillId="0" borderId="0" xfId="1" applyFont="1" applyAlignment="1">
      <alignment horizontal="left"/>
    </xf>
    <xf numFmtId="0" fontId="6" fillId="5" borderId="4" xfId="2" applyNumberFormat="1" applyBorder="1"/>
    <xf numFmtId="0" fontId="6" fillId="5" borderId="3" xfId="2" applyNumberFormat="1" applyBorder="1"/>
    <xf numFmtId="0" fontId="6" fillId="6" borderId="4" xfId="3" applyNumberFormat="1" applyBorder="1"/>
    <xf numFmtId="0" fontId="6" fillId="8" borderId="4" xfId="5" applyBorder="1"/>
    <xf numFmtId="0" fontId="6" fillId="8" borderId="3" xfId="5" applyBorder="1"/>
    <xf numFmtId="0" fontId="6" fillId="8" borderId="4" xfId="5" applyNumberFormat="1" applyBorder="1"/>
    <xf numFmtId="0" fontId="5" fillId="0" borderId="0" xfId="0" applyFont="1" applyBorder="1" applyAlignment="1">
      <alignment vertical="center"/>
    </xf>
    <xf numFmtId="0" fontId="15" fillId="9" borderId="0" xfId="0" applyFont="1" applyFill="1" applyAlignment="1">
      <alignment horizontal="left" vertical="top" wrapText="1" readingOrder="1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9" fontId="0" fillId="0" borderId="0" xfId="1" applyFon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10" borderId="0" xfId="0" applyFill="1"/>
    <xf numFmtId="0" fontId="0" fillId="0" borderId="18" xfId="0" applyBorder="1"/>
    <xf numFmtId="0" fontId="0" fillId="0" borderId="19" xfId="0" applyBorder="1"/>
    <xf numFmtId="0" fontId="12" fillId="0" borderId="20" xfId="0" applyFont="1" applyBorder="1" applyAlignment="1"/>
    <xf numFmtId="0" fontId="9" fillId="0" borderId="20" xfId="0" applyFont="1" applyBorder="1" applyAlignment="1"/>
    <xf numFmtId="0" fontId="0" fillId="0" borderId="20" xfId="0" applyBorder="1"/>
    <xf numFmtId="0" fontId="12" fillId="0" borderId="20" xfId="0" applyFont="1" applyBorder="1" applyAlignment="1">
      <alignment horizontal="left"/>
    </xf>
    <xf numFmtId="0" fontId="10" fillId="0" borderId="20" xfId="0" applyFont="1" applyBorder="1"/>
    <xf numFmtId="0" fontId="0" fillId="0" borderId="20" xfId="0" applyFill="1" applyBorder="1"/>
    <xf numFmtId="0" fontId="12" fillId="0" borderId="0" xfId="0" applyFont="1"/>
    <xf numFmtId="0" fontId="10" fillId="0" borderId="0" xfId="0" applyFont="1"/>
    <xf numFmtId="0" fontId="9" fillId="0" borderId="0" xfId="0" applyFont="1"/>
    <xf numFmtId="0" fontId="0" fillId="0" borderId="4" xfId="0" applyNumberFormat="1" applyBorder="1"/>
    <xf numFmtId="0" fontId="6" fillId="5" borderId="21" xfId="2" applyNumberFormat="1" applyBorder="1"/>
    <xf numFmtId="0" fontId="6" fillId="8" borderId="21" xfId="5" applyNumberFormat="1" applyBorder="1"/>
    <xf numFmtId="0" fontId="6" fillId="6" borderId="21" xfId="3" applyNumberFormat="1" applyBorder="1"/>
    <xf numFmtId="0" fontId="6" fillId="8" borderId="21" xfId="5" applyBorder="1"/>
    <xf numFmtId="0" fontId="0" fillId="0" borderId="22" xfId="0" applyBorder="1"/>
    <xf numFmtId="49" fontId="16" fillId="4" borderId="5" xfId="0" applyNumberFormat="1" applyFont="1" applyFill="1" applyBorder="1" applyAlignment="1">
      <alignment horizontal="left" vertical="center" wrapText="1" readingOrder="1"/>
    </xf>
    <xf numFmtId="0" fontId="16" fillId="4" borderId="5" xfId="0" applyFont="1" applyFill="1" applyBorder="1" applyAlignment="1">
      <alignment horizontal="center" vertical="center" wrapText="1" readingOrder="1"/>
    </xf>
    <xf numFmtId="49" fontId="17" fillId="11" borderId="5" xfId="0" applyNumberFormat="1" applyFont="1" applyFill="1" applyBorder="1" applyAlignment="1">
      <alignment horizontal="left" vertical="center" wrapText="1" readingOrder="1"/>
    </xf>
    <xf numFmtId="0" fontId="18" fillId="12" borderId="7" xfId="0" applyFont="1" applyFill="1" applyBorder="1" applyAlignment="1">
      <alignment horizontal="center" vertical="center" wrapText="1" readingOrder="1"/>
    </xf>
    <xf numFmtId="49" fontId="16" fillId="11" borderId="5" xfId="0" applyNumberFormat="1" applyFont="1" applyFill="1" applyBorder="1" applyAlignment="1">
      <alignment horizontal="left" vertical="center" wrapText="1" readingOrder="1"/>
    </xf>
    <xf numFmtId="49" fontId="16" fillId="11" borderId="23" xfId="0" applyNumberFormat="1" applyFont="1" applyFill="1" applyBorder="1" applyAlignment="1">
      <alignment horizontal="left" vertical="center" wrapText="1" readingOrder="1"/>
    </xf>
    <xf numFmtId="49" fontId="16" fillId="11" borderId="7" xfId="0" applyNumberFormat="1" applyFont="1" applyFill="1" applyBorder="1" applyAlignment="1">
      <alignment horizontal="left" vertical="center" wrapText="1" readingOrder="1"/>
    </xf>
    <xf numFmtId="0" fontId="7" fillId="0" borderId="0" xfId="0" applyFont="1" applyAlignment="1">
      <alignment horizontal="center"/>
    </xf>
  </cellXfs>
  <cellStyles count="6">
    <cellStyle name="20% - Accent1" xfId="2" builtinId="30"/>
    <cellStyle name="20% - Accent3" xfId="3" builtinId="38"/>
    <cellStyle name="Normal" xfId="0" builtinId="0"/>
    <cellStyle name="Percent" xfId="1" builtinId="5"/>
    <cellStyle name="Style 1" xfId="4" xr:uid="{4C09963F-91D9-4F8E-8C5D-F29DF53A9F7E}"/>
    <cellStyle name="Style 2" xfId="5" xr:uid="{35812BB6-4702-4EAD-932A-AAE6EB69F440}"/>
  </cellStyles>
  <dxfs count="16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  <vertical/>
        <horizontal/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  <vertical/>
        <horizontal/>
      </border>
    </dxf>
    <dxf>
      <numFmt numFmtId="0" formatCode="General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 style="thin">
          <color theme="0" tint="-0.14996795556505021"/>
        </bottom>
        <vertical/>
        <horizontal/>
      </border>
    </dxf>
    <dxf>
      <border outline="0">
        <bottom style="thick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ck">
          <color indexed="8"/>
        </left>
        <right style="thick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numFmt numFmtId="164" formatCode="&quot;True&quot;;&quot;True&quot;;&quot;False&quot;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numFmt numFmtId="164" formatCode="&quot;True&quot;;&quot;True&quot;;&quot;False&quot;"/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numFmt numFmtId="4" formatCode="#,##0.00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fill>
        <patternFill patternType="solid">
          <fgColor indexed="64"/>
          <bgColor indexed="8"/>
        </patternFill>
      </fill>
      <alignment horizontal="left" vertical="top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family val="1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family val="1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family val="1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family val="1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family val="1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family val="1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family val="1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family val="1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family val="1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family val="1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family val="1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family val="1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family val="1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family val="1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border outline="0">
        <top style="thin">
          <color rgb="FFA9A9A9"/>
        </top>
      </border>
    </dxf>
    <dxf>
      <border outline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</dxf>
    <dxf>
      <border outline="0">
        <bottom style="thin">
          <color rgb="FFA9A9A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Times New Roman"/>
        <scheme val="none"/>
      </font>
      <fill>
        <patternFill patternType="solid">
          <fgColor indexed="64"/>
          <bgColor rgb="FF808080"/>
        </patternFill>
      </fill>
      <alignment horizontal="center" vertical="center" textRotation="0" wrapText="1" indent="0" justifyLastLine="0" shrinkToFit="0" readingOrder="1"/>
      <border diagonalUp="0" diagonalDown="0" outline="0">
        <left style="thin">
          <color rgb="FFA9A9A9"/>
        </left>
        <right style="thin">
          <color rgb="FFA9A9A9"/>
        </right>
        <top/>
        <bottom/>
      </border>
    </dxf>
    <dxf>
      <fill>
        <patternFill>
          <bgColor rgb="FFFC9696"/>
        </patternFill>
      </fill>
    </dxf>
    <dxf>
      <fill>
        <patternFill>
          <bgColor theme="0" tint="-4.9989318521683403E-2"/>
        </patternFill>
      </fill>
    </dxf>
    <dxf>
      <border>
        <bottom style="thick">
          <color auto="1"/>
        </bottom>
      </border>
    </dxf>
    <dxf>
      <font>
        <color theme="0"/>
      </font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2" defaultTableStyle="TableStyleMedium2" defaultPivotStyle="PivotStyleLight16">
    <tableStyle name="Table Style 1" pivot="0" count="1" xr9:uid="{52BA53F2-7B53-4AAD-B644-2E64E913439F}">
      <tableStyleElement type="firstColumnStripe" dxfId="163"/>
    </tableStyle>
    <tableStyle name="Table Style 2" pivot="0" count="4" xr9:uid="{D227326D-7D5E-48E4-B5C2-19FF437C3528}">
      <tableStyleElement type="headerRow" dxfId="162"/>
      <tableStyleElement type="totalRow" dxfId="161"/>
      <tableStyleElement type="firstColumnStripe" dxfId="160"/>
      <tableStyleElement type="secondColumnStripe" dxfId="159"/>
    </tableStyle>
  </tableStyles>
  <colors>
    <mruColors>
      <color rgb="FF002060"/>
      <color rgb="FFF5B5B5"/>
      <color rgb="FFFC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NZ" sz="1600"/>
              <a:t>DISCREPANCIES</a:t>
            </a:r>
          </a:p>
        </c:rich>
      </c:tx>
      <c:layout>
        <c:manualLayout>
          <c:xMode val="edge"/>
          <c:yMode val="edge"/>
          <c:x val="0.16345168932535115"/>
          <c:y val="2.604166666666666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92985146519604"/>
          <c:y val="0.19784694881889764"/>
          <c:w val="0.63273010365229765"/>
          <c:h val="0.72912258038057742"/>
        </c:manualLayout>
      </c:layout>
      <c:doughnutChart>
        <c:varyColors val="1"/>
        <c:ser>
          <c:idx val="0"/>
          <c:order val="0"/>
          <c:spPr>
            <a:solidFill>
              <a:srgbClr val="002060"/>
            </a:solidFill>
          </c:spPr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7175-4CEB-A7BC-8AE46B13F3F9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9-7175-4CEB-A7BC-8AE46B13F3F9}"/>
              </c:ext>
            </c:extLst>
          </c:dPt>
          <c:val>
            <c:numRef>
              <c:f>Calculation!$G$3:$I$3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75-4CEB-A7BC-8AE46B13F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  <c:holeSize val="54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NZ" sz="1600"/>
              <a:t>CONTAINERS MIS</a:t>
            </a:r>
          </a:p>
        </c:rich>
      </c:tx>
      <c:layout>
        <c:manualLayout>
          <c:xMode val="edge"/>
          <c:yMode val="edge"/>
          <c:x val="0.18999465344609698"/>
          <c:y val="1.960784313725490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134230745909236"/>
          <c:y val="0.19020740054552007"/>
          <c:w val="0.6097909790979098"/>
          <c:h val="0.72457516339869277"/>
        </c:manualLayout>
      </c:layout>
      <c:doughnutChart>
        <c:varyColors val="1"/>
        <c:ser>
          <c:idx val="0"/>
          <c:order val="0"/>
          <c:spPr>
            <a:solidFill>
              <a:srgbClr val="002060"/>
            </a:solidFill>
            <a:ln>
              <a:noFill/>
            </a:ln>
          </c:spPr>
          <c:dPt>
            <c:idx val="0"/>
            <c:bubble3D val="0"/>
            <c:spPr>
              <a:solidFill>
                <a:srgbClr val="C00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47E-4A31-88FF-A9FBD48338B0}"/>
              </c:ext>
            </c:extLst>
          </c:dPt>
          <c:dPt>
            <c:idx val="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47E-4A31-88FF-A9FBD48338B0}"/>
              </c:ext>
            </c:extLst>
          </c:dPt>
          <c:val>
            <c:numRef>
              <c:f>Calculation!$D$3:$F$3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D5-476A-BF61-E8CCAA4CF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  <c:holeSize val="50"/>
      </c:doughnutChart>
      <c:spPr>
        <a:noFill/>
        <a:ln>
          <a:noFill/>
        </a:ln>
        <a:effectLst>
          <a:outerShdw sx="1000" sy="1000" algn="ctr" rotWithShape="0">
            <a:srgbClr val="000000"/>
          </a:out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NZ" sz="1600"/>
              <a:t>SPECIAL REEFERS</a:t>
            </a:r>
          </a:p>
        </c:rich>
      </c:tx>
      <c:layout>
        <c:manualLayout>
          <c:xMode val="edge"/>
          <c:yMode val="edge"/>
          <c:x val="0.17079904802896423"/>
          <c:y val="3.242542153047989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1160697936013811"/>
          <c:y val="0.22572076350378381"/>
          <c:w val="0.6075967248280012"/>
          <c:h val="0.711621066821900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98F0-4D7A-9BDC-44FEDC908BC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98F0-4D7A-9BDC-44FEDC908BCD}"/>
              </c:ext>
            </c:extLst>
          </c:dPt>
          <c:val>
            <c:numRef>
              <c:f>Calculation!$J$3:$K$3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F0-4D7A-9BDC-44FEDC908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  <c:holeSize val="54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NZ"/>
              <a:t>CEDOs</a:t>
            </a:r>
          </a:p>
        </c:rich>
      </c:tx>
      <c:layout>
        <c:manualLayout>
          <c:xMode val="edge"/>
          <c:yMode val="edge"/>
          <c:x val="0.37569162550333385"/>
          <c:y val="3.293807641633728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1553610146557767"/>
          <c:y val="0.2114837176973432"/>
          <c:w val="0.55824815376338832"/>
          <c:h val="0.71049765024431233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714F-4FEE-9581-6E786DC1C7C1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14F-4FEE-9581-6E786DC1C7C1}"/>
              </c:ext>
            </c:extLst>
          </c:dPt>
          <c:val>
            <c:numRef>
              <c:f>Calculation!$B$11:$C$11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4F-4FEE-9581-6E786DC1C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  <c:holeSize val="54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t" anchorCtr="0"/>
          <a:lstStyle/>
          <a:p>
            <a:pPr>
              <a:defRPr sz="1600"/>
            </a:pPr>
            <a:r>
              <a:rPr lang="en-NZ" sz="1600"/>
              <a:t>SPECIAL CONTAINERS</a:t>
            </a:r>
          </a:p>
        </c:rich>
      </c:tx>
      <c:layout>
        <c:manualLayout>
          <c:xMode val="edge"/>
          <c:yMode val="edge"/>
          <c:x val="0.15590919125763486"/>
          <c:y val="3.906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3680746608481168"/>
          <c:y val="0.21704857693569557"/>
          <c:w val="0.53674203224596928"/>
          <c:h val="0.73382699721128608"/>
        </c:manualLayout>
      </c:layout>
      <c:doughnutChart>
        <c:varyColors val="1"/>
        <c:ser>
          <c:idx val="0"/>
          <c:order val="0"/>
          <c:spPr>
            <a:solidFill>
              <a:srgbClr val="002060"/>
            </a:solidFill>
          </c:spPr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F3A0-4E2E-ADC6-FA1BD5E98F52}"/>
              </c:ext>
            </c:extLst>
          </c:dPt>
          <c:val>
            <c:numRef>
              <c:f>Calculation!$L$3:$M$3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A0-4E2E-ADC6-FA1BD5E98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  <c:holeSize val="54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NZ" sz="1600"/>
              <a:t>COMPLETED</a:t>
            </a:r>
          </a:p>
        </c:rich>
      </c:tx>
      <c:layout>
        <c:manualLayout>
          <c:xMode val="edge"/>
          <c:yMode val="edge"/>
          <c:x val="0.22784977398658499"/>
          <c:y val="1.307189542483660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855068897637793"/>
          <c:y val="0.17460810045803099"/>
          <c:w val="0.674776720618256"/>
          <c:h val="0.7621007668159127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B357-4D47-AD0B-7C1610CEFF8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4-CDE8-4FDB-914F-EF99390727FA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C222-4EF5-8730-679EB589F8C3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Calculation!$A$7:$D$7</c15:sqref>
                  </c15:fullRef>
                </c:ext>
              </c:extLst>
              <c:f>(Calculation!$A$7,Calculation!$C$7:$D$7)</c:f>
              <c:strCache>
                <c:ptCount val="3"/>
                <c:pt idx="0">
                  <c:v>EMPTY BOOKINGS ANL</c:v>
                </c:pt>
                <c:pt idx="1">
                  <c:v>NOT COMPLETED ANL</c:v>
                </c:pt>
                <c:pt idx="2">
                  <c:v>NOT COMPLETED CMA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Calculation!$A$8:$D$8</c15:sqref>
                  </c15:fullRef>
                </c:ext>
              </c:extLst>
              <c:f>(Calculation!$A$8,Calculation!$C$8:$D$8)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Calculation!$B$8</c15:sqref>
                  <c15:spPr xmlns:c15="http://schemas.microsoft.com/office/drawing/2012/chart">
                    <a:solidFill>
                      <a:schemeClr val="bg1">
                        <a:lumMod val="65000"/>
                      </a:schemeClr>
                    </a:solidFill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2-4E54-4EA3-9940-18A98219D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857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NZ" sz="1800" b="1" i="0" baseline="0">
                <a:effectLst/>
              </a:rPr>
              <a:t>CONTAINERS MIS</a:t>
            </a:r>
            <a:endParaRPr lang="en-NZ" sz="1600">
              <a:effectLst/>
            </a:endParaRPr>
          </a:p>
        </c:rich>
      </c:tx>
      <c:layout>
        <c:manualLayout>
          <c:xMode val="edge"/>
          <c:yMode val="edge"/>
          <c:x val="0.1666875356176807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645211779720197"/>
          <c:y val="0.19134617819074867"/>
          <c:w val="0.674776720618256"/>
          <c:h val="0.7621007668159127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B002-4C80-A23B-A9DFAB92EFA7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8-B002-4C80-A23B-A9DFAB92EFA7}"/>
              </c:ext>
            </c:extLst>
          </c:dPt>
          <c:val>
            <c:numRef>
              <c:f>Calculation!$D$16:$F$16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002-4C80-A23B-A9DFAB92E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857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NZ" sz="1600"/>
              <a:t>DISCREPANCIES</a:t>
            </a:r>
          </a:p>
        </c:rich>
      </c:tx>
      <c:layout>
        <c:manualLayout>
          <c:xMode val="edge"/>
          <c:yMode val="edge"/>
          <c:x val="0.16345168932535115"/>
          <c:y val="2.604166666666666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92979002624672"/>
          <c:y val="0.21854016714168392"/>
          <c:w val="0.67846168619166503"/>
          <c:h val="0.6826240278247427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9BC2-483C-9D1A-D18E2641DB93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5-9BC2-483C-9D1A-D18E2641DB93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9BC2-483C-9D1A-D18E2641DB93}"/>
              </c:ext>
            </c:extLst>
          </c:dPt>
          <c:val>
            <c:numRef>
              <c:f>Calculation!$G$16:$I$16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C2-483C-9D1A-D18E2641D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  <c:holeSize val="54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NZ" sz="1600"/>
              <a:t>SPECIAL REEFERS</a:t>
            </a:r>
          </a:p>
        </c:rich>
      </c:tx>
      <c:layout>
        <c:manualLayout>
          <c:xMode val="edge"/>
          <c:yMode val="edge"/>
          <c:x val="0.17079904802896423"/>
          <c:y val="3.242542153047989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738211865958618"/>
          <c:y val="0.2211643269361972"/>
          <c:w val="0.60275170908868947"/>
          <c:h val="0.634087424851710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8DAE-429C-89DD-8EB0D2D37A17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8DAE-429C-89DD-8EB0D2D37A17}"/>
              </c:ext>
            </c:extLst>
          </c:dPt>
          <c:val>
            <c:numRef>
              <c:f>Calculation!$J$16:$K$16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AE-429C-89DD-8EB0D2D37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  <c:holeSize val="54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t" anchorCtr="0"/>
          <a:lstStyle/>
          <a:p>
            <a:pPr>
              <a:defRPr sz="1600"/>
            </a:pPr>
            <a:r>
              <a:rPr lang="en-NZ" sz="1600"/>
              <a:t>SPECIAL CONTAINERS</a:t>
            </a:r>
          </a:p>
        </c:rich>
      </c:tx>
      <c:layout>
        <c:manualLayout>
          <c:xMode val="edge"/>
          <c:yMode val="edge"/>
          <c:x val="0.15590919125763486"/>
          <c:y val="3.906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735979748093621"/>
          <c:y val="0.2341380448609568"/>
          <c:w val="0.60577544301045205"/>
          <c:h val="0.62807392557525399"/>
        </c:manualLayout>
      </c:layout>
      <c:doughnutChart>
        <c:varyColors val="1"/>
        <c:ser>
          <c:idx val="0"/>
          <c:order val="0"/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3-8EA8-49FB-8078-6DC750B11F8D}"/>
              </c:ext>
            </c:extLst>
          </c:dPt>
          <c:val>
            <c:numRef>
              <c:f>Calculation!$L$16:$M$16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8-49FB-8078-6DC750B11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  <c:holeSize val="54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NZ" sz="1800" b="1" i="0" u="none" strike="noStrike" baseline="0">
                <a:effectLst/>
              </a:rPr>
              <a:t>COMPLETED</a:t>
            </a:r>
            <a:endParaRPr lang="en-NZ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619284431551321"/>
          <c:y val="0.2262358166767616"/>
          <c:w val="0.70654055239999025"/>
          <c:h val="0.70219261053906723"/>
        </c:manualLayout>
      </c:layout>
      <c:doughnutChart>
        <c:varyColors val="1"/>
        <c:ser>
          <c:idx val="0"/>
          <c:order val="0"/>
          <c:spPr>
            <a:solidFill>
              <a:srgbClr val="002060"/>
            </a:solidFill>
          </c:spPr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7CD7-4AB6-BF75-C904E637B506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CD7-4AB6-BF75-C904E637B506}"/>
              </c:ext>
            </c:extLst>
          </c:dPt>
          <c:val>
            <c:numRef>
              <c:f>Calculation!$A$16:$C$16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D7-4AB6-BF75-C904E637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  <c:holeSize val="50"/>
      </c:doughnutChart>
      <c:spPr>
        <a:noFill/>
        <a:ln>
          <a:noFill/>
        </a:ln>
        <a:effectLst>
          <a:outerShdw sx="1000" sy="1000" algn="ctr" rotWithShape="0">
            <a:srgbClr val="000000"/>
          </a:out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image" Target="../media/image1.png"/><Relationship Id="rId7" Type="http://schemas.openxmlformats.org/officeDocument/2006/relationships/chart" Target="../charts/chart4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5" Type="http://schemas.openxmlformats.org/officeDocument/2006/relationships/image" Target="../media/image3.svg"/><Relationship Id="rId4" Type="http://schemas.openxmlformats.org/officeDocument/2006/relationships/image" Target="../media/image2.png"/><Relationship Id="rId9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182880</xdr:colOff>
      <xdr:row>8</xdr:row>
      <xdr:rowOff>0</xdr:rowOff>
    </xdr:from>
    <xdr:to>
      <xdr:col>11</xdr:col>
      <xdr:colOff>632460</xdr:colOff>
      <xdr:row>18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740730A-D29C-49E8-9C29-0929C869FB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160020</xdr:colOff>
      <xdr:row>8</xdr:row>
      <xdr:rowOff>0</xdr:rowOff>
    </xdr:from>
    <xdr:to>
      <xdr:col>7</xdr:col>
      <xdr:colOff>167640</xdr:colOff>
      <xdr:row>18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1BB304A-D87A-4C6B-B1A2-0B0C32555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59942</xdr:colOff>
      <xdr:row>1</xdr:row>
      <xdr:rowOff>56137</xdr:rowOff>
    </xdr:from>
    <xdr:to>
      <xdr:col>2</xdr:col>
      <xdr:colOff>51435</xdr:colOff>
      <xdr:row>4</xdr:row>
      <xdr:rowOff>34872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4C4C563-A9D4-4548-886A-4FABF845F5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46561"/>
        <a:stretch/>
      </xdr:blipFill>
      <xdr:spPr>
        <a:xfrm>
          <a:off x="120902" y="117097"/>
          <a:ext cx="945898" cy="538805"/>
        </a:xfrm>
        <a:prstGeom prst="rect">
          <a:avLst/>
        </a:prstGeom>
      </xdr:spPr>
    </xdr:pic>
    <xdr:clientData/>
  </xdr:twoCellAnchor>
  <xdr:oneCellAnchor>
    <xdr:from>
      <xdr:col>10</xdr:col>
      <xdr:colOff>320040</xdr:colOff>
      <xdr:row>2</xdr:row>
      <xdr:rowOff>30480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B32EEC36-73C2-4453-B2DB-761AFB2ECB42}"/>
            </a:ext>
          </a:extLst>
        </xdr:cNvPr>
        <xdr:cNvSpPr txBox="1"/>
      </xdr:nvSpPr>
      <xdr:spPr>
        <a:xfrm>
          <a:off x="6957060" y="27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NZ" sz="1100"/>
        </a:p>
      </xdr:txBody>
    </xdr:sp>
    <xdr:clientData/>
  </xdr:oneCellAnchor>
  <xdr:twoCellAnchor>
    <xdr:from>
      <xdr:col>23</xdr:col>
      <xdr:colOff>68580</xdr:colOff>
      <xdr:row>1</xdr:row>
      <xdr:rowOff>175260</xdr:rowOff>
    </xdr:from>
    <xdr:to>
      <xdr:col>26</xdr:col>
      <xdr:colOff>83820</xdr:colOff>
      <xdr:row>5</xdr:row>
      <xdr:rowOff>74707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BE3FFD24-9595-4DF6-B8FA-CD48460C0B83}"/>
            </a:ext>
          </a:extLst>
        </xdr:cNvPr>
        <xdr:cNvGrpSpPr/>
      </xdr:nvGrpSpPr>
      <xdr:grpSpPr>
        <a:xfrm>
          <a:off x="10492740" y="236220"/>
          <a:ext cx="1455420" cy="646207"/>
          <a:chOff x="1485900" y="60960"/>
          <a:chExt cx="2941320" cy="663439"/>
        </a:xfrm>
      </xdr:grpSpPr>
      <xdr:pic macro="[0]!Sheet2.ImportNPELL">
        <xdr:nvPicPr>
          <xdr:cNvPr id="4" name="Graphic 3" descr="Open folder">
            <a:extLst>
              <a:ext uri="{FF2B5EF4-FFF2-40B4-BE49-F238E27FC236}">
                <a16:creationId xmlns:a16="http://schemas.microsoft.com/office/drawing/2014/main" id="{2484A17D-F1D8-49EE-A039-721FC7D0D9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840480" y="60960"/>
            <a:ext cx="586740" cy="586740"/>
          </a:xfrm>
          <a:prstGeom prst="rect">
            <a:avLst/>
          </a:prstGeom>
        </xdr:spPr>
      </xdr:pic>
      <xdr:sp macro="[0]!Sheet2.ImportNPELL" textlink="">
        <xdr:nvSpPr>
          <xdr:cNvPr id="13" name="TextBox 12">
            <a:extLst>
              <a:ext uri="{FF2B5EF4-FFF2-40B4-BE49-F238E27FC236}">
                <a16:creationId xmlns:a16="http://schemas.microsoft.com/office/drawing/2014/main" id="{B56932AF-D8C3-4724-AB3A-7EA469FD4AF7}"/>
              </a:ext>
            </a:extLst>
          </xdr:cNvPr>
          <xdr:cNvSpPr txBox="1"/>
        </xdr:nvSpPr>
        <xdr:spPr>
          <a:xfrm>
            <a:off x="1485900" y="243840"/>
            <a:ext cx="2363080" cy="4805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NZ" sz="1200" b="1"/>
              <a:t>PLEASE</a:t>
            </a:r>
            <a:r>
              <a:rPr lang="en-NZ" sz="1200" b="1" baseline="0"/>
              <a:t> SELECT</a:t>
            </a:r>
            <a:r>
              <a:rPr lang="en-NZ" sz="1200" b="1"/>
              <a:t>  NAPIER</a:t>
            </a:r>
            <a:r>
              <a:rPr lang="en-NZ" sz="1200" b="1" baseline="0"/>
              <a:t> REPORT</a:t>
            </a:r>
            <a:br>
              <a:rPr lang="en-NZ" sz="1200" b="1" baseline="0"/>
            </a:br>
            <a:r>
              <a:rPr lang="en-NZ" sz="1200" b="1" baseline="0"/>
              <a:t>From port website</a:t>
            </a:r>
            <a:endParaRPr lang="en-NZ" sz="1200" b="1"/>
          </a:p>
        </xdr:txBody>
      </xdr:sp>
    </xdr:grpSp>
    <xdr:clientData/>
  </xdr:twoCellAnchor>
  <xdr:twoCellAnchor>
    <xdr:from>
      <xdr:col>11</xdr:col>
      <xdr:colOff>243840</xdr:colOff>
      <xdr:row>1</xdr:row>
      <xdr:rowOff>167640</xdr:rowOff>
    </xdr:from>
    <xdr:to>
      <xdr:col>18</xdr:col>
      <xdr:colOff>137160</xdr:colOff>
      <xdr:row>5</xdr:row>
      <xdr:rowOff>45720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9174DB8-7CCE-494D-B1DC-1BA4E1B05F65}"/>
            </a:ext>
          </a:extLst>
        </xdr:cNvPr>
        <xdr:cNvGrpSpPr/>
      </xdr:nvGrpSpPr>
      <xdr:grpSpPr>
        <a:xfrm>
          <a:off x="6248400" y="228600"/>
          <a:ext cx="3345180" cy="624840"/>
          <a:chOff x="1409700" y="381000"/>
          <a:chExt cx="3032760" cy="601980"/>
        </a:xfrm>
      </xdr:grpSpPr>
      <xdr:pic macro="[0]!Sheet2.ImportLARARAWDATA">
        <xdr:nvPicPr>
          <xdr:cNvPr id="5" name="Graphic 4" descr="Open folder">
            <a:extLst>
              <a:ext uri="{FF2B5EF4-FFF2-40B4-BE49-F238E27FC236}">
                <a16:creationId xmlns:a16="http://schemas.microsoft.com/office/drawing/2014/main" id="{DCA08FC9-923A-406F-8578-8E4876F27D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840480" y="381000"/>
            <a:ext cx="601980" cy="601980"/>
          </a:xfrm>
          <a:prstGeom prst="rect">
            <a:avLst/>
          </a:prstGeom>
        </xdr:spPr>
      </xdr:pic>
      <xdr:sp macro="[0]!Sheet2.ImportLARARAWDATA" textlink="">
        <xdr:nvSpPr>
          <xdr:cNvPr id="15" name="TextBox 14">
            <a:extLst>
              <a:ext uri="{FF2B5EF4-FFF2-40B4-BE49-F238E27FC236}">
                <a16:creationId xmlns:a16="http://schemas.microsoft.com/office/drawing/2014/main" id="{26F74BA5-86BA-47FF-914F-F51DDD329FF4}"/>
              </a:ext>
            </a:extLst>
          </xdr:cNvPr>
          <xdr:cNvSpPr txBox="1"/>
        </xdr:nvSpPr>
        <xdr:spPr>
          <a:xfrm>
            <a:off x="1409700" y="533400"/>
            <a:ext cx="254460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NZ" sz="1200" b="1"/>
              <a:t>PLEASE SELECT LARA CARGO REPORT</a:t>
            </a:r>
          </a:p>
        </xdr:txBody>
      </xdr:sp>
    </xdr:grpSp>
    <xdr:clientData/>
  </xdr:twoCellAnchor>
  <xdr:twoCellAnchor>
    <xdr:from>
      <xdr:col>11</xdr:col>
      <xdr:colOff>640080</xdr:colOff>
      <xdr:row>7</xdr:row>
      <xdr:rowOff>53340</xdr:rowOff>
    </xdr:from>
    <xdr:to>
      <xdr:col>15</xdr:col>
      <xdr:colOff>739140</xdr:colOff>
      <xdr:row>18</xdr:row>
      <xdr:rowOff>7620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5C5075E1-1E38-4987-B705-3A448AC7C1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495300</xdr:colOff>
      <xdr:row>8</xdr:row>
      <xdr:rowOff>7620</xdr:rowOff>
    </xdr:from>
    <xdr:to>
      <xdr:col>29</xdr:col>
      <xdr:colOff>7620</xdr:colOff>
      <xdr:row>17</xdr:row>
      <xdr:rowOff>175260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9AF717C9-C681-4DD7-841D-6709C33D05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754380</xdr:colOff>
      <xdr:row>7</xdr:row>
      <xdr:rowOff>53340</xdr:rowOff>
    </xdr:from>
    <xdr:to>
      <xdr:col>25</xdr:col>
      <xdr:colOff>487680</xdr:colOff>
      <xdr:row>18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A32445AE-6871-4714-A620-C9CB7F856E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335280</xdr:colOff>
      <xdr:row>8</xdr:row>
      <xdr:rowOff>7620</xdr:rowOff>
    </xdr:from>
    <xdr:to>
      <xdr:col>20</xdr:col>
      <xdr:colOff>335280</xdr:colOff>
      <xdr:row>9</xdr:row>
      <xdr:rowOff>76200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1F40FBF4-E4C1-47D4-86CA-74796B8F83AF}"/>
            </a:ext>
          </a:extLst>
        </xdr:cNvPr>
        <xdr:cNvSpPr txBox="1"/>
      </xdr:nvSpPr>
      <xdr:spPr>
        <a:xfrm>
          <a:off x="12512040" y="1242060"/>
          <a:ext cx="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400" b="1"/>
            <a:t>CEDOs</a:t>
          </a:r>
        </a:p>
      </xdr:txBody>
    </xdr:sp>
    <xdr:clientData/>
  </xdr:twoCellAnchor>
  <xdr:twoCellAnchor>
    <xdr:from>
      <xdr:col>0</xdr:col>
      <xdr:colOff>45720</xdr:colOff>
      <xdr:row>8</xdr:row>
      <xdr:rowOff>0</xdr:rowOff>
    </xdr:from>
    <xdr:to>
      <xdr:col>4</xdr:col>
      <xdr:colOff>182880</xdr:colOff>
      <xdr:row>18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2C28644-C82F-4126-B1C7-5E172B6F1E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30480</xdr:colOff>
      <xdr:row>18</xdr:row>
      <xdr:rowOff>53340</xdr:rowOff>
    </xdr:from>
    <xdr:to>
      <xdr:col>4</xdr:col>
      <xdr:colOff>167640</xdr:colOff>
      <xdr:row>18</xdr:row>
      <xdr:rowOff>167640</xdr:rowOff>
    </xdr:to>
    <xdr:sp macro="[0]!EmptyBookingsFilter" textlink="">
      <xdr:nvSpPr>
        <xdr:cNvPr id="2" name="Rectangle 1">
          <a:extLst>
            <a:ext uri="{FF2B5EF4-FFF2-40B4-BE49-F238E27FC236}">
              <a16:creationId xmlns:a16="http://schemas.microsoft.com/office/drawing/2014/main" id="{CDE6CF25-4370-42C5-B377-0BB2C5B086A7}"/>
            </a:ext>
          </a:extLst>
        </xdr:cNvPr>
        <xdr:cNvSpPr/>
      </xdr:nvSpPr>
      <xdr:spPr>
        <a:xfrm>
          <a:off x="91440" y="3230880"/>
          <a:ext cx="206502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30480</xdr:colOff>
      <xdr:row>19</xdr:row>
      <xdr:rowOff>38100</xdr:rowOff>
    </xdr:from>
    <xdr:to>
      <xdr:col>4</xdr:col>
      <xdr:colOff>167640</xdr:colOff>
      <xdr:row>19</xdr:row>
      <xdr:rowOff>152400</xdr:rowOff>
    </xdr:to>
    <xdr:sp macro="[0]!ResetFilters" textlink="">
      <xdr:nvSpPr>
        <xdr:cNvPr id="30" name="Rectangle 29">
          <a:extLst>
            <a:ext uri="{FF2B5EF4-FFF2-40B4-BE49-F238E27FC236}">
              <a16:creationId xmlns:a16="http://schemas.microsoft.com/office/drawing/2014/main" id="{A6122E5A-63B6-47DD-B58A-C8FA183CEF87}"/>
            </a:ext>
          </a:extLst>
        </xdr:cNvPr>
        <xdr:cNvSpPr/>
      </xdr:nvSpPr>
      <xdr:spPr>
        <a:xfrm>
          <a:off x="91440" y="3398520"/>
          <a:ext cx="213360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38100</xdr:colOff>
      <xdr:row>20</xdr:row>
      <xdr:rowOff>38100</xdr:rowOff>
    </xdr:from>
    <xdr:to>
      <xdr:col>4</xdr:col>
      <xdr:colOff>175260</xdr:colOff>
      <xdr:row>20</xdr:row>
      <xdr:rowOff>152400</xdr:rowOff>
    </xdr:to>
    <xdr:sp macro="[0]!CMAfilter" textlink="">
      <xdr:nvSpPr>
        <xdr:cNvPr id="31" name="Rectangle 30">
          <a:extLst>
            <a:ext uri="{FF2B5EF4-FFF2-40B4-BE49-F238E27FC236}">
              <a16:creationId xmlns:a16="http://schemas.microsoft.com/office/drawing/2014/main" id="{25CC7E21-95F4-42C4-9FC8-135A9DA5D05D}"/>
            </a:ext>
          </a:extLst>
        </xdr:cNvPr>
        <xdr:cNvSpPr/>
      </xdr:nvSpPr>
      <xdr:spPr>
        <a:xfrm>
          <a:off x="99060" y="3581400"/>
          <a:ext cx="213360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266700</xdr:colOff>
      <xdr:row>18</xdr:row>
      <xdr:rowOff>45720</xdr:rowOff>
    </xdr:from>
    <xdr:to>
      <xdr:col>7</xdr:col>
      <xdr:colOff>99060</xdr:colOff>
      <xdr:row>18</xdr:row>
      <xdr:rowOff>160020</xdr:rowOff>
    </xdr:to>
    <xdr:sp macro="[0]!Preadvisefilter" textlink="">
      <xdr:nvSpPr>
        <xdr:cNvPr id="32" name="Rectangle 31">
          <a:extLst>
            <a:ext uri="{FF2B5EF4-FFF2-40B4-BE49-F238E27FC236}">
              <a16:creationId xmlns:a16="http://schemas.microsoft.com/office/drawing/2014/main" id="{9560253B-8DC4-4244-ADD9-4C938DC5FA98}"/>
            </a:ext>
          </a:extLst>
        </xdr:cNvPr>
        <xdr:cNvSpPr/>
      </xdr:nvSpPr>
      <xdr:spPr>
        <a:xfrm>
          <a:off x="2255520" y="3223260"/>
          <a:ext cx="208026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266700</xdr:colOff>
      <xdr:row>19</xdr:row>
      <xdr:rowOff>38100</xdr:rowOff>
    </xdr:from>
    <xdr:to>
      <xdr:col>7</xdr:col>
      <xdr:colOff>99060</xdr:colOff>
      <xdr:row>19</xdr:row>
      <xdr:rowOff>152400</xdr:rowOff>
    </xdr:to>
    <xdr:sp macro="[0]!NotLinkedFIlter" textlink="">
      <xdr:nvSpPr>
        <xdr:cNvPr id="33" name="Rectangle 32">
          <a:extLst>
            <a:ext uri="{FF2B5EF4-FFF2-40B4-BE49-F238E27FC236}">
              <a16:creationId xmlns:a16="http://schemas.microsoft.com/office/drawing/2014/main" id="{8ED6F837-0898-4117-98E1-DD96994FB5EC}"/>
            </a:ext>
          </a:extLst>
        </xdr:cNvPr>
        <xdr:cNvSpPr/>
      </xdr:nvSpPr>
      <xdr:spPr>
        <a:xfrm>
          <a:off x="2324100" y="3398520"/>
          <a:ext cx="213360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259080</xdr:colOff>
      <xdr:row>20</xdr:row>
      <xdr:rowOff>45720</xdr:rowOff>
    </xdr:from>
    <xdr:to>
      <xdr:col>7</xdr:col>
      <xdr:colOff>91440</xdr:colOff>
      <xdr:row>20</xdr:row>
      <xdr:rowOff>160020</xdr:rowOff>
    </xdr:to>
    <xdr:sp macro="[0]!BookingsMisFilter" textlink="">
      <xdr:nvSpPr>
        <xdr:cNvPr id="34" name="Rectangle 33">
          <a:extLst>
            <a:ext uri="{FF2B5EF4-FFF2-40B4-BE49-F238E27FC236}">
              <a16:creationId xmlns:a16="http://schemas.microsoft.com/office/drawing/2014/main" id="{420114DC-C556-4E37-B9EC-50B87DB87AC2}"/>
            </a:ext>
          </a:extLst>
        </xdr:cNvPr>
        <xdr:cNvSpPr/>
      </xdr:nvSpPr>
      <xdr:spPr>
        <a:xfrm>
          <a:off x="2316480" y="3589020"/>
          <a:ext cx="213360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243840</xdr:colOff>
      <xdr:row>18</xdr:row>
      <xdr:rowOff>38100</xdr:rowOff>
    </xdr:from>
    <xdr:to>
      <xdr:col>11</xdr:col>
      <xdr:colOff>579120</xdr:colOff>
      <xdr:row>18</xdr:row>
      <xdr:rowOff>152400</xdr:rowOff>
    </xdr:to>
    <xdr:sp macro="[0]!PODFilter" textlink="">
      <xdr:nvSpPr>
        <xdr:cNvPr id="35" name="Rectangle 34">
          <a:extLst>
            <a:ext uri="{FF2B5EF4-FFF2-40B4-BE49-F238E27FC236}">
              <a16:creationId xmlns:a16="http://schemas.microsoft.com/office/drawing/2014/main" id="{0197C5F7-6EE3-40C0-8112-D08A60D70EE2}"/>
            </a:ext>
          </a:extLst>
        </xdr:cNvPr>
        <xdr:cNvSpPr/>
      </xdr:nvSpPr>
      <xdr:spPr>
        <a:xfrm>
          <a:off x="4602480" y="3215640"/>
          <a:ext cx="213360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251460</xdr:colOff>
      <xdr:row>19</xdr:row>
      <xdr:rowOff>45720</xdr:rowOff>
    </xdr:from>
    <xdr:to>
      <xdr:col>11</xdr:col>
      <xdr:colOff>586740</xdr:colOff>
      <xdr:row>19</xdr:row>
      <xdr:rowOff>160020</xdr:rowOff>
    </xdr:to>
    <xdr:sp macro="[0]!FPDFilter" textlink="">
      <xdr:nvSpPr>
        <xdr:cNvPr id="36" name="Rectangle 35">
          <a:extLst>
            <a:ext uri="{FF2B5EF4-FFF2-40B4-BE49-F238E27FC236}">
              <a16:creationId xmlns:a16="http://schemas.microsoft.com/office/drawing/2014/main" id="{2E67B567-B0A6-4D4E-A883-29842B28CBA6}"/>
            </a:ext>
          </a:extLst>
        </xdr:cNvPr>
        <xdr:cNvSpPr/>
      </xdr:nvSpPr>
      <xdr:spPr>
        <a:xfrm>
          <a:off x="4610100" y="3406140"/>
          <a:ext cx="213360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243840</xdr:colOff>
      <xdr:row>20</xdr:row>
      <xdr:rowOff>45720</xdr:rowOff>
    </xdr:from>
    <xdr:to>
      <xdr:col>11</xdr:col>
      <xdr:colOff>579120</xdr:colOff>
      <xdr:row>20</xdr:row>
      <xdr:rowOff>160020</xdr:rowOff>
    </xdr:to>
    <xdr:sp macro="[0]!TEMPFilter" textlink="">
      <xdr:nvSpPr>
        <xdr:cNvPr id="37" name="Rectangle 36">
          <a:extLst>
            <a:ext uri="{FF2B5EF4-FFF2-40B4-BE49-F238E27FC236}">
              <a16:creationId xmlns:a16="http://schemas.microsoft.com/office/drawing/2014/main" id="{25BB5E96-986C-4BB7-AE8C-9A0997C206FB}"/>
            </a:ext>
          </a:extLst>
        </xdr:cNvPr>
        <xdr:cNvSpPr/>
      </xdr:nvSpPr>
      <xdr:spPr>
        <a:xfrm>
          <a:off x="4602480" y="3589020"/>
          <a:ext cx="213360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7620</xdr:colOff>
      <xdr:row>18</xdr:row>
      <xdr:rowOff>45720</xdr:rowOff>
    </xdr:from>
    <xdr:to>
      <xdr:col>15</xdr:col>
      <xdr:colOff>617220</xdr:colOff>
      <xdr:row>18</xdr:row>
      <xdr:rowOff>160020</xdr:rowOff>
    </xdr:to>
    <xdr:sp macro="[0]!Ventilationfilter" textlink="">
      <xdr:nvSpPr>
        <xdr:cNvPr id="38" name="Rectangle 37">
          <a:extLst>
            <a:ext uri="{FF2B5EF4-FFF2-40B4-BE49-F238E27FC236}">
              <a16:creationId xmlns:a16="http://schemas.microsoft.com/office/drawing/2014/main" id="{60E898B1-1EFA-4614-8BF3-DD317585C5B0}"/>
            </a:ext>
          </a:extLst>
        </xdr:cNvPr>
        <xdr:cNvSpPr/>
      </xdr:nvSpPr>
      <xdr:spPr>
        <a:xfrm>
          <a:off x="6911340" y="3223260"/>
          <a:ext cx="213360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7620</xdr:colOff>
      <xdr:row>19</xdr:row>
      <xdr:rowOff>38100</xdr:rowOff>
    </xdr:from>
    <xdr:to>
      <xdr:col>15</xdr:col>
      <xdr:colOff>617220</xdr:colOff>
      <xdr:row>19</xdr:row>
      <xdr:rowOff>152400</xdr:rowOff>
    </xdr:to>
    <xdr:sp macro="[0]!Humfilter" textlink="">
      <xdr:nvSpPr>
        <xdr:cNvPr id="39" name="Rectangle 38">
          <a:extLst>
            <a:ext uri="{FF2B5EF4-FFF2-40B4-BE49-F238E27FC236}">
              <a16:creationId xmlns:a16="http://schemas.microsoft.com/office/drawing/2014/main" id="{E1BC93AE-C225-4A1F-95B0-EB0C49D4AC47}"/>
            </a:ext>
          </a:extLst>
        </xdr:cNvPr>
        <xdr:cNvSpPr/>
      </xdr:nvSpPr>
      <xdr:spPr>
        <a:xfrm>
          <a:off x="6911340" y="3398520"/>
          <a:ext cx="213360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17</xdr:col>
      <xdr:colOff>114300</xdr:colOff>
      <xdr:row>18</xdr:row>
      <xdr:rowOff>45720</xdr:rowOff>
    </xdr:from>
    <xdr:to>
      <xdr:col>25</xdr:col>
      <xdr:colOff>312420</xdr:colOff>
      <xdr:row>18</xdr:row>
      <xdr:rowOff>160020</xdr:rowOff>
    </xdr:to>
    <xdr:sp macro="[0]!HazFilter" textlink="">
      <xdr:nvSpPr>
        <xdr:cNvPr id="40" name="Rectangle 39">
          <a:extLst>
            <a:ext uri="{FF2B5EF4-FFF2-40B4-BE49-F238E27FC236}">
              <a16:creationId xmlns:a16="http://schemas.microsoft.com/office/drawing/2014/main" id="{05E520B5-D9FE-4856-A97C-A9520003595C}"/>
            </a:ext>
          </a:extLst>
        </xdr:cNvPr>
        <xdr:cNvSpPr/>
      </xdr:nvSpPr>
      <xdr:spPr>
        <a:xfrm>
          <a:off x="9319260" y="3223260"/>
          <a:ext cx="213360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17</xdr:col>
      <xdr:colOff>144780</xdr:colOff>
      <xdr:row>19</xdr:row>
      <xdr:rowOff>38100</xdr:rowOff>
    </xdr:from>
    <xdr:to>
      <xdr:col>25</xdr:col>
      <xdr:colOff>342900</xdr:colOff>
      <xdr:row>19</xdr:row>
      <xdr:rowOff>152400</xdr:rowOff>
    </xdr:to>
    <xdr:sp macro="[0]!OOGFilter" textlink="">
      <xdr:nvSpPr>
        <xdr:cNvPr id="41" name="Rectangle 40">
          <a:extLst>
            <a:ext uri="{FF2B5EF4-FFF2-40B4-BE49-F238E27FC236}">
              <a16:creationId xmlns:a16="http://schemas.microsoft.com/office/drawing/2014/main" id="{4A15DA68-A56C-45EB-B0D3-B96610589A9A}"/>
            </a:ext>
          </a:extLst>
        </xdr:cNvPr>
        <xdr:cNvSpPr/>
      </xdr:nvSpPr>
      <xdr:spPr>
        <a:xfrm>
          <a:off x="9349740" y="3398520"/>
          <a:ext cx="213360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25</xdr:col>
      <xdr:colOff>662940</xdr:colOff>
      <xdr:row>19</xdr:row>
      <xdr:rowOff>38100</xdr:rowOff>
    </xdr:from>
    <xdr:to>
      <xdr:col>26</xdr:col>
      <xdr:colOff>396240</xdr:colOff>
      <xdr:row>19</xdr:row>
      <xdr:rowOff>152400</xdr:rowOff>
    </xdr:to>
    <xdr:sp macro="[0]!CEDOFilter" textlink="">
      <xdr:nvSpPr>
        <xdr:cNvPr id="42" name="Rectangle 41">
          <a:extLst>
            <a:ext uri="{FF2B5EF4-FFF2-40B4-BE49-F238E27FC236}">
              <a16:creationId xmlns:a16="http://schemas.microsoft.com/office/drawing/2014/main" id="{E4BFA3FD-3A55-4881-8E0B-291622E96C4B}"/>
            </a:ext>
          </a:extLst>
        </xdr:cNvPr>
        <xdr:cNvSpPr/>
      </xdr:nvSpPr>
      <xdr:spPr>
        <a:xfrm>
          <a:off x="11803380" y="3398520"/>
          <a:ext cx="213360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99060</xdr:rowOff>
    </xdr:from>
    <xdr:to>
      <xdr:col>14</xdr:col>
      <xdr:colOff>647700</xdr:colOff>
      <xdr:row>4</xdr:row>
      <xdr:rowOff>68580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408A786-5A9C-4FCF-AE27-BFC43EE68BBF}"/>
            </a:ext>
          </a:extLst>
        </xdr:cNvPr>
        <xdr:cNvGrpSpPr/>
      </xdr:nvGrpSpPr>
      <xdr:grpSpPr>
        <a:xfrm>
          <a:off x="4884420" y="99060"/>
          <a:ext cx="3284220" cy="624840"/>
          <a:chOff x="1532064" y="60960"/>
          <a:chExt cx="2895156" cy="649157"/>
        </a:xfrm>
      </xdr:grpSpPr>
      <xdr:pic macro="[0]!Sheet2.ImportNPECMA">
        <xdr:nvPicPr>
          <xdr:cNvPr id="3" name="Graphic 2" descr="Open folder">
            <a:extLst>
              <a:ext uri="{FF2B5EF4-FFF2-40B4-BE49-F238E27FC236}">
                <a16:creationId xmlns:a16="http://schemas.microsoft.com/office/drawing/2014/main" id="{271A18F7-0975-4A62-9870-AD2C5602EF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40480" y="60960"/>
            <a:ext cx="586740" cy="586740"/>
          </a:xfrm>
          <a:prstGeom prst="rect">
            <a:avLst/>
          </a:prstGeom>
        </xdr:spPr>
      </xdr:pic>
      <xdr:sp macro="[0]!Sheet2.ImportNPECMA" textlink="">
        <xdr:nvSpPr>
          <xdr:cNvPr id="4" name="TextBox 3">
            <a:extLst>
              <a:ext uri="{FF2B5EF4-FFF2-40B4-BE49-F238E27FC236}">
                <a16:creationId xmlns:a16="http://schemas.microsoft.com/office/drawing/2014/main" id="{0E058CEE-8834-4D91-A2E4-E5DFBEDB0E05}"/>
              </a:ext>
            </a:extLst>
          </xdr:cNvPr>
          <xdr:cNvSpPr txBox="1"/>
        </xdr:nvSpPr>
        <xdr:spPr>
          <a:xfrm>
            <a:off x="1532064" y="180507"/>
            <a:ext cx="2221041" cy="529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NZ" sz="1200" b="1"/>
              <a:t>PLEASE</a:t>
            </a:r>
            <a:r>
              <a:rPr lang="en-NZ" sz="1200" b="1" baseline="0"/>
              <a:t> SELECT</a:t>
            </a:r>
            <a:r>
              <a:rPr lang="en-NZ" sz="1200" b="1"/>
              <a:t>  CMA NAPIER</a:t>
            </a:r>
            <a:r>
              <a:rPr lang="en-NZ" sz="1200" b="1" baseline="0"/>
              <a:t> REPORT</a:t>
            </a:r>
            <a:br>
              <a:rPr lang="en-NZ" sz="1200" b="1" baseline="0"/>
            </a:br>
            <a:r>
              <a:rPr lang="en-NZ" sz="1200" b="1" baseline="0"/>
              <a:t>From emails</a:t>
            </a:r>
            <a:endParaRPr lang="en-NZ" sz="1200" b="1"/>
          </a:p>
        </xdr:txBody>
      </xdr:sp>
    </xdr:grpSp>
    <xdr:clientData/>
  </xdr:twoCellAnchor>
  <xdr:twoCellAnchor>
    <xdr:from>
      <xdr:col>15</xdr:col>
      <xdr:colOff>541020</xdr:colOff>
      <xdr:row>1</xdr:row>
      <xdr:rowOff>22860</xdr:rowOff>
    </xdr:from>
    <xdr:to>
      <xdr:col>21</xdr:col>
      <xdr:colOff>1280160</xdr:colOff>
      <xdr:row>4</xdr:row>
      <xdr:rowOff>99060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625A8AE-C06D-47FC-805F-19B061C7F53E}"/>
            </a:ext>
          </a:extLst>
        </xdr:cNvPr>
        <xdr:cNvGrpSpPr/>
      </xdr:nvGrpSpPr>
      <xdr:grpSpPr>
        <a:xfrm>
          <a:off x="8763000" y="129540"/>
          <a:ext cx="3101340" cy="624840"/>
          <a:chOff x="1409700" y="381000"/>
          <a:chExt cx="3032760" cy="601980"/>
        </a:xfrm>
      </xdr:grpSpPr>
      <xdr:pic macro="[0]!Sheet2.ImportLARARAWDATA">
        <xdr:nvPicPr>
          <xdr:cNvPr id="6" name="Graphic 5" descr="Open folder">
            <a:extLst>
              <a:ext uri="{FF2B5EF4-FFF2-40B4-BE49-F238E27FC236}">
                <a16:creationId xmlns:a16="http://schemas.microsoft.com/office/drawing/2014/main" id="{B8296F52-AC07-4DE6-87C3-0D668A69BF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40480" y="381000"/>
            <a:ext cx="601980" cy="601980"/>
          </a:xfrm>
          <a:prstGeom prst="rect">
            <a:avLst/>
          </a:prstGeom>
        </xdr:spPr>
      </xdr:pic>
      <xdr:sp macro="[0]!Sheet2.ImportLARARAWDATA" textlink="">
        <xdr:nvSpPr>
          <xdr:cNvPr id="7" name="TextBox 6">
            <a:extLst>
              <a:ext uri="{FF2B5EF4-FFF2-40B4-BE49-F238E27FC236}">
                <a16:creationId xmlns:a16="http://schemas.microsoft.com/office/drawing/2014/main" id="{732F37DF-4E96-469D-893F-2203EA0F08A1}"/>
              </a:ext>
            </a:extLst>
          </xdr:cNvPr>
          <xdr:cNvSpPr txBox="1"/>
        </xdr:nvSpPr>
        <xdr:spPr>
          <a:xfrm>
            <a:off x="1409700" y="474669"/>
            <a:ext cx="2544607" cy="4569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NZ" sz="1200" b="1"/>
              <a:t>PLEASE SELECT LARA CARGO REPORT</a:t>
            </a:r>
            <a:br>
              <a:rPr lang="en-NZ" sz="1200" b="1"/>
            </a:br>
            <a:r>
              <a:rPr lang="en-NZ" sz="1200" b="1"/>
              <a:t>Optionally</a:t>
            </a:r>
          </a:p>
        </xdr:txBody>
      </xdr:sp>
    </xdr:grpSp>
    <xdr:clientData/>
  </xdr:twoCellAnchor>
  <xdr:twoCellAnchor>
    <xdr:from>
      <xdr:col>4</xdr:col>
      <xdr:colOff>441960</xdr:colOff>
      <xdr:row>6</xdr:row>
      <xdr:rowOff>7620</xdr:rowOff>
    </xdr:from>
    <xdr:to>
      <xdr:col>8</xdr:col>
      <xdr:colOff>45720</xdr:colOff>
      <xdr:row>18</xdr:row>
      <xdr:rowOff>0</xdr:rowOff>
    </xdr:to>
    <xdr:graphicFrame macro="[0]!CMANotLinkedFIlter">
      <xdr:nvGraphicFramePr>
        <xdr:cNvPr id="8" name="Chart 7">
          <a:extLst>
            <a:ext uri="{FF2B5EF4-FFF2-40B4-BE49-F238E27FC236}">
              <a16:creationId xmlns:a16="http://schemas.microsoft.com/office/drawing/2014/main" id="{F416E235-C379-4C1A-9FBB-AE4AFA6F55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53340</xdr:colOff>
      <xdr:row>6</xdr:row>
      <xdr:rowOff>7620</xdr:rowOff>
    </xdr:from>
    <xdr:to>
      <xdr:col>12</xdr:col>
      <xdr:colOff>701040</xdr:colOff>
      <xdr:row>18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EB27432-1C17-42B1-B258-7897E77229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693420</xdr:colOff>
      <xdr:row>6</xdr:row>
      <xdr:rowOff>7620</xdr:rowOff>
    </xdr:from>
    <xdr:to>
      <xdr:col>19</xdr:col>
      <xdr:colOff>68580</xdr:colOff>
      <xdr:row>18</xdr:row>
      <xdr:rowOff>7620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065AA4E-45DE-4DA4-9900-665A12A10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83820</xdr:colOff>
      <xdr:row>5</xdr:row>
      <xdr:rowOff>45720</xdr:rowOff>
    </xdr:from>
    <xdr:to>
      <xdr:col>22</xdr:col>
      <xdr:colOff>0</xdr:colOff>
      <xdr:row>18</xdr:row>
      <xdr:rowOff>30480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712BB07-2341-478B-B2B3-E8D15A1373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</xdr:row>
      <xdr:rowOff>15240</xdr:rowOff>
    </xdr:from>
    <xdr:to>
      <xdr:col>4</xdr:col>
      <xdr:colOff>426720</xdr:colOff>
      <xdr:row>18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AE3710E-3BF0-4FFE-88E3-7413866DED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76200</xdr:colOff>
      <xdr:row>19</xdr:row>
      <xdr:rowOff>38100</xdr:rowOff>
    </xdr:from>
    <xdr:to>
      <xdr:col>4</xdr:col>
      <xdr:colOff>381000</xdr:colOff>
      <xdr:row>19</xdr:row>
      <xdr:rowOff>167640</xdr:rowOff>
    </xdr:to>
    <xdr:sp macro="[0]!CMAEmptyBookingsFilter" textlink="">
      <xdr:nvSpPr>
        <xdr:cNvPr id="13" name="Rectangle 12">
          <a:extLst>
            <a:ext uri="{FF2B5EF4-FFF2-40B4-BE49-F238E27FC236}">
              <a16:creationId xmlns:a16="http://schemas.microsoft.com/office/drawing/2014/main" id="{60C6B125-ADD9-43ED-A6AF-8CC3452A4235}"/>
            </a:ext>
          </a:extLst>
        </xdr:cNvPr>
        <xdr:cNvSpPr/>
      </xdr:nvSpPr>
      <xdr:spPr>
        <a:xfrm>
          <a:off x="182880" y="3489960"/>
          <a:ext cx="2339340" cy="1295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68580</xdr:colOff>
      <xdr:row>20</xdr:row>
      <xdr:rowOff>38100</xdr:rowOff>
    </xdr:from>
    <xdr:to>
      <xdr:col>4</xdr:col>
      <xdr:colOff>373380</xdr:colOff>
      <xdr:row>20</xdr:row>
      <xdr:rowOff>167640</xdr:rowOff>
    </xdr:to>
    <xdr:sp macro="[0]!CMAResetFilters" textlink="">
      <xdr:nvSpPr>
        <xdr:cNvPr id="14" name="Rectangle 13">
          <a:extLst>
            <a:ext uri="{FF2B5EF4-FFF2-40B4-BE49-F238E27FC236}">
              <a16:creationId xmlns:a16="http://schemas.microsoft.com/office/drawing/2014/main" id="{60EB00B9-A0E4-45D7-BCE5-A6B75D199A34}"/>
            </a:ext>
          </a:extLst>
        </xdr:cNvPr>
        <xdr:cNvSpPr/>
      </xdr:nvSpPr>
      <xdr:spPr>
        <a:xfrm>
          <a:off x="175260" y="3672840"/>
          <a:ext cx="2339340" cy="1295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60960</xdr:colOff>
      <xdr:row>21</xdr:row>
      <xdr:rowOff>38100</xdr:rowOff>
    </xdr:from>
    <xdr:to>
      <xdr:col>4</xdr:col>
      <xdr:colOff>365760</xdr:colOff>
      <xdr:row>21</xdr:row>
      <xdr:rowOff>167640</xdr:rowOff>
    </xdr:to>
    <xdr:sp macro="[0]!ANLfilter" textlink="">
      <xdr:nvSpPr>
        <xdr:cNvPr id="15" name="Rectangle 14">
          <a:extLst>
            <a:ext uri="{FF2B5EF4-FFF2-40B4-BE49-F238E27FC236}">
              <a16:creationId xmlns:a16="http://schemas.microsoft.com/office/drawing/2014/main" id="{D5873813-73E4-498F-934C-6A314571E5F4}"/>
            </a:ext>
          </a:extLst>
        </xdr:cNvPr>
        <xdr:cNvSpPr/>
      </xdr:nvSpPr>
      <xdr:spPr>
        <a:xfrm>
          <a:off x="167640" y="3855720"/>
          <a:ext cx="2339340" cy="1295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495300</xdr:colOff>
      <xdr:row>19</xdr:row>
      <xdr:rowOff>30480</xdr:rowOff>
    </xdr:from>
    <xdr:to>
      <xdr:col>7</xdr:col>
      <xdr:colOff>609600</xdr:colOff>
      <xdr:row>19</xdr:row>
      <xdr:rowOff>160020</xdr:rowOff>
    </xdr:to>
    <xdr:sp macro="[0]!CMANotLinkedFIlter" textlink="">
      <xdr:nvSpPr>
        <xdr:cNvPr id="16" name="Rectangle 15">
          <a:extLst>
            <a:ext uri="{FF2B5EF4-FFF2-40B4-BE49-F238E27FC236}">
              <a16:creationId xmlns:a16="http://schemas.microsoft.com/office/drawing/2014/main" id="{6CD6F869-5616-4F21-ADCD-4CE6D64CD08D}"/>
            </a:ext>
          </a:extLst>
        </xdr:cNvPr>
        <xdr:cNvSpPr/>
      </xdr:nvSpPr>
      <xdr:spPr>
        <a:xfrm>
          <a:off x="2636520" y="3482340"/>
          <a:ext cx="2339340" cy="1295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502920</xdr:colOff>
      <xdr:row>20</xdr:row>
      <xdr:rowOff>22860</xdr:rowOff>
    </xdr:from>
    <xdr:to>
      <xdr:col>7</xdr:col>
      <xdr:colOff>617220</xdr:colOff>
      <xdr:row>20</xdr:row>
      <xdr:rowOff>152400</xdr:rowOff>
    </xdr:to>
    <xdr:sp macro="[0]!CMAPreadvisefilter" textlink="">
      <xdr:nvSpPr>
        <xdr:cNvPr id="17" name="Rectangle 16">
          <a:extLst>
            <a:ext uri="{FF2B5EF4-FFF2-40B4-BE49-F238E27FC236}">
              <a16:creationId xmlns:a16="http://schemas.microsoft.com/office/drawing/2014/main" id="{42327844-6ED3-4734-B361-B02EC4643DA2}"/>
            </a:ext>
          </a:extLst>
        </xdr:cNvPr>
        <xdr:cNvSpPr/>
      </xdr:nvSpPr>
      <xdr:spPr>
        <a:xfrm>
          <a:off x="2644140" y="3657600"/>
          <a:ext cx="2339340" cy="1295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510540</xdr:colOff>
      <xdr:row>21</xdr:row>
      <xdr:rowOff>15240</xdr:rowOff>
    </xdr:from>
    <xdr:to>
      <xdr:col>7</xdr:col>
      <xdr:colOff>624840</xdr:colOff>
      <xdr:row>21</xdr:row>
      <xdr:rowOff>144780</xdr:rowOff>
    </xdr:to>
    <xdr:sp macro="[0]!CMABookingsMisFilter" textlink="">
      <xdr:nvSpPr>
        <xdr:cNvPr id="18" name="Rectangle 17">
          <a:extLst>
            <a:ext uri="{FF2B5EF4-FFF2-40B4-BE49-F238E27FC236}">
              <a16:creationId xmlns:a16="http://schemas.microsoft.com/office/drawing/2014/main" id="{B2F2DEA5-B103-47A7-BA39-3CB29BDD45C8}"/>
            </a:ext>
          </a:extLst>
        </xdr:cNvPr>
        <xdr:cNvSpPr/>
      </xdr:nvSpPr>
      <xdr:spPr>
        <a:xfrm>
          <a:off x="2651760" y="3832860"/>
          <a:ext cx="2339340" cy="1295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121920</xdr:colOff>
      <xdr:row>19</xdr:row>
      <xdr:rowOff>38100</xdr:rowOff>
    </xdr:from>
    <xdr:to>
      <xdr:col>12</xdr:col>
      <xdr:colOff>548640</xdr:colOff>
      <xdr:row>19</xdr:row>
      <xdr:rowOff>167640</xdr:rowOff>
    </xdr:to>
    <xdr:sp macro="[0]!CMAPODFilter" textlink="">
      <xdr:nvSpPr>
        <xdr:cNvPr id="19" name="Rectangle 18">
          <a:extLst>
            <a:ext uri="{FF2B5EF4-FFF2-40B4-BE49-F238E27FC236}">
              <a16:creationId xmlns:a16="http://schemas.microsoft.com/office/drawing/2014/main" id="{60F499D7-2BA7-4537-9C53-7CFC2CCDE5E2}"/>
            </a:ext>
          </a:extLst>
        </xdr:cNvPr>
        <xdr:cNvSpPr/>
      </xdr:nvSpPr>
      <xdr:spPr>
        <a:xfrm>
          <a:off x="5151120" y="3489960"/>
          <a:ext cx="2339340" cy="1295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137160</xdr:colOff>
      <xdr:row>20</xdr:row>
      <xdr:rowOff>38100</xdr:rowOff>
    </xdr:from>
    <xdr:to>
      <xdr:col>12</xdr:col>
      <xdr:colOff>563880</xdr:colOff>
      <xdr:row>20</xdr:row>
      <xdr:rowOff>167640</xdr:rowOff>
    </xdr:to>
    <xdr:sp macro="[0]!CMAFPDFilter" textlink="">
      <xdr:nvSpPr>
        <xdr:cNvPr id="20" name="Rectangle 19">
          <a:extLst>
            <a:ext uri="{FF2B5EF4-FFF2-40B4-BE49-F238E27FC236}">
              <a16:creationId xmlns:a16="http://schemas.microsoft.com/office/drawing/2014/main" id="{31D4A82E-C86C-44E8-8403-FFB93C38BA0A}"/>
            </a:ext>
          </a:extLst>
        </xdr:cNvPr>
        <xdr:cNvSpPr/>
      </xdr:nvSpPr>
      <xdr:spPr>
        <a:xfrm>
          <a:off x="5166360" y="3672840"/>
          <a:ext cx="2339340" cy="1295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144780</xdr:colOff>
      <xdr:row>21</xdr:row>
      <xdr:rowOff>30480</xdr:rowOff>
    </xdr:from>
    <xdr:to>
      <xdr:col>12</xdr:col>
      <xdr:colOff>571500</xdr:colOff>
      <xdr:row>21</xdr:row>
      <xdr:rowOff>160020</xdr:rowOff>
    </xdr:to>
    <xdr:sp macro="[0]!CMATEMPFilter" textlink="">
      <xdr:nvSpPr>
        <xdr:cNvPr id="21" name="Rectangle 20">
          <a:extLst>
            <a:ext uri="{FF2B5EF4-FFF2-40B4-BE49-F238E27FC236}">
              <a16:creationId xmlns:a16="http://schemas.microsoft.com/office/drawing/2014/main" id="{BCEE439A-7EE9-465B-AC6B-C7C1F2878FD4}"/>
            </a:ext>
          </a:extLst>
        </xdr:cNvPr>
        <xdr:cNvSpPr/>
      </xdr:nvSpPr>
      <xdr:spPr>
        <a:xfrm>
          <a:off x="5173980" y="3848100"/>
          <a:ext cx="2339340" cy="1295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777240</xdr:colOff>
      <xdr:row>19</xdr:row>
      <xdr:rowOff>30480</xdr:rowOff>
    </xdr:from>
    <xdr:to>
      <xdr:col>18</xdr:col>
      <xdr:colOff>365760</xdr:colOff>
      <xdr:row>19</xdr:row>
      <xdr:rowOff>160020</xdr:rowOff>
    </xdr:to>
    <xdr:sp macro="[0]!CMAVentilationfilter" textlink="">
      <xdr:nvSpPr>
        <xdr:cNvPr id="22" name="Rectangle 21">
          <a:extLst>
            <a:ext uri="{FF2B5EF4-FFF2-40B4-BE49-F238E27FC236}">
              <a16:creationId xmlns:a16="http://schemas.microsoft.com/office/drawing/2014/main" id="{E95FFE68-4C99-49C9-A171-ABE4804E7BD7}"/>
            </a:ext>
          </a:extLst>
        </xdr:cNvPr>
        <xdr:cNvSpPr/>
      </xdr:nvSpPr>
      <xdr:spPr>
        <a:xfrm>
          <a:off x="7719060" y="3482340"/>
          <a:ext cx="2339340" cy="1295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14</xdr:col>
      <xdr:colOff>7620</xdr:colOff>
      <xdr:row>20</xdr:row>
      <xdr:rowOff>30480</xdr:rowOff>
    </xdr:from>
    <xdr:to>
      <xdr:col>18</xdr:col>
      <xdr:colOff>381000</xdr:colOff>
      <xdr:row>20</xdr:row>
      <xdr:rowOff>160020</xdr:rowOff>
    </xdr:to>
    <xdr:sp macro="[0]!CAMHumfilter" textlink="">
      <xdr:nvSpPr>
        <xdr:cNvPr id="23" name="Rectangle 22">
          <a:extLst>
            <a:ext uri="{FF2B5EF4-FFF2-40B4-BE49-F238E27FC236}">
              <a16:creationId xmlns:a16="http://schemas.microsoft.com/office/drawing/2014/main" id="{01A2582E-A0B9-4538-B6E7-36B83B68E511}"/>
            </a:ext>
          </a:extLst>
        </xdr:cNvPr>
        <xdr:cNvSpPr/>
      </xdr:nvSpPr>
      <xdr:spPr>
        <a:xfrm>
          <a:off x="7734300" y="3665220"/>
          <a:ext cx="2339340" cy="1295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19</xdr:col>
      <xdr:colOff>160020</xdr:colOff>
      <xdr:row>19</xdr:row>
      <xdr:rowOff>22860</xdr:rowOff>
    </xdr:from>
    <xdr:to>
      <xdr:col>21</xdr:col>
      <xdr:colOff>1638300</xdr:colOff>
      <xdr:row>19</xdr:row>
      <xdr:rowOff>152400</xdr:rowOff>
    </xdr:to>
    <xdr:sp macro="[0]!CMAHazFilter" textlink="">
      <xdr:nvSpPr>
        <xdr:cNvPr id="24" name="Rectangle 23">
          <a:extLst>
            <a:ext uri="{FF2B5EF4-FFF2-40B4-BE49-F238E27FC236}">
              <a16:creationId xmlns:a16="http://schemas.microsoft.com/office/drawing/2014/main" id="{5E26F918-2243-472A-A6EC-CF72F8075ABA}"/>
            </a:ext>
          </a:extLst>
        </xdr:cNvPr>
        <xdr:cNvSpPr/>
      </xdr:nvSpPr>
      <xdr:spPr>
        <a:xfrm>
          <a:off x="10347960" y="3474720"/>
          <a:ext cx="2339340" cy="1295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19</xdr:col>
      <xdr:colOff>160020</xdr:colOff>
      <xdr:row>20</xdr:row>
      <xdr:rowOff>30480</xdr:rowOff>
    </xdr:from>
    <xdr:to>
      <xdr:col>21</xdr:col>
      <xdr:colOff>1638300</xdr:colOff>
      <xdr:row>20</xdr:row>
      <xdr:rowOff>160020</xdr:rowOff>
    </xdr:to>
    <xdr:sp macro="[0]!CMAOOGFilter" textlink="">
      <xdr:nvSpPr>
        <xdr:cNvPr id="25" name="Rectangle 24">
          <a:extLst>
            <a:ext uri="{FF2B5EF4-FFF2-40B4-BE49-F238E27FC236}">
              <a16:creationId xmlns:a16="http://schemas.microsoft.com/office/drawing/2014/main" id="{0DD9632A-9252-4672-9924-AAE4BF3BB95B}"/>
            </a:ext>
          </a:extLst>
        </xdr:cNvPr>
        <xdr:cNvSpPr/>
      </xdr:nvSpPr>
      <xdr:spPr>
        <a:xfrm>
          <a:off x="10347960" y="3665220"/>
          <a:ext cx="2339340" cy="1295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6</xdr:row>
      <xdr:rowOff>0</xdr:rowOff>
    </xdr:from>
    <xdr:to>
      <xdr:col>26</xdr:col>
      <xdr:colOff>45719</xdr:colOff>
      <xdr:row>8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33FA3D2-C29F-49D3-A6F6-0785AA9C8851}"/>
            </a:ext>
          </a:extLst>
        </xdr:cNvPr>
        <xdr:cNvSpPr txBox="1"/>
      </xdr:nvSpPr>
      <xdr:spPr>
        <a:xfrm>
          <a:off x="23561040" y="1097280"/>
          <a:ext cx="45719" cy="3657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100"/>
            <a:t>=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715E8B0F-D0EE-4D75-9B25-5A7044E5E35C}" autoFormatId="16" applyNumberFormats="0" applyBorderFormats="0" applyFontFormats="0" applyPatternFormats="0" applyAlignmentFormats="0" applyWidthHeightFormats="0">
  <queryTableRefresh nextId="112">
    <queryTableFields count="27">
      <queryTableField id="78" name="Port Booking" tableColumnId="1"/>
      <queryTableField id="79" name="LARA Booking" tableColumnId="2"/>
      <queryTableField id="17" name="BOOKING CHECK" tableColumnId="17"/>
      <queryTableField id="80" name="Port Containers" tableColumnId="3"/>
      <queryTableField id="81" name="LARA Containers" tableColumnId="4"/>
      <queryTableField id="18" name="CONTAINER CHECK" tableColumnId="18"/>
      <queryTableField id="82" name="Transit" tableColumnId="5"/>
      <queryTableField id="83" name="Port T" tableColumnId="6"/>
      <queryTableField id="84" name="LARA T" tableColumnId="7"/>
      <queryTableField id="50" name="Temp chek" tableColumnId="8"/>
      <queryTableField id="85" name="Port POD" tableColumnId="9"/>
      <queryTableField id="86" name="LARA POD" tableColumnId="10"/>
      <queryTableField id="16" name="POD CHECK" tableColumnId="16"/>
      <queryTableField id="87" name="Port FPD" tableColumnId="11"/>
      <queryTableField id="88" name="LARA FPD" tableColumnId="12"/>
      <queryTableField id="54" name="FPD check" tableColumnId="13"/>
      <queryTableField id="89" name="Vent" tableColumnId="14"/>
      <queryTableField id="90" name="Hum" tableColumnId="15"/>
      <queryTableField id="91" name="Port OOG" tableColumnId="20"/>
      <queryTableField id="57" name="OOG" tableColumnId="19"/>
      <queryTableField id="59" name="OOG check" tableColumnId="21"/>
      <queryTableField id="92" name="Port HAZ" tableColumnId="22"/>
      <queryTableField id="93" name="HAZ" tableColumnId="23"/>
      <queryTableField id="62" name="Haz check" tableColumnId="24"/>
      <queryTableField id="94" name="Shipper Name" tableColumnId="25"/>
      <queryTableField id="64" name="CEDO" tableColumnId="26"/>
      <queryTableField id="65" name="CEDO check" tableColumnId="2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B8B90FDD-69DB-4DA0-B1A4-D8F4A0C725D3}" autoFormatId="16" applyNumberFormats="0" applyBorderFormats="0" applyFontFormats="0" applyPatternFormats="0" applyAlignmentFormats="0" applyWidthHeightFormats="0">
  <queryTableRefresh nextId="73">
    <queryTableFields count="21">
      <queryTableField id="22" name="Port Booking" tableColumnId="22"/>
      <queryTableField id="23" name="CMA bookings" tableColumnId="23"/>
      <queryTableField id="3" name="Booking Check" tableColumnId="3"/>
      <queryTableField id="42" name="Port Containers" tableColumnId="33"/>
      <queryTableField id="61" name="CMA Container" tableColumnId="35"/>
      <queryTableField id="7" name="Container check" tableColumnId="7"/>
      <queryTableField id="8" name="Tr State" tableColumnId="8"/>
      <queryTableField id="62" name="Port T" tableColumnId="36"/>
      <queryTableField id="63" name="CMA T" tableColumnId="37"/>
      <queryTableField id="17" name="Temp chek" tableColumnId="17"/>
      <queryTableField id="26" name="Port POD" tableColumnId="26"/>
      <queryTableField id="27" name="CMA POD" tableColumnId="27"/>
      <queryTableField id="11" name="POD check" tableColumnId="11"/>
      <queryTableField id="28" name="Port FPD" tableColumnId="28"/>
      <queryTableField id="29" name="CMA FPD" tableColumnId="29"/>
      <queryTableField id="14" name="FPD check" tableColumnId="14"/>
      <queryTableField id="18" name="Vent" tableColumnId="18"/>
      <queryTableField id="67" name="Hum" tableColumnId="38"/>
      <queryTableField id="68" name="OOG" tableColumnId="39"/>
      <queryTableField id="69" name="HZ" tableColumnId="40"/>
      <queryTableField id="24" name="CMA Bkg.Name" tableColumnId="2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0593D21-6215-4C43-B244-9EE41EEEEF78}" autoFormatId="16" applyNumberFormats="0" applyBorderFormats="0" applyFontFormats="0" applyPatternFormats="0" applyAlignmentFormats="0" applyWidthHeightFormats="0">
  <queryTableRefresh nextId="14">
    <queryTableFields count="13">
      <queryTableField id="1" name="Container No" tableColumnId="1"/>
      <queryTableField id="2" name="Booking No" tableColumnId="2"/>
      <queryTableField id="3" name="ISO" tableColumnId="3"/>
      <queryTableField id="4" name="Tr State" tableColumnId="4"/>
      <queryTableField id="5" name="CEDO" tableColumnId="5"/>
      <queryTableField id="6" name="POD" tableColumnId="6"/>
      <queryTableField id="7" name="Dest" tableColumnId="7"/>
      <queryTableField id="8" name="Cmdty" tableColumnId="8"/>
      <queryTableField id="9" name="Temp" tableColumnId="9"/>
      <queryTableField id="10" name="Vent" tableColumnId="10"/>
      <queryTableField id="11" name="Humidity" tableColumnId="11"/>
      <queryTableField id="12" name="OOG" tableColumnId="12"/>
      <queryTableField id="13" name="Hazard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CF50BEBB-95B6-45F0-9B6C-41F2D3B63C01}" autoFormatId="16" applyNumberFormats="0" applyBorderFormats="0" applyFontFormats="0" applyPatternFormats="0" applyAlignmentFormats="0" applyWidthHeightFormats="0">
  <queryTableRefresh nextId="12">
    <queryTableFields count="11">
      <queryTableField id="1" name="Container ID" tableColumnId="1"/>
      <queryTableField id="2" name="Booking Nbr" tableColumnId="2"/>
      <queryTableField id="3" name="Transit State" tableColumnId="3"/>
      <queryTableField id="4" name="CEDO" tableColumnId="4"/>
      <queryTableField id="5" name="POD" tableColumnId="5"/>
      <queryTableField id="6" name="Dest" tableColumnId="6"/>
      <queryTableField id="7" name="Temp Required" tableColumnId="7"/>
      <queryTableField id="8" name="Vent Req" tableColumnId="8"/>
      <queryTableField id="9" name="Humidity" tableColumnId="9"/>
      <queryTableField id="10" name="OOG" tableColumnId="10"/>
      <queryTableField id="11" name="Hazardous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E9EAEC7-625B-4004-9209-998F57803A78}" autoFormatId="16" applyNumberFormats="0" applyBorderFormats="0" applyFontFormats="0" applyPatternFormats="0" applyAlignmentFormats="0" applyWidthHeightFormats="0">
  <queryTableRefresh nextId="25">
    <queryTableFields count="8">
      <queryTableField id="1" name="Cont.Id" tableColumnId="1"/>
      <queryTableField id="15" name="HZ" tableColumnId="2"/>
      <queryTableField id="16" name="T" tableColumnId="4"/>
      <queryTableField id="17" name="OOG" tableColumnId="6"/>
      <queryTableField id="3" name="Ref" tableColumnId="3"/>
      <queryTableField id="18" name="Bkg.Name" tableColumnId="7"/>
      <queryTableField id="19" name="POD" tableColumnId="8"/>
      <queryTableField id="8" name="FPD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2E93B91-1FD3-40F1-8281-BA93341E445E}" name="Merge1" displayName="Merge1" ref="B23:AB24" tableType="queryTable" insertRow="1" totalsRowShown="0">
  <autoFilter ref="B23:AB24" xr:uid="{1C9055A1-C14B-4B39-8B7B-94057E10C63C}">
    <filterColumn colId="1">
      <customFilters>
        <customFilter operator="notEqual" val=" "/>
      </customFilters>
    </filterColumn>
    <filterColumn colId="4">
      <filters blank="1"/>
    </filterColumn>
  </autoFilter>
  <sortState xmlns:xlrd2="http://schemas.microsoft.com/office/spreadsheetml/2017/richdata2" ref="B24:AB24">
    <sortCondition ref="Z23:Z24"/>
  </sortState>
  <tableColumns count="27">
    <tableColumn id="1" xr3:uid="{5C863179-4A1B-4505-A961-92DA0BAAD15A}" uniqueName="1" name="Port Booking" queryTableFieldId="78" dataDxfId="59" dataCellStyle="20% - Accent1"/>
    <tableColumn id="2" xr3:uid="{42BC88BE-A3EF-436D-8158-ED2029D66139}" uniqueName="2" name="LARA Booking" queryTableFieldId="79" dataDxfId="58" dataCellStyle="Style 2"/>
    <tableColumn id="17" xr3:uid="{1D987B45-E99C-49CC-9666-7FE0D7B03C4F}" uniqueName="17" name="Booking Check" queryTableFieldId="17" dataDxfId="57"/>
    <tableColumn id="3" xr3:uid="{0EF7ED69-6E81-475B-B266-8232FF57DFC4}" uniqueName="3" name="Port Containers" queryTableFieldId="80" dataDxfId="56" dataCellStyle="20% - Accent1"/>
    <tableColumn id="4" xr3:uid="{0C89982C-7DF8-4C66-800B-D7A5DEB7D60B}" uniqueName="4" name="LARA Containers" queryTableFieldId="81" dataDxfId="55" dataCellStyle="Style 2"/>
    <tableColumn id="18" xr3:uid="{8215E391-E038-4751-B86F-5B43FDC4D585}" uniqueName="18" name="Container check" queryTableFieldId="18" dataDxfId="54"/>
    <tableColumn id="5" xr3:uid="{F5C0BEBE-4922-4791-BC11-16341401D17B}" uniqueName="5" name="Transit" queryTableFieldId="82" dataDxfId="53" dataCellStyle="20% - Accent3"/>
    <tableColumn id="6" xr3:uid="{E3E4E356-B62E-4E94-A7BE-176380329341}" uniqueName="6" name="Port T" queryTableFieldId="83" dataDxfId="52" dataCellStyle="20% - Accent1"/>
    <tableColumn id="7" xr3:uid="{91E314A5-0991-45BB-B91A-959E5BDC74B7}" uniqueName="7" name="LARA T" queryTableFieldId="84" dataDxfId="51" dataCellStyle="Style 2"/>
    <tableColumn id="8" xr3:uid="{F8932706-629B-4520-AA04-ACBF40DCC816}" uniqueName="8" name="Temp chek" queryTableFieldId="50" dataDxfId="50"/>
    <tableColumn id="9" xr3:uid="{79CD8839-09C6-47F6-A19A-26311EB2071B}" uniqueName="9" name="Port POD" queryTableFieldId="85" dataDxfId="49" dataCellStyle="20% - Accent1"/>
    <tableColumn id="10" xr3:uid="{D5F7D44A-0ED1-4AB7-9E5A-890F63D1E990}" uniqueName="10" name="LARA POD" queryTableFieldId="86" dataDxfId="48" dataCellStyle="Style 2"/>
    <tableColumn id="16" xr3:uid="{8C7B7CC3-0FB9-457C-B3BF-EC9DE9B6F2E4}" uniqueName="16" name="POD check" queryTableFieldId="16" dataDxfId="47"/>
    <tableColumn id="11" xr3:uid="{830B4F00-228C-4B69-B615-0D0FB4F98C5E}" uniqueName="11" name="Port FPD" queryTableFieldId="87" dataDxfId="46" dataCellStyle="20% - Accent1"/>
    <tableColumn id="12" xr3:uid="{981BCED5-91B6-4227-9268-AEBE1E87C98D}" uniqueName="12" name="LARA FPD" queryTableFieldId="88" dataDxfId="45" dataCellStyle="Style 2"/>
    <tableColumn id="13" xr3:uid="{9FE6CA81-586A-4020-9AA6-167375B11BEF}" uniqueName="13" name="FPD check" queryTableFieldId="54" dataDxfId="44"/>
    <tableColumn id="14" xr3:uid="{82155D8A-0DD8-4301-A2D5-F118945C9E89}" uniqueName="14" name="Vent" queryTableFieldId="89" dataDxfId="43" dataCellStyle="20% - Accent3"/>
    <tableColumn id="15" xr3:uid="{31B9EB9F-EED3-4ED2-8276-16D4A76422DF}" uniqueName="15" name="Hum" queryTableFieldId="90" dataDxfId="42" dataCellStyle="20% - Accent3"/>
    <tableColumn id="20" xr3:uid="{A6B830E0-674B-4C0F-B122-6FDD41BF9368}" uniqueName="20" name="Port OOG" queryTableFieldId="91" dataDxfId="41" dataCellStyle="20% - Accent3"/>
    <tableColumn id="19" xr3:uid="{4D49DA90-B616-41D9-AD78-4E63DB61FD35}" uniqueName="19" name="OOG" queryTableFieldId="57" dataDxfId="40" dataCellStyle="20% - Accent3"/>
    <tableColumn id="21" xr3:uid="{A46C8570-1CBD-49FE-87AE-1FB2C3F1CD36}" uniqueName="21" name="OOG check" queryTableFieldId="59" dataDxfId="39" dataCellStyle="20% - Accent3"/>
    <tableColumn id="22" xr3:uid="{D7A6BAA2-2BE1-459B-966E-925A34C49B9D}" uniqueName="22" name="Port HAZ" queryTableFieldId="92" dataDxfId="38" dataCellStyle="20% - Accent3"/>
    <tableColumn id="23" xr3:uid="{7DA00ED9-105F-4AAD-9F08-A93B6F5EB43E}" uniqueName="23" name="HAZ" queryTableFieldId="93" dataDxfId="37" dataCellStyle="20% - Accent3"/>
    <tableColumn id="24" xr3:uid="{95B4C12E-CBF2-4F17-AFAD-DD68F3AD525A}" uniqueName="24" name="Haz check" queryTableFieldId="62" dataDxfId="36" dataCellStyle="20% - Accent3"/>
    <tableColumn id="25" xr3:uid="{3318DD6F-2230-4517-BE9D-015AACD8389C}" uniqueName="25" name="Shipper Name" queryTableFieldId="94" dataDxfId="35" dataCellStyle="20% - Accent3"/>
    <tableColumn id="26" xr3:uid="{BA351691-08BC-4901-9F32-331DBF0D533F}" uniqueName="26" name="CEDO" queryTableFieldId="64" dataDxfId="34" dataCellStyle="20% - Accent3"/>
    <tableColumn id="27" xr3:uid="{1BBEB77A-916B-4EA7-90A2-B28C2EE01154}" uniqueName="27" name="CEDO check" queryTableFieldId="65"/>
  </tableColumns>
  <tableStyleInfo name="Table Style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AAFDC6-BACC-43D2-A17A-3C2F86C88E4D}" name="Merge2" displayName="Merge2" ref="B24:V25" tableType="queryTable" insertRow="1" totalsRowShown="0">
  <autoFilter ref="B24:V25" xr:uid="{649D3F42-B735-4B99-AEC6-A16902833F16}">
    <filterColumn colId="3">
      <filters blank="1"/>
    </filterColumn>
    <filterColumn colId="4">
      <customFilters>
        <customFilter operator="notEqual" val=" "/>
      </customFilters>
    </filterColumn>
  </autoFilter>
  <tableColumns count="21">
    <tableColumn id="22" xr3:uid="{F81FE364-920F-4A66-B3F9-9425AC38A7EA}" uniqueName="22" name="Port Booking" queryTableFieldId="22" dataDxfId="33" dataCellStyle="20% - Accent1"/>
    <tableColumn id="23" xr3:uid="{07CE2A08-D730-45A4-9A20-E964E7D2A737}" uniqueName="23" name="CMA bookings" queryTableFieldId="23" dataDxfId="32" dataCellStyle="Style 2"/>
    <tableColumn id="3" xr3:uid="{1C01C042-4061-4D9D-BDF1-65B617B8D2A3}" uniqueName="3" name="Booking Check" queryTableFieldId="3"/>
    <tableColumn id="33" xr3:uid="{DFD42EBB-02E9-4690-8B63-66BEF96CDE8E}" uniqueName="33" name="Port Containers" queryTableFieldId="42" dataDxfId="31" dataCellStyle="20% - Accent1"/>
    <tableColumn id="35" xr3:uid="{062CB2C5-8339-498C-BFD6-97A3C3D38886}" uniqueName="35" name="CMA Container" queryTableFieldId="61" dataDxfId="30" dataCellStyle="Style 2"/>
    <tableColumn id="7" xr3:uid="{9A8B952B-B40E-4693-A39D-3313FF34E0AA}" uniqueName="7" name="Container check" queryTableFieldId="7"/>
    <tableColumn id="8" xr3:uid="{4A78935B-CB99-4F70-B14A-E5B5BF86D1D3}" uniqueName="8" name="Tr State" queryTableFieldId="8" dataDxfId="29" dataCellStyle="20% - Accent3"/>
    <tableColumn id="36" xr3:uid="{49E8B744-9936-40B2-9F15-45AE0FFC10AA}" uniqueName="36" name="Port T" queryTableFieldId="62" dataDxfId="28" dataCellStyle="20% - Accent1"/>
    <tableColumn id="37" xr3:uid="{66174981-8C9E-4129-ABEE-C647E2BA5990}" uniqueName="37" name="CMA T" queryTableFieldId="63" dataDxfId="27" dataCellStyle="Style 2"/>
    <tableColumn id="17" xr3:uid="{EC85C203-6E85-4EEC-A3F6-57574B81D4B7}" uniqueName="17" name="Temp chek" queryTableFieldId="17"/>
    <tableColumn id="26" xr3:uid="{D65F3DF2-40A5-4FCF-A029-59BC493D2386}" uniqueName="26" name="Port POD" queryTableFieldId="26" dataDxfId="26" dataCellStyle="20% - Accent1"/>
    <tableColumn id="27" xr3:uid="{7523C830-24EE-4307-A20D-AA4897DA6ADE}" uniqueName="27" name="CMA POD" queryTableFieldId="27" dataDxfId="25" dataCellStyle="Style 2"/>
    <tableColumn id="11" xr3:uid="{E6A12B63-C1A3-4DC9-B651-4552312C44D7}" uniqueName="11" name="POD check" queryTableFieldId="11"/>
    <tableColumn id="28" xr3:uid="{7B6F1F48-63A2-45F6-B31A-7BA70A89EF54}" uniqueName="28" name="Port FPD" queryTableFieldId="28" dataDxfId="24" dataCellStyle="20% - Accent1"/>
    <tableColumn id="29" xr3:uid="{AA558929-3C95-4548-9482-DA40F1E528C5}" uniqueName="29" name="CMA FPD" queryTableFieldId="29" dataDxfId="23" dataCellStyle="Style 2"/>
    <tableColumn id="14" xr3:uid="{0C0B460C-538C-4159-8F3F-45195161BD26}" uniqueName="14" name="FPD check" queryTableFieldId="14"/>
    <tableColumn id="18" xr3:uid="{C53179A8-64F0-42F8-BD08-8B863A933154}" uniqueName="18" name="Vent" queryTableFieldId="18" dataDxfId="22" dataCellStyle="20% - Accent3"/>
    <tableColumn id="38" xr3:uid="{0D8EE954-CA29-460F-B975-A86604894019}" uniqueName="38" name="Hum" queryTableFieldId="67" dataDxfId="21" dataCellStyle="20% - Accent3"/>
    <tableColumn id="39" xr3:uid="{49FBEE9C-27A1-4EC2-B684-2ACAE1A6931A}" uniqueName="39" name="OOG" queryTableFieldId="68" dataDxfId="20" dataCellStyle="20% - Accent3"/>
    <tableColumn id="40" xr3:uid="{9527F6D1-4BDC-49F6-9A18-2FA8511E3FD2}" uniqueName="40" name="HZ" queryTableFieldId="69" dataDxfId="19" dataCellStyle="20% - Accent3"/>
    <tableColumn id="24" xr3:uid="{F40BC5B0-93E3-472C-A91B-3072892C33C7}" uniqueName="24" name="CMA Bkg.Name" queryTableFieldId="24" dataDxfId="18" dataCellStyle="20% - Accent3"/>
  </tableColumns>
  <tableStyleInfo name="Table Style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36D4C4-8707-4713-AA6F-BBD053A610B5}" name="NapierLL" displayName="NapierLL" ref="A1:BZ101" totalsRowShown="0" headerRowDxfId="158" dataDxfId="156" headerRowBorderDxfId="157" tableBorderDxfId="155" totalsRowBorderDxfId="154">
  <autoFilter ref="A1:BZ101" xr:uid="{7785E18B-E49B-434D-A08B-71AB5DB1A71B}"/>
  <tableColumns count="78">
    <tableColumn id="1" xr3:uid="{1092513E-8B92-4289-B4D1-C427A08E0507}" name="Container ID" dataDxfId="153"/>
    <tableColumn id="2" xr3:uid="{25788D4C-C8EB-47DD-AF5E-3374C03A1D4E}" name="Line Op" dataDxfId="152"/>
    <tableColumn id="3" xr3:uid="{4DAD5A4B-4849-4651-BDE5-76A709531808}" name="ISO" dataDxfId="151"/>
    <tableColumn id="4" xr3:uid="{1C677439-9663-4FE0-8B13-E7D2B28DA916}" name="Booking Nbr" dataDxfId="150"/>
    <tableColumn id="5" xr3:uid="{55BCBC09-0F67-4F92-BAD9-21EE186EBBF6}" name="Transit State" dataDxfId="149"/>
    <tableColumn id="6" xr3:uid="{3703A628-3465-4244-882B-A01B6A882B13}" name="CEDO" dataDxfId="148"/>
    <tableColumn id="7" xr3:uid="{AF1B8A98-060B-4764-AF9E-9F9B1AD4E8B9}" name="POD" dataDxfId="147"/>
    <tableColumn id="8" xr3:uid="{A6DC595F-1660-440D-823D-0467B42B6AF0}" name="Dest" dataDxfId="146"/>
    <tableColumn id="9" xr3:uid="{E7F9BAFD-0F4C-42DB-B9AD-DE2FE22DE458}" name="Commodity" dataDxfId="145"/>
    <tableColumn id="10" xr3:uid="{8362268E-B6C1-41E0-9558-309E1F349269}" name="Temp Required" dataDxfId="144"/>
    <tableColumn id="11" xr3:uid="{E39469A3-7B62-4907-9A86-76EEBC6D83F0}" name="Vent Req" dataDxfId="143"/>
    <tableColumn id="12" xr3:uid="{A314A853-9ACD-4344-AFEA-ADE23576D9ED}" name="Humidity" dataDxfId="142"/>
    <tableColumn id="13" xr3:uid="{11B60EE0-856C-47F7-84B2-16C6FB15A66D}" name="OOG" dataDxfId="141"/>
    <tableColumn id="14" xr3:uid="{A8694131-930D-48FC-8A85-004D063D86C5}" name="Hazardous" dataDxfId="140"/>
    <tableColumn id="15" xr3:uid="{E0C9C234-5302-408D-AB25-0028C8F03FA1}" name="Column1" dataDxfId="139"/>
    <tableColumn id="16" xr3:uid="{110A10A0-987A-4AF0-8ADD-0DD9F74D653A}" name="Column2" dataDxfId="138"/>
    <tableColumn id="17" xr3:uid="{FE1821F5-83A1-4CB3-AFB4-A8BE0AC3ED30}" name="Column3" dataDxfId="137"/>
    <tableColumn id="18" xr3:uid="{B23C1E3E-4941-4C44-8311-D2FDEAD92E50}" name="Column4" dataDxfId="136"/>
    <tableColumn id="19" xr3:uid="{24D20D6F-1E8F-46DD-A79E-0EBBF1CACDBB}" name="Column5" dataDxfId="135"/>
    <tableColumn id="20" xr3:uid="{AA298555-F689-443C-8EF7-A01DBC814633}" name="Column6" dataDxfId="134"/>
    <tableColumn id="21" xr3:uid="{3E082F49-53C6-40D6-87B3-36E93C1F87E4}" name="Column7" dataDxfId="133"/>
    <tableColumn id="22" xr3:uid="{04116377-2326-474F-B848-600C636B68F9}" name="Column8" dataDxfId="132"/>
    <tableColumn id="23" xr3:uid="{83E19F4D-69E8-43EA-B2A1-704B95BAE0EB}" name="Column9" dataDxfId="131"/>
    <tableColumn id="24" xr3:uid="{4BF1B08D-E44E-49E9-BFCC-654E60D8B2FE}" name="Column10" dataDxfId="130"/>
    <tableColumn id="25" xr3:uid="{A602960E-F268-499A-ACDC-1D1625E3D618}" name="Column11" dataDxfId="129"/>
    <tableColumn id="26" xr3:uid="{F13E7EE4-CFFD-4C71-B131-575D4B4D5F91}" name="Column12" dataDxfId="128"/>
    <tableColumn id="27" xr3:uid="{A4078F3A-9975-403C-B0A1-81229792CC80}" name="Column13" dataDxfId="127"/>
    <tableColumn id="28" xr3:uid="{988646E0-67BC-42A0-B578-F1898728D2EB}" name="Column14" dataDxfId="126"/>
    <tableColumn id="29" xr3:uid="{03E6C60D-2693-4438-A2C2-C53BC63690FC}" name="Column15" dataDxfId="125"/>
    <tableColumn id="30" xr3:uid="{A4A6D191-D225-41B4-8644-3DC57C950B25}" name="Column16" dataDxfId="124"/>
    <tableColumn id="31" xr3:uid="{33C09860-079A-446A-9D1F-BB765BC10E9A}" name="Column17" dataDxfId="123"/>
    <tableColumn id="32" xr3:uid="{C6F98869-9207-4F2E-96EA-870BCC91522C}" name="Column18" dataDxfId="122"/>
    <tableColumn id="33" xr3:uid="{F0CA0B52-AD6E-488F-A2BA-460F17FDA188}" name="Column19" dataDxfId="121"/>
    <tableColumn id="34" xr3:uid="{01248819-F95D-4D67-B4B6-DB2637EE28BF}" name="Column20" dataDxfId="120"/>
    <tableColumn id="35" xr3:uid="{631441BF-B1E6-42A2-8979-D78F12B8C8D0}" name="Column21" dataDxfId="119"/>
    <tableColumn id="36" xr3:uid="{413B7FE8-13B2-4FBD-917C-752D21F0A368}" name="Column22" dataDxfId="118"/>
    <tableColumn id="37" xr3:uid="{C2B88F4A-CFB4-4F1D-9BC5-1FBEDA046770}" name="Column23" dataDxfId="117"/>
    <tableColumn id="38" xr3:uid="{564BF9D9-313D-4B23-B379-6050A8BBDC38}" name="Column24" dataDxfId="116"/>
    <tableColumn id="39" xr3:uid="{F1F81D60-E62A-4E98-B477-99BA6794811F}" name="Column25" dataDxfId="115"/>
    <tableColumn id="40" xr3:uid="{A5E1884E-F314-49F5-A453-3223E7D5D9FB}" name="Column26" dataDxfId="114"/>
    <tableColumn id="41" xr3:uid="{6475B44C-4020-4320-89D7-F64C9F7E5C3E}" name="Column27" dataDxfId="113"/>
    <tableColumn id="42" xr3:uid="{456B1C56-5B5E-4E66-9FBA-2965B9D38169}" name="Column28" dataDxfId="112"/>
    <tableColumn id="43" xr3:uid="{B0529A96-1918-416B-8B66-D1734D81A69C}" name="Column29" dataDxfId="111"/>
    <tableColumn id="44" xr3:uid="{8F379C9B-E5C8-4670-A651-CA07FEDB6F86}" name="Column30" dataDxfId="110"/>
    <tableColumn id="45" xr3:uid="{B3340B62-E8EC-4800-B20E-47BED06403AA}" name="Column31" dataDxfId="109"/>
    <tableColumn id="46" xr3:uid="{9D6BD671-C987-4A38-8DD3-70E9A2A80385}" name="Column32" dataDxfId="108"/>
    <tableColumn id="47" xr3:uid="{804BC3A1-A225-475D-97A8-1655FD50FEA8}" name="Column33" dataDxfId="107"/>
    <tableColumn id="48" xr3:uid="{30A7457F-B316-447E-AF25-8C004525B300}" name="Column34" dataDxfId="106"/>
    <tableColumn id="49" xr3:uid="{CDE101F4-6E3E-49E2-B1E4-14753972B661}" name="Column35" dataDxfId="105"/>
    <tableColumn id="50" xr3:uid="{73556634-2DA5-4793-9B2C-8EA84B7571EB}" name="Column36" dataDxfId="104"/>
    <tableColumn id="51" xr3:uid="{43309112-FA73-4817-93E3-A602C7FE3410}" name="Column37" dataDxfId="103"/>
    <tableColumn id="52" xr3:uid="{87DCA04B-62B6-435F-B3D5-55E59C20DA5E}" name="Column38" dataDxfId="102"/>
    <tableColumn id="53" xr3:uid="{331735D3-B79A-4F25-BD1F-C7AF361B8FC4}" name="Column39" dataDxfId="101"/>
    <tableColumn id="54" xr3:uid="{73456F82-4D5B-4919-A9D3-637E966E1965}" name="Column40" dataDxfId="100"/>
    <tableColumn id="55" xr3:uid="{13B59313-8C68-4CF9-9179-82E1160C413D}" name="Column41" dataDxfId="99"/>
    <tableColumn id="56" xr3:uid="{DEFCC37F-8973-497F-9BF4-3FE14E40CBD7}" name="Column42" dataDxfId="98"/>
    <tableColumn id="57" xr3:uid="{10B5B602-EEE5-40C2-8727-853FD6A49A16}" name="Column43" dataDxfId="97"/>
    <tableColumn id="58" xr3:uid="{52B65A12-D564-49BA-8EF8-26DE87D40910}" name="Column44" dataDxfId="96"/>
    <tableColumn id="59" xr3:uid="{45E77123-ED45-492D-94DF-8876D5A501B3}" name="Column45" dataDxfId="95"/>
    <tableColumn id="60" xr3:uid="{99E00404-7CFA-4316-A567-D0C7AC81700D}" name="Column46" dataDxfId="94"/>
    <tableColumn id="61" xr3:uid="{C87143E8-8147-47E5-9559-A41B7468E495}" name="Column47" dataDxfId="93"/>
    <tableColumn id="62" xr3:uid="{5EC22495-0261-4E06-A4E0-1E971FD7D034}" name="Column48" dataDxfId="92"/>
    <tableColumn id="63" xr3:uid="{4126098A-6083-4238-9CB3-7D270A4CB359}" name="Column49" dataDxfId="91"/>
    <tableColumn id="64" xr3:uid="{52073D78-4BEA-414D-B702-D04E42EDEAE4}" name="Column50" dataDxfId="90"/>
    <tableColumn id="65" xr3:uid="{7854AD72-501C-4500-A159-13806B23C22F}" name="Column51" dataDxfId="89"/>
    <tableColumn id="66" xr3:uid="{7C3FBEB1-5348-4B20-8CBF-E8CF433521D6}" name="Column52" dataDxfId="88"/>
    <tableColumn id="67" xr3:uid="{AA1A588A-9247-47A4-96D8-745299052D30}" name="Column53" dataDxfId="87"/>
    <tableColumn id="68" xr3:uid="{9E5D3B48-4922-48D1-A4C5-F56D490C7ADE}" name="Column54" dataDxfId="86"/>
    <tableColumn id="69" xr3:uid="{35F333B9-5003-496F-B010-0E08F5CB144E}" name="Column55" dataDxfId="85"/>
    <tableColumn id="70" xr3:uid="{1A8E08AD-4C55-488B-A1C4-2D4C695DB2DD}" name="Column56" dataDxfId="84"/>
    <tableColumn id="71" xr3:uid="{E35B2C5D-A6BA-4B8C-AAC7-38833D1312FF}" name="Column57" dataDxfId="83"/>
    <tableColumn id="72" xr3:uid="{BECED2C8-D771-4D51-8BDC-7F8246031141}" name="Column58" dataDxfId="82"/>
    <tableColumn id="73" xr3:uid="{70A274DC-2012-4B7D-8D46-3D5134334350}" name="Column59" dataDxfId="81"/>
    <tableColumn id="74" xr3:uid="{2C2BDE8B-3A7D-4F0D-AE8B-D32EA5B735D8}" name="Column60" dataDxfId="80"/>
    <tableColumn id="75" xr3:uid="{E4E9FEEF-8F1A-4326-AD97-FB3F5BC82E62}" name="Column61" dataDxfId="79"/>
    <tableColumn id="76" xr3:uid="{9937FA3D-B76A-4B27-A208-EBAC8F915114}" name="Column62" dataDxfId="78"/>
    <tableColumn id="77" xr3:uid="{EF81FC85-92A6-4CA6-A246-EA063195BDE1}" name="Column63" dataDxfId="77"/>
    <tableColumn id="78" xr3:uid="{06223A0B-BD85-45E1-ABEB-F3076DB652D8}" name="Column64" dataDxfId="7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AC01F3-F5E3-4213-977D-A9AFE0EE37AA}" name="NapierCMA" displayName="NapierCMA" ref="A1:M2" tableType="queryTable" insertRow="1" totalsRowShown="0">
  <autoFilter ref="A1:M2" xr:uid="{3FB020A0-AC69-4A54-B0BF-FDF8A63D884E}"/>
  <tableColumns count="13">
    <tableColumn id="1" xr3:uid="{C6E55118-E634-42D8-88B7-D2BE8602A815}" uniqueName="1" name="Container No" queryTableFieldId="1" dataDxfId="17"/>
    <tableColumn id="2" xr3:uid="{17055E35-D194-416D-A44D-3D005B4F529B}" uniqueName="2" name="Booking No" queryTableFieldId="2" dataDxfId="16"/>
    <tableColumn id="3" xr3:uid="{352F6505-C82F-4B95-B536-AE2873EE2ED4}" uniqueName="3" name="ISO" queryTableFieldId="3"/>
    <tableColumn id="4" xr3:uid="{3F4C757F-3CF7-42D8-9C00-7C9BDB039285}" uniqueName="4" name="Tr State" queryTableFieldId="4" dataDxfId="15"/>
    <tableColumn id="5" xr3:uid="{D60F816C-9D18-4AF9-928B-CF5442944F61}" uniqueName="5" name="CEDO" queryTableFieldId="5" dataDxfId="14"/>
    <tableColumn id="6" xr3:uid="{12D8F16E-5E00-4C36-B84B-A2506272F346}" uniqueName="6" name="POD" queryTableFieldId="6" dataDxfId="13"/>
    <tableColumn id="7" xr3:uid="{E86A8484-1B30-41F5-A572-294A398641DF}" uniqueName="7" name="Dest" queryTableFieldId="7" dataDxfId="12"/>
    <tableColumn id="8" xr3:uid="{6B9E32D4-E46D-4A93-87D5-8F64D2951C03}" uniqueName="8" name="Cmdty" queryTableFieldId="8" dataDxfId="11"/>
    <tableColumn id="9" xr3:uid="{A07BA6A5-0B8D-494A-86A7-17419C7F24D6}" uniqueName="9" name="Temp" queryTableFieldId="9"/>
    <tableColumn id="10" xr3:uid="{16B1B93A-A686-4C09-9EE3-E9E320D23357}" uniqueName="10" name="Vent" queryTableFieldId="10"/>
    <tableColumn id="11" xr3:uid="{80CBCD5B-325D-4A8B-B10E-C1F9612B85DF}" uniqueName="11" name="Humidity" queryTableFieldId="11"/>
    <tableColumn id="12" xr3:uid="{1F55C66C-771A-448A-8F7D-CE55B6BB7122}" uniqueName="12" name="OOG" queryTableFieldId="12"/>
    <tableColumn id="13" xr3:uid="{EB7CA341-4BF4-44E0-89F0-E09C378153B3}" uniqueName="13" name="Hazard" queryTableField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FD5C80-2AED-4354-9CF5-5DACE80AA7DA}" name="Table1" displayName="Table1" ref="A1:M2" insertRow="1" totalsRowShown="0" headerRowDxfId="75">
  <autoFilter ref="A1:M2" xr:uid="{6AF08AB6-3CF7-4691-B6A5-14F84B615553}"/>
  <tableColumns count="13">
    <tableColumn id="1" xr3:uid="{8B89CF3F-1142-4E15-8298-AB2DA9AF0DED}" name="Container No" dataDxfId="74"/>
    <tableColumn id="2" xr3:uid="{C2785E02-FC21-469E-A47D-B6FA082E55AA}" name="Booking No" dataDxfId="73"/>
    <tableColumn id="3" xr3:uid="{903810A4-6AC5-43A2-BD83-138032AAC3D3}" name="ISO" dataDxfId="72"/>
    <tableColumn id="4" xr3:uid="{84D6F994-19EC-44DB-BC7F-8CB6E2AF6898}" name="Tr State" dataDxfId="71"/>
    <tableColumn id="5" xr3:uid="{7CEF8C9C-E1C6-4361-8B2C-2FF165E524B8}" name="CEDO" dataDxfId="70"/>
    <tableColumn id="6" xr3:uid="{C1073F78-46AC-47AF-970B-2E3CAECE9F9E}" name="POD" dataDxfId="69"/>
    <tableColumn id="7" xr3:uid="{03935556-9C60-4B58-9CE3-746F019C6270}" name="Dest" dataDxfId="68"/>
    <tableColumn id="8" xr3:uid="{1D1D2A2A-8E7E-4BA0-8CCF-9FFA5B065151}" name="Cmdty" dataDxfId="67"/>
    <tableColumn id="9" xr3:uid="{8E8E43FA-B5E5-4B06-B12E-80747E09FB65}" name="Temp" dataDxfId="66"/>
    <tableColumn id="10" xr3:uid="{4FDB8F84-B3AD-4604-B936-0D3DBBAC54ED}" name="Vent" dataDxfId="65"/>
    <tableColumn id="11" xr3:uid="{6CB85006-C58C-48E1-AFFA-3173D32E84A9}" name="Humidity" dataDxfId="64"/>
    <tableColumn id="12" xr3:uid="{F57BC8C1-37D5-479D-94C5-AE9D26CA3693}" name="OOG" dataDxfId="63"/>
    <tableColumn id="13" xr3:uid="{FBD5A079-01D5-47C7-95F6-45F33BEA35E6}" name="Hazard" dataDxfId="6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249E8B-1048-4BBC-AE2D-AF3BDE9E701C}" name="Table5" displayName="Table5" ref="A1:BZ209" totalsRowShown="0" headerRowDxfId="61" headerRowBorderDxfId="60">
  <autoFilter ref="A1:BZ209" xr:uid="{32992567-B413-4705-865D-627D38B4034D}"/>
  <tableColumns count="78">
    <tableColumn id="1" xr3:uid="{69CC416E-0C12-4EFF-BA63-BC232BA20179}" name="Count"/>
    <tableColumn id="2" xr3:uid="{57B71649-E4E5-40C5-8D9D-3C3D0BB519CB}" name="Cont.Id"/>
    <tableColumn id="3" xr3:uid="{9FB44CB4-E0A3-4B22-BE64-5B15CE1F3AEE}" name="ISO id"/>
    <tableColumn id="4" xr3:uid="{469F8BB5-A194-4920-AB90-7ADAE6DF6A01}" name="Operator"/>
    <tableColumn id="5" xr3:uid="{1DCA6A6B-A453-4FEB-AD8A-0D85F2159E18}" name="Trade Operator"/>
    <tableColumn id="6" xr3:uid="{22C1FE08-C7EC-4FB4-9BCF-A3D14471CD74}" name="Idle time"/>
    <tableColumn id="7" xr3:uid="{AC4AA8AC-11F8-470F-9776-2CBB52A3D947}" name="Custom"/>
    <tableColumn id="8" xr3:uid="{5C50075F-0D42-4215-8882-1256E0A30872}" name="Nomination"/>
    <tableColumn id="9" xr3:uid="{FFB6DC67-921B-4E16-8FA8-01F343DC2250}" name="Track"/>
    <tableColumn id="10" xr3:uid="{7225A9B2-9B87-45F8-907A-A03C04FB4049}" name="Stack"/>
    <tableColumn id="11" xr3:uid="{96BE07BC-705E-48DA-9F61-4EE87B3CC9EE}" name="RF"/>
    <tableColumn id="12" xr3:uid="{EA059938-F9D5-4F2B-8284-96B33C5675CA}" name="NOR"/>
    <tableColumn id="13" xr3:uid="{5E922195-5263-4F05-9135-618F54E900CE}" name="NO ROLL"/>
    <tableColumn id="14" xr3:uid="{7BEED4F4-9398-4879-A873-211B3A4AF453}" name="High Priority"/>
    <tableColumn id="15" xr3:uid="{68214D01-551D-4FA6-959B-4B9928BB8672}" name="MTY"/>
    <tableColumn id="16" xr3:uid="{BDC4C236-9BBA-46E0-9084-3CA0D1B0A6D9}" name="HZ"/>
    <tableColumn id="17" xr3:uid="{B35F3370-D193-4749-8D54-F347BB4CE818}" name="FX"/>
    <tableColumn id="18" xr3:uid="{BEE8481C-C23D-4CAD-924D-D347BA57340E}" name="T"/>
    <tableColumn id="19" xr3:uid="{EC53E7FE-67D9-4903-9A0F-FCB4B445E8D2}" name="T-"/>
    <tableColumn id="20" xr3:uid="{5B279138-BB09-4B3A-9FC2-DE1F0CC4D77A}" name="T+"/>
    <tableColumn id="21" xr3:uid="{9479020B-4505-42CA-8C72-16678A90C2D5}" name="OOG"/>
    <tableColumn id="22" xr3:uid="{7A5C56DF-2E07-4608-B957-75922511EC7B}" name="OH"/>
    <tableColumn id="23" xr3:uid="{F876DAC8-C0BE-444D-9D7F-FDDDBDC7FAAD}" name="OWR"/>
    <tableColumn id="24" xr3:uid="{334EE28E-4722-4E86-A460-9A9735A55A87}" name="OWL"/>
    <tableColumn id="25" xr3:uid="{B30A3436-401C-47F3-A162-8F334CE5AFBE}" name="OLF"/>
    <tableColumn id="26" xr3:uid="{01DCAE27-4247-4959-81F7-3CD4FAC43A32}" name="OLR"/>
    <tableColumn id="27" xr3:uid="{A143682C-EB0D-41D6-A206-3C6FB61DCF9B}" name="OPT"/>
    <tableColumn id="28" xr3:uid="{49710BF6-BD34-4463-9FF4-C232C3569F17}" name="BB"/>
    <tableColumn id="29" xr3:uid="{C03C0F05-D13C-4426-A3FD-6ED5983E40C4}" name="PDT RANK"/>
    <tableColumn id="30" xr3:uid="{C11CF1D9-C17D-4404-9195-8556AFD6DFD8}" name="DETAIL RANK"/>
    <tableColumn id="31" xr3:uid="{AB66D715-4013-4A43-822F-7007E26AE18A}" name="TTL Teus"/>
    <tableColumn id="32" xr3:uid="{8AC5D2BE-C8CC-486F-9647-B648B173F14F}" name="TEU"/>
    <tableColumn id="33" xr3:uid="{F5ADBDF7-321F-4B19-BB2B-837593AE2C0D}" name="Lost"/>
    <tableColumn id="34" xr3:uid="{BFAFB11A-5978-47A1-87E3-922193CD9D56}" name="Weight"/>
    <tableColumn id="35" xr3:uid="{EAB593C7-775A-4F7A-A266-01B58E8C754F}" name="VGM"/>
    <tableColumn id="36" xr3:uid="{CD7B03F9-593B-49C5-9872-782360C38E51}" name="SQ"/>
    <tableColumn id="37" xr3:uid="{6DCBF955-13C4-4FFB-A6A2-FE4C587EAD5A}" name="Cust. Type"/>
    <tableColumn id="38" xr3:uid="{B4F1AC12-0BB0-4118-9F1E-8AE90852EF84}" name="Decidee"/>
    <tableColumn id="39" xr3:uid="{85D27759-69F2-4C59-B2FE-935A0EAF605A}" name="Named Account"/>
    <tableColumn id="40" xr3:uid="{2A271139-85FD-42D2-B089-9B387B07E24F}" name="Consignee"/>
    <tableColumn id="41" xr3:uid="{2A54B562-D236-45AA-9D07-34DA26812852}" name="Commodity"/>
    <tableColumn id="42" xr3:uid="{CB9B549D-333C-4EFC-9B37-527ACFD47093}" name="Ref"/>
    <tableColumn id="43" xr3:uid="{EEB86BD8-5718-4EF2-901A-817EC93A0363}" name="Status"/>
    <tableColumn id="44" xr3:uid="{19F11E2E-A90A-4952-9796-5351B81A1D20}" name="BL"/>
    <tableColumn id="45" xr3:uid="{D71BE5B4-AC88-4DFA-97FB-FFDC58795098}" name="Bkg.Agt"/>
    <tableColumn id="46" xr3:uid="{1B23E149-194A-4C32-9A19-3AB0182E554A}" name="Bkg.Name"/>
    <tableColumn id="47" xr3:uid="{06F4B52D-5C16-431F-A26C-6786D646D193}" name="Bkg.Date"/>
    <tableColumn id="48" xr3:uid="{83D606D1-D73D-46AA-ABFD-80A8870CA182}" name="POO"/>
    <tableColumn id="49" xr3:uid="{99CF4D4A-04DB-4560-8F60-08EC8D736E25}" name="Alt Base Port POL"/>
    <tableColumn id="50" xr3:uid="{258284C5-A4B0-4063-BC68-64F43EE1BAA6}" name="POL"/>
    <tableColumn id="51" xr3:uid="{E81CF40D-BFB9-43CB-9584-D8F7C6F973B1}" name="POD"/>
    <tableColumn id="52" xr3:uid="{19208449-A590-4A2E-9857-2CBD5244E781}" name="Alt Base Port POD"/>
    <tableColumn id="53" xr3:uid="{2963DC8A-E815-4BEC-8CEA-5848DB281DD1}" name="POD TERMINAL"/>
    <tableColumn id="54" xr3:uid="{BC1C721A-2FFE-4B2B-9756-264E2CEEDAD5}" name="Disch. Inst."/>
    <tableColumn id="55" xr3:uid="{6F63E408-EE24-42AA-8838-0A39199EAB57}" name="FPD"/>
    <tableColumn id="56" xr3:uid="{E579040A-B976-44CD-A9E4-63C04B9A0EF3}" name="SO"/>
    <tableColumn id="57" xr3:uid="{A5FE2C6F-BE30-4957-A044-ECD3D8AFE93D}" name="Cut"/>
    <tableColumn id="58" xr3:uid="{0011E260-5819-461A-9C94-8869478ED55E}" name="Source"/>
    <tableColumn id="59" xr3:uid="{04DC63A0-EF16-4AF8-8791-1D82FF987F6E}" name="ETA Prev Leg"/>
    <tableColumn id="60" xr3:uid="{572C8FA5-0884-45B9-A3E6-B8B5088F829A}" name="POL2"/>
    <tableColumn id="61" xr3:uid="{13FF8CD0-FDA5-4767-9D95-639E70783360}" name="Service"/>
    <tableColumn id="62" xr3:uid="{47CD04F7-EC77-4635-AC6B-D8C74CAD3E2D}" name="Vessel"/>
    <tableColumn id="63" xr3:uid="{AA92D778-0383-4DD6-8C4C-2BAE8549B256}" name="Voyage"/>
    <tableColumn id="64" xr3:uid="{D3058183-EA8F-485E-B106-7E40BD09E820}" name="ETA Current Leg"/>
    <tableColumn id="65" xr3:uid="{A0749AB8-8563-4D31-ADB4-E2266B8DB2E8}" name="Service3"/>
    <tableColumn id="66" xr3:uid="{200D356B-D069-4B66-ADD1-C0E876309267}" name="Vessel4"/>
    <tableColumn id="67" xr3:uid="{8F5CDA02-3749-4D63-AE7C-40802363C6D8}" name="Voyage5"/>
    <tableColumn id="68" xr3:uid="{4304DB24-9090-45D4-8367-2A63E72242C3}" name="POL TERMINAL"/>
    <tableColumn id="69" xr3:uid="{9EA3F199-4B84-49E8-BB1C-7E203F27C288}" name="POD6"/>
    <tableColumn id="70" xr3:uid="{4A629E98-A63A-4727-8107-4375B7DF1198}" name="POD TERMINAL7"/>
    <tableColumn id="71" xr3:uid="{CF703232-8B88-4E0C-A8E6-E9BF2D458879}" name="Disch. Inst.8"/>
    <tableColumn id="72" xr3:uid="{59F5E73F-F4C6-48B5-8145-55970B3B85FC}" name="Service9"/>
    <tableColumn id="73" xr3:uid="{0C4771E7-4BC0-4843-AB39-96FF3ACD4EFC}" name="Vessel10"/>
    <tableColumn id="74" xr3:uid="{9ADA01E1-3F1A-40C4-924A-058E2A55BFBE}" name="Voyage11"/>
    <tableColumn id="75" xr3:uid="{422F1292-F1B7-47AF-869B-5A364BF96B20}" name="LARA"/>
    <tableColumn id="76" xr3:uid="{10CF1DAD-EFEA-4491-A9BE-120056894584}" name="From"/>
    <tableColumn id="77" xr3:uid="{97F977FB-4BEA-4A36-99DC-D2DAD70E5F26}" name="Comments"/>
    <tableColumn id="78" xr3:uid="{1BB07876-0416-48CC-A22F-182F217AB492}" name="Comment 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325BE6A-FBBC-4984-8354-089AB9149504}" name="NapierLL_2" displayName="NapierLL_2" ref="A1:K2" tableType="queryTable" insertRow="1" totalsRowShown="0">
  <autoFilter ref="A1:K2" xr:uid="{E94B44E5-C992-4C0A-8C99-0A45E2446178}"/>
  <tableColumns count="11">
    <tableColumn id="1" xr3:uid="{20DC1D8F-440E-42D8-ADE2-D655B9E6E73A}" uniqueName="1" name="Container ID" queryTableFieldId="1"/>
    <tableColumn id="2" xr3:uid="{DA244044-1DE7-4EEE-B983-AB9FABBA9B5D}" uniqueName="2" name="Booking Nbr" queryTableFieldId="2"/>
    <tableColumn id="3" xr3:uid="{A7AC797F-AA5C-46F7-8DDA-880366C7F4E1}" uniqueName="3" name="Transit State" queryTableFieldId="3"/>
    <tableColumn id="4" xr3:uid="{C023D40E-BECB-4562-86D4-9C367765AF46}" uniqueName="4" name="CEDO" queryTableFieldId="4"/>
    <tableColumn id="5" xr3:uid="{9CB9D2BE-4EE3-43B5-AAA0-F06D5EE0FD33}" uniqueName="5" name="POD" queryTableFieldId="5"/>
    <tableColumn id="6" xr3:uid="{16DA1F9C-F4E4-4879-BD57-3B3A605588A0}" uniqueName="6" name="Dest" queryTableFieldId="6"/>
    <tableColumn id="7" xr3:uid="{118707D7-4BDB-4E03-BDB5-495A5BF0E54C}" uniqueName="7" name="Temp Required" queryTableFieldId="7"/>
    <tableColumn id="8" xr3:uid="{90D73314-BAE4-4AE0-B493-7CAA5D372406}" uniqueName="8" name="Vent Req" queryTableFieldId="8"/>
    <tableColumn id="9" xr3:uid="{8332978D-4FFE-45EC-942E-14DBAAA20256}" uniqueName="9" name="Humidity" queryTableFieldId="9"/>
    <tableColumn id="10" xr3:uid="{F2A38865-B623-4129-9125-6C38245604A9}" uniqueName="10" name="OOG" queryTableFieldId="10"/>
    <tableColumn id="11" xr3:uid="{406DD329-D5C1-458C-B7F1-5F1B00C9F760}" uniqueName="11" name="Hazardous" queryTableFieldId="1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D26D92-6E15-4351-B7BA-40E884FFF783}" name="Lara_Cargo" displayName="Lara_Cargo" ref="A1:H2" tableType="queryTable" insertRow="1" totalsRowShown="0">
  <autoFilter ref="A1:H2" xr:uid="{BEEBD5CD-A1FF-44DD-8BCC-060E585BADB2}"/>
  <tableColumns count="8">
    <tableColumn id="1" xr3:uid="{66F3C2C9-8FFD-4D17-9177-B4BBB6233734}" uniqueName="1" name="Cont.Id" queryTableFieldId="1" dataDxfId="2"/>
    <tableColumn id="2" xr3:uid="{52EA573D-BB39-4DE7-897E-FE93D080BA53}" uniqueName="2" name="HZ" queryTableFieldId="15"/>
    <tableColumn id="4" xr3:uid="{FA18229F-D20B-46CE-A8CE-1913333AC52F}" uniqueName="4" name="T" queryTableFieldId="16"/>
    <tableColumn id="6" xr3:uid="{0180A57D-949A-4E66-AA44-31ADE5D34A2F}" uniqueName="6" name="OOG" queryTableFieldId="17"/>
    <tableColumn id="3" xr3:uid="{870C4648-DF8F-42F4-8275-29DD8A006592}" uniqueName="3" name="Ref" queryTableFieldId="3" dataDxfId="1"/>
    <tableColumn id="7" xr3:uid="{BDA0E077-0B0B-46B7-9BCC-87363B3714DD}" uniqueName="7" name="Bkg.Name" queryTableFieldId="18"/>
    <tableColumn id="8" xr3:uid="{A75D3EF5-8E32-4FE1-923F-24F7266DEDF2}" uniqueName="8" name="POD" queryTableFieldId="19"/>
    <tableColumn id="5" xr3:uid="{FB7BA924-6F67-49BB-AE4A-EE38939459E8}" uniqueName="5" name="FPD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8A9C2-9EBC-4B0A-B531-80FD89E2BD5F}">
  <sheetPr codeName="Sheet2"/>
  <dimension ref="A1:DU184"/>
  <sheetViews>
    <sheetView showGridLines="0" tabSelected="1" workbookViewId="0">
      <selection activeCell="C50" sqref="C50"/>
    </sheetView>
  </sheetViews>
  <sheetFormatPr defaultColWidth="0" defaultRowHeight="14.4" x14ac:dyDescent="0.3"/>
  <cols>
    <col min="1" max="1" width="0.88671875" customWidth="1"/>
    <col min="2" max="2" width="13.6640625" bestFit="1" customWidth="1"/>
    <col min="3" max="3" width="14.44140625" bestFit="1" customWidth="1"/>
    <col min="4" max="4" width="15.6640625" hidden="1" customWidth="1"/>
    <col min="5" max="5" width="16" bestFit="1" customWidth="1"/>
    <col min="6" max="6" width="16.77734375" bestFit="1" customWidth="1"/>
    <col min="7" max="7" width="16.88671875" hidden="1" customWidth="1"/>
    <col min="8" max="8" width="8.77734375" bestFit="1" customWidth="1"/>
    <col min="9" max="9" width="8.109375" bestFit="1" customWidth="1"/>
    <col min="10" max="10" width="8.88671875" bestFit="1" customWidth="1"/>
    <col min="11" max="11" width="12.44140625" hidden="1" customWidth="1"/>
    <col min="12" max="12" width="10.6640625" bestFit="1" customWidth="1"/>
    <col min="13" max="13" width="11.44140625" bestFit="1" customWidth="1"/>
    <col min="14" max="14" width="12.33203125" hidden="1" customWidth="1"/>
    <col min="15" max="15" width="10.21875" bestFit="1" customWidth="1"/>
    <col min="16" max="16" width="11" bestFit="1" customWidth="1"/>
    <col min="17" max="17" width="11.6640625" hidden="1" customWidth="1"/>
    <col min="18" max="19" width="7" bestFit="1" customWidth="1"/>
    <col min="20" max="20" width="11.109375" hidden="1" customWidth="1"/>
    <col min="21" max="21" width="7.109375" style="22" bestFit="1" customWidth="1"/>
    <col min="22" max="22" width="12.44140625" hidden="1" customWidth="1"/>
    <col min="23" max="23" width="10.6640625" hidden="1" customWidth="1"/>
    <col min="24" max="24" width="6.44140625" bestFit="1" customWidth="1"/>
    <col min="25" max="25" width="11.5546875" hidden="1" customWidth="1"/>
    <col min="26" max="26" width="14.5546875" bestFit="1" customWidth="1"/>
    <col min="27" max="27" width="7.88671875" bestFit="1" customWidth="1"/>
    <col min="28" max="29" width="13.33203125" hidden="1" customWidth="1"/>
    <col min="30" max="30" width="1.109375" customWidth="1"/>
    <col min="31" max="31" width="11.5546875" hidden="1" customWidth="1"/>
    <col min="32" max="32" width="35" hidden="1" customWidth="1"/>
    <col min="33" max="33" width="7.88671875" hidden="1" customWidth="1"/>
    <col min="34" max="34" width="13.33203125" hidden="1" customWidth="1"/>
    <col min="35" max="35" width="11.5546875" hidden="1" customWidth="1"/>
    <col min="36" max="36" width="34.33203125" hidden="1" customWidth="1"/>
    <col min="37" max="37" width="7.88671875" hidden="1" customWidth="1"/>
    <col min="38" max="38" width="13.33203125" hidden="1" customWidth="1"/>
    <col min="39" max="125" width="0" hidden="1" customWidth="1"/>
    <col min="126" max="16384" width="8.88671875" hidden="1"/>
  </cols>
  <sheetData>
    <row r="1" spans="1:31" ht="4.95" customHeight="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</row>
    <row r="2" spans="1:31" ht="14.4" customHeight="1" x14ac:dyDescent="0.3">
      <c r="A2" s="4"/>
      <c r="G2" s="5"/>
      <c r="H2" s="5"/>
      <c r="I2" s="5"/>
      <c r="J2" s="5"/>
      <c r="K2" s="5"/>
      <c r="L2" s="5"/>
      <c r="AD2" s="4"/>
    </row>
    <row r="3" spans="1:31" ht="14.4" customHeight="1" x14ac:dyDescent="0.3">
      <c r="A3" s="4"/>
      <c r="G3" s="5"/>
      <c r="H3" s="5"/>
      <c r="I3" s="5"/>
      <c r="J3" s="5"/>
      <c r="K3" s="5"/>
      <c r="L3" s="5"/>
      <c r="AD3" s="4"/>
    </row>
    <row r="4" spans="1:31" ht="15.6" customHeight="1" x14ac:dyDescent="0.3">
      <c r="A4" s="4"/>
      <c r="D4" s="5"/>
      <c r="E4" s="32" t="s">
        <v>131</v>
      </c>
      <c r="F4" s="32"/>
      <c r="G4" s="32"/>
      <c r="H4" s="32"/>
      <c r="I4" s="32"/>
      <c r="J4" s="5"/>
      <c r="K4" s="5"/>
      <c r="L4" s="5"/>
      <c r="AD4" s="4"/>
    </row>
    <row r="5" spans="1:31" ht="14.4" customHeight="1" x14ac:dyDescent="0.3">
      <c r="A5" s="4"/>
      <c r="C5" s="7"/>
      <c r="D5" s="5"/>
      <c r="E5" s="32"/>
      <c r="F5" s="32"/>
      <c r="G5" s="32"/>
      <c r="H5" s="32"/>
      <c r="I5" s="32"/>
      <c r="J5" s="5"/>
      <c r="L5" s="5"/>
      <c r="AD5" s="4"/>
    </row>
    <row r="6" spans="1:31" ht="14.4" customHeight="1" x14ac:dyDescent="0.3">
      <c r="A6" s="4"/>
      <c r="C6" s="7"/>
      <c r="D6" s="5"/>
      <c r="E6" s="32"/>
      <c r="F6" s="32"/>
      <c r="G6" s="32"/>
      <c r="H6" s="32"/>
      <c r="I6" s="32"/>
      <c r="J6" s="5"/>
      <c r="L6" s="5"/>
      <c r="AD6" s="4"/>
    </row>
    <row r="7" spans="1:31" ht="14.4" customHeight="1" x14ac:dyDescent="0.3">
      <c r="A7" s="4"/>
      <c r="B7" s="7"/>
      <c r="C7" s="7"/>
      <c r="D7" s="5"/>
      <c r="E7" s="5"/>
      <c r="F7" s="5"/>
      <c r="G7" s="5"/>
      <c r="H7" s="5"/>
      <c r="I7" s="5"/>
      <c r="J7" s="5"/>
      <c r="K7" s="5"/>
      <c r="L7" s="5"/>
      <c r="AD7" s="4"/>
    </row>
    <row r="8" spans="1:31" ht="4.9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1" ht="18" x14ac:dyDescent="0.35">
      <c r="A9" s="4"/>
      <c r="B9" s="68"/>
      <c r="C9" s="68"/>
      <c r="E9" s="8"/>
      <c r="F9" s="8"/>
      <c r="G9" s="8" t="s">
        <v>121</v>
      </c>
      <c r="L9" s="8"/>
      <c r="P9" s="8"/>
      <c r="AD9" s="4"/>
    </row>
    <row r="10" spans="1:31" x14ac:dyDescent="0.3">
      <c r="A10" s="4"/>
      <c r="AD10" s="4"/>
    </row>
    <row r="11" spans="1:31" x14ac:dyDescent="0.3">
      <c r="A11" s="4"/>
      <c r="AD11" s="4"/>
    </row>
    <row r="12" spans="1:31" x14ac:dyDescent="0.3">
      <c r="A12" s="4"/>
      <c r="AD12" s="4"/>
    </row>
    <row r="13" spans="1:31" x14ac:dyDescent="0.3">
      <c r="A13" s="4"/>
      <c r="AD13" s="4"/>
    </row>
    <row r="14" spans="1:31" ht="19.95" customHeight="1" x14ac:dyDescent="0.5">
      <c r="A14" s="4"/>
      <c r="C14" s="25" t="e">
        <f>Calculation!E8</f>
        <v>#DIV/0!</v>
      </c>
      <c r="F14" s="9"/>
      <c r="J14" s="10"/>
      <c r="AD14" s="4"/>
    </row>
    <row r="15" spans="1:31" x14ac:dyDescent="0.3">
      <c r="A15" s="4"/>
      <c r="AD15" s="4"/>
    </row>
    <row r="16" spans="1:31" x14ac:dyDescent="0.3">
      <c r="A16" s="4"/>
      <c r="AD16" s="4"/>
    </row>
    <row r="17" spans="1:125" x14ac:dyDescent="0.3">
      <c r="A17" s="4"/>
      <c r="AD17" s="4"/>
    </row>
    <row r="18" spans="1:125" ht="15" thickBot="1" x14ac:dyDescent="0.35">
      <c r="A18" s="4"/>
      <c r="AD18" s="4"/>
    </row>
    <row r="19" spans="1:125" s="18" customFormat="1" ht="15" thickTop="1" x14ac:dyDescent="0.3">
      <c r="A19" s="15"/>
      <c r="B19" s="46" t="str">
        <f>"             "&amp;Calculation!O2&amp;" "&amp;Calculation!O3</f>
        <v xml:space="preserve">             EMPTY BOOKINGS ANL 0</v>
      </c>
      <c r="C19" s="47"/>
      <c r="D19" s="48"/>
      <c r="E19" s="49" t="str">
        <f>"           "&amp;Calculation!E2&amp;" "&amp;Calculation!E3</f>
        <v xml:space="preserve">           CONTAINERS NOT PRE-ADVISED 0</v>
      </c>
      <c r="F19" s="48"/>
      <c r="G19" s="48"/>
      <c r="H19" s="49"/>
      <c r="I19" s="50" t="str">
        <f>"             "&amp;Calculation!H2&amp;" "&amp;Calculation!H3</f>
        <v xml:space="preserve">             POD: 0</v>
      </c>
      <c r="J19" s="48"/>
      <c r="K19" s="48"/>
      <c r="L19" s="48"/>
      <c r="M19" s="49" t="str">
        <f>"                 "&amp;Calculation!J2&amp;" "&amp;Calculation!J3</f>
        <v xml:space="preserve">                 VENTILATION 0</v>
      </c>
      <c r="N19" s="48"/>
      <c r="O19" s="48"/>
      <c r="P19" s="48"/>
      <c r="Q19" s="48"/>
      <c r="R19" s="48"/>
      <c r="S19" s="49" t="str">
        <f>"                 "&amp;Calculation!L2&amp;" "&amp;Calculation!L3</f>
        <v xml:space="preserve">                 HAZ 0</v>
      </c>
      <c r="T19" s="48"/>
      <c r="U19" s="51"/>
      <c r="V19" s="48"/>
      <c r="W19" s="48"/>
      <c r="X19" s="48"/>
      <c r="Y19" s="48"/>
      <c r="Z19" s="49" t="str">
        <f>"                                      "&amp;Calculation!B10&amp;" "&amp;Calculation!B11</f>
        <v xml:space="preserve">                                      CEDO COMPLETED 1</v>
      </c>
      <c r="AA19" s="48"/>
      <c r="AD19" s="4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</row>
    <row r="20" spans="1:125" s="18" customFormat="1" x14ac:dyDescent="0.3">
      <c r="A20" s="15"/>
      <c r="B20" s="16" t="str">
        <f>"            "&amp;Calculation!C7&amp;" "&amp;Calculation!C8</f>
        <v xml:space="preserve">            NOT COMPLETED ANL 0</v>
      </c>
      <c r="C20" s="19"/>
      <c r="E20" s="17" t="str">
        <f>"                  "&amp;Calculation!D2&amp;" "&amp;Calculation!D3</f>
        <v xml:space="preserve">                  CONTAINERS NOT LINKED 0</v>
      </c>
      <c r="F20" s="20"/>
      <c r="I20" s="17" t="str">
        <f>"             "&amp;Calculation!I2&amp;" "&amp;Calculation!I3</f>
        <v xml:space="preserve">             FPD: 0</v>
      </c>
      <c r="M20" s="17" t="str">
        <f>"                     "&amp;Calculation!K2&amp;" "&amp;Calculation!K3</f>
        <v xml:space="preserve">                     HUMIDITY 0</v>
      </c>
      <c r="S20" s="17" t="str">
        <f>"                 "&amp;Calculation!M2&amp;" "&amp;Calculation!M3</f>
        <v xml:space="preserve">                 OOG 0</v>
      </c>
      <c r="U20" s="23"/>
      <c r="Z20" s="17" t="str">
        <f>"                                  "&amp;Calculation!C10&amp;" "&amp;Calculation!C11</f>
        <v xml:space="preserve">                                  CEDO NOT COMPLETED 0</v>
      </c>
      <c r="AD20" s="4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</row>
    <row r="21" spans="1:125" x14ac:dyDescent="0.3">
      <c r="A21" s="4"/>
      <c r="B21" s="24" t="str">
        <f>"            "&amp;Calculation!D7&amp;" "&amp;Calculation!D8</f>
        <v xml:space="preserve">            NOT COMPLETED CMA 1</v>
      </c>
      <c r="D21" s="21" t="str">
        <f>"                                       "&amp;Calculation!F2&amp;" "&amp;Calculation!F3</f>
        <v xml:space="preserve">                                       BOOKING MIS №: 0</v>
      </c>
      <c r="E21" s="21" t="str">
        <f>"                       "&amp;Calculation!F2&amp;" "&amp;Calculation!F3</f>
        <v xml:space="preserve">                       BOOKING MIS №: 0</v>
      </c>
      <c r="I21" s="21" t="str">
        <f>"          "&amp;Calculation!G2&amp;" "&amp;Calculation!G3</f>
        <v xml:space="preserve">          TEMPᵒ: 0</v>
      </c>
      <c r="AD21" s="4"/>
    </row>
    <row r="22" spans="1:125" ht="4.95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D22" s="4"/>
    </row>
    <row r="23" spans="1:125" x14ac:dyDescent="0.3">
      <c r="A23" s="4"/>
      <c r="B23" t="s">
        <v>123</v>
      </c>
      <c r="C23" t="s">
        <v>124</v>
      </c>
      <c r="D23" t="s">
        <v>93</v>
      </c>
      <c r="E23" t="s">
        <v>103</v>
      </c>
      <c r="F23" t="s">
        <v>104</v>
      </c>
      <c r="G23" t="s">
        <v>94</v>
      </c>
      <c r="H23" t="s">
        <v>125</v>
      </c>
      <c r="I23" t="s">
        <v>126</v>
      </c>
      <c r="J23" t="s">
        <v>127</v>
      </c>
      <c r="K23" t="s">
        <v>95</v>
      </c>
      <c r="L23" t="s">
        <v>105</v>
      </c>
      <c r="M23" t="s">
        <v>128</v>
      </c>
      <c r="N23" t="s">
        <v>96</v>
      </c>
      <c r="O23" t="s">
        <v>106</v>
      </c>
      <c r="P23" t="s">
        <v>129</v>
      </c>
      <c r="Q23" t="s">
        <v>97</v>
      </c>
      <c r="R23" t="s">
        <v>122</v>
      </c>
      <c r="S23" t="s">
        <v>130</v>
      </c>
      <c r="T23" t="s">
        <v>107</v>
      </c>
      <c r="U23" t="s">
        <v>25</v>
      </c>
      <c r="V23" t="s">
        <v>98</v>
      </c>
      <c r="W23" t="s">
        <v>108</v>
      </c>
      <c r="X23" t="s">
        <v>102</v>
      </c>
      <c r="Y23" t="s">
        <v>99</v>
      </c>
      <c r="Z23" t="s">
        <v>109</v>
      </c>
      <c r="AA23" t="s">
        <v>87</v>
      </c>
      <c r="AB23" t="s">
        <v>100</v>
      </c>
      <c r="AD23" s="4"/>
    </row>
    <row r="24" spans="1:125" hidden="1" x14ac:dyDescent="0.3">
      <c r="A24" s="4"/>
      <c r="B24" s="26"/>
      <c r="C24" s="31"/>
      <c r="D24" s="55"/>
      <c r="E24" s="56"/>
      <c r="F24" s="57"/>
      <c r="G24" s="55"/>
      <c r="H24" s="58"/>
      <c r="I24" s="56"/>
      <c r="J24" s="29"/>
      <c r="K24" s="55"/>
      <c r="L24" s="56"/>
      <c r="M24" s="57"/>
      <c r="N24" s="55"/>
      <c r="O24" s="56"/>
      <c r="P24" s="57"/>
      <c r="Q24" s="55"/>
      <c r="R24" s="58"/>
      <c r="S24" s="58"/>
      <c r="T24" s="58"/>
      <c r="U24" s="58"/>
      <c r="V24" s="58"/>
      <c r="W24" s="58"/>
      <c r="X24" s="58"/>
      <c r="Y24" s="58"/>
      <c r="Z24" s="58"/>
      <c r="AA24" s="58"/>
      <c r="AD24" s="4"/>
    </row>
    <row r="25" spans="1:125" x14ac:dyDescent="0.3">
      <c r="A25" s="4"/>
      <c r="B25" s="27"/>
      <c r="C25" s="30"/>
      <c r="D25" s="14"/>
      <c r="E25" s="26"/>
      <c r="F25" s="29"/>
      <c r="G25" s="14"/>
      <c r="H25" s="28"/>
      <c r="I25" s="26"/>
      <c r="J25" s="29"/>
      <c r="K25" s="14"/>
      <c r="L25" s="26"/>
      <c r="M25" s="29"/>
      <c r="N25" s="14"/>
      <c r="O25" s="26"/>
      <c r="P25" s="29"/>
      <c r="Q25" s="14"/>
      <c r="R25" s="28"/>
      <c r="S25" s="28"/>
      <c r="T25" s="28"/>
      <c r="U25" s="28"/>
      <c r="V25" s="28"/>
      <c r="W25" s="28"/>
      <c r="X25" s="28"/>
      <c r="Y25" s="28"/>
      <c r="Z25" s="28"/>
      <c r="AA25" s="28"/>
      <c r="AD25" s="4"/>
    </row>
    <row r="26" spans="1:125" x14ac:dyDescent="0.3">
      <c r="A26" s="4"/>
      <c r="B26" s="27"/>
      <c r="C26" s="30"/>
      <c r="D26" s="14"/>
      <c r="E26" s="26"/>
      <c r="F26" s="29"/>
      <c r="G26" s="14"/>
      <c r="H26" s="28"/>
      <c r="I26" s="26"/>
      <c r="J26" s="30"/>
      <c r="K26" s="14"/>
      <c r="L26" s="26"/>
      <c r="M26" s="31"/>
      <c r="N26" s="14"/>
      <c r="O26" s="26"/>
      <c r="P26" s="31"/>
      <c r="Q26" s="14"/>
      <c r="R26" s="28"/>
      <c r="S26" s="28"/>
      <c r="T26" s="28"/>
      <c r="U26" s="28"/>
      <c r="V26" s="28"/>
      <c r="W26" s="28"/>
      <c r="X26" s="28"/>
      <c r="Y26" s="28"/>
      <c r="Z26" s="28"/>
      <c r="AA26" s="28"/>
      <c r="AD26" s="4"/>
    </row>
    <row r="27" spans="1:125" x14ac:dyDescent="0.3">
      <c r="A27" s="4"/>
      <c r="B27" s="27"/>
      <c r="C27" s="30"/>
      <c r="D27" s="14"/>
      <c r="E27" s="26"/>
      <c r="F27" s="29"/>
      <c r="G27" s="14"/>
      <c r="H27" s="28"/>
      <c r="I27" s="26"/>
      <c r="J27" s="30"/>
      <c r="K27" s="14"/>
      <c r="L27" s="26"/>
      <c r="M27" s="29"/>
      <c r="N27" s="14"/>
      <c r="O27" s="26"/>
      <c r="P27" s="31"/>
      <c r="Q27" s="14"/>
      <c r="R27" s="28"/>
      <c r="S27" s="28"/>
      <c r="T27" s="28"/>
      <c r="U27" s="28"/>
      <c r="V27" s="28"/>
      <c r="W27" s="28"/>
      <c r="X27" s="28"/>
      <c r="Y27" s="28"/>
      <c r="Z27" s="28"/>
      <c r="AA27" s="28"/>
      <c r="AD27" s="4"/>
    </row>
    <row r="28" spans="1:125" x14ac:dyDescent="0.3">
      <c r="A28" s="4"/>
      <c r="B28" s="27"/>
      <c r="C28" s="30"/>
      <c r="D28" s="14"/>
      <c r="E28" s="26"/>
      <c r="F28" s="29"/>
      <c r="G28" s="14"/>
      <c r="H28" s="28"/>
      <c r="I28" s="26"/>
      <c r="J28" s="29"/>
      <c r="K28" s="14"/>
      <c r="L28" s="26"/>
      <c r="M28" s="29"/>
      <c r="N28" s="14"/>
      <c r="O28" s="26"/>
      <c r="P28" s="29"/>
      <c r="Q28" s="14"/>
      <c r="R28" s="28"/>
      <c r="S28" s="28"/>
      <c r="T28" s="28"/>
      <c r="U28" s="28"/>
      <c r="V28" s="28"/>
      <c r="W28" s="28"/>
      <c r="X28" s="28"/>
      <c r="Y28" s="28"/>
      <c r="Z28" s="28"/>
      <c r="AA28" s="28"/>
      <c r="AD28" s="4"/>
    </row>
    <row r="29" spans="1:125" x14ac:dyDescent="0.3">
      <c r="A29" s="4"/>
      <c r="B29" s="27"/>
      <c r="C29" s="30"/>
      <c r="D29" s="14"/>
      <c r="E29" s="26"/>
      <c r="F29" s="29"/>
      <c r="G29" s="14"/>
      <c r="H29" s="28"/>
      <c r="I29" s="26"/>
      <c r="J29" s="29"/>
      <c r="K29" s="14"/>
      <c r="L29" s="26"/>
      <c r="M29" s="29"/>
      <c r="N29" s="14"/>
      <c r="O29" s="26"/>
      <c r="P29" s="29"/>
      <c r="Q29" s="14"/>
      <c r="R29" s="28"/>
      <c r="S29" s="28"/>
      <c r="T29" s="28"/>
      <c r="U29" s="28"/>
      <c r="V29" s="28"/>
      <c r="W29" s="28"/>
      <c r="X29" s="28"/>
      <c r="Y29" s="28"/>
      <c r="Z29" s="28"/>
      <c r="AA29" s="28"/>
      <c r="AD29" s="4"/>
    </row>
    <row r="30" spans="1:125" x14ac:dyDescent="0.3">
      <c r="A30" s="4"/>
      <c r="B30" s="27"/>
      <c r="C30" s="30"/>
      <c r="D30" s="14"/>
      <c r="E30" s="26"/>
      <c r="F30" s="29"/>
      <c r="G30" s="14"/>
      <c r="H30" s="28"/>
      <c r="I30" s="26"/>
      <c r="J30" s="29"/>
      <c r="K30" s="14"/>
      <c r="L30" s="26"/>
      <c r="M30" s="29"/>
      <c r="N30" s="14"/>
      <c r="O30" s="26"/>
      <c r="P30" s="29"/>
      <c r="Q30" s="14"/>
      <c r="R30" s="28"/>
      <c r="S30" s="28"/>
      <c r="T30" s="28"/>
      <c r="U30" s="28"/>
      <c r="V30" s="28"/>
      <c r="W30" s="28"/>
      <c r="X30" s="28"/>
      <c r="Y30" s="28"/>
      <c r="Z30" s="28"/>
      <c r="AA30" s="28"/>
      <c r="AD30" s="4"/>
    </row>
    <row r="31" spans="1:125" x14ac:dyDescent="0.3">
      <c r="A31" s="4"/>
      <c r="B31" s="27"/>
      <c r="C31" s="30"/>
      <c r="D31" s="14"/>
      <c r="E31" s="26"/>
      <c r="F31" s="29"/>
      <c r="G31" s="14"/>
      <c r="H31" s="28"/>
      <c r="I31" s="26"/>
      <c r="J31" s="29"/>
      <c r="K31" s="14"/>
      <c r="L31" s="26"/>
      <c r="M31" s="29"/>
      <c r="N31" s="14"/>
      <c r="O31" s="26"/>
      <c r="P31" s="29"/>
      <c r="Q31" s="14"/>
      <c r="R31" s="28"/>
      <c r="S31" s="28"/>
      <c r="T31" s="28"/>
      <c r="U31" s="28"/>
      <c r="V31" s="28"/>
      <c r="W31" s="28"/>
      <c r="X31" s="28"/>
      <c r="Y31" s="28"/>
      <c r="Z31" s="28"/>
      <c r="AA31" s="28"/>
      <c r="AD31" s="4"/>
    </row>
    <row r="32" spans="1:125" x14ac:dyDescent="0.3">
      <c r="A32" s="4"/>
      <c r="B32" s="27"/>
      <c r="C32" s="30"/>
      <c r="D32" s="14"/>
      <c r="E32" s="26"/>
      <c r="F32" s="29"/>
      <c r="G32" s="14"/>
      <c r="H32" s="28"/>
      <c r="I32" s="26"/>
      <c r="J32" s="29"/>
      <c r="K32" s="14"/>
      <c r="L32" s="26"/>
      <c r="M32" s="29"/>
      <c r="N32" s="14"/>
      <c r="O32" s="26"/>
      <c r="P32" s="29"/>
      <c r="Q32" s="14"/>
      <c r="R32" s="28"/>
      <c r="S32" s="28"/>
      <c r="T32" s="28"/>
      <c r="U32" s="28"/>
      <c r="V32" s="28"/>
      <c r="W32" s="28"/>
      <c r="X32" s="28"/>
      <c r="Y32" s="28"/>
      <c r="Z32" s="28"/>
      <c r="AA32" s="28"/>
      <c r="AD32" s="4"/>
    </row>
    <row r="33" spans="1:30" x14ac:dyDescent="0.3">
      <c r="A33" s="4"/>
      <c r="B33" s="27"/>
      <c r="C33" s="30"/>
      <c r="D33" s="14"/>
      <c r="E33" s="26"/>
      <c r="F33" s="29"/>
      <c r="G33" s="14"/>
      <c r="H33" s="28"/>
      <c r="I33" s="26"/>
      <c r="J33" s="29"/>
      <c r="K33" s="14"/>
      <c r="L33" s="26"/>
      <c r="M33" s="29"/>
      <c r="N33" s="14"/>
      <c r="O33" s="26"/>
      <c r="P33" s="29"/>
      <c r="Q33" s="14"/>
      <c r="R33" s="28"/>
      <c r="S33" s="28"/>
      <c r="T33" s="28"/>
      <c r="U33" s="28"/>
      <c r="V33" s="28"/>
      <c r="W33" s="28"/>
      <c r="X33" s="28"/>
      <c r="Y33" s="28"/>
      <c r="Z33" s="28"/>
      <c r="AA33" s="28"/>
      <c r="AD33" s="4"/>
    </row>
    <row r="34" spans="1:30" x14ac:dyDescent="0.3">
      <c r="A34" s="4"/>
      <c r="B34" s="27"/>
      <c r="C34" s="30"/>
      <c r="D34" s="14"/>
      <c r="E34" s="26"/>
      <c r="F34" s="29"/>
      <c r="G34" s="14"/>
      <c r="H34" s="28"/>
      <c r="I34" s="26"/>
      <c r="J34" s="29"/>
      <c r="K34" s="14"/>
      <c r="L34" s="26"/>
      <c r="M34" s="29"/>
      <c r="N34" s="14"/>
      <c r="O34" s="26"/>
      <c r="P34" s="29"/>
      <c r="Q34" s="14"/>
      <c r="R34" s="28"/>
      <c r="S34" s="28"/>
      <c r="T34" s="28"/>
      <c r="U34" s="28"/>
      <c r="V34" s="28"/>
      <c r="W34" s="28"/>
      <c r="X34" s="28"/>
      <c r="Y34" s="28"/>
      <c r="Z34" s="28"/>
      <c r="AA34" s="28"/>
      <c r="AD34" s="4"/>
    </row>
    <row r="35" spans="1:30" x14ac:dyDescent="0.3">
      <c r="A35" s="4"/>
      <c r="B35" s="27"/>
      <c r="C35" s="30"/>
      <c r="D35" s="14"/>
      <c r="E35" s="26"/>
      <c r="F35" s="29"/>
      <c r="G35" s="14"/>
      <c r="H35" s="28"/>
      <c r="I35" s="26"/>
      <c r="J35" s="29"/>
      <c r="K35" s="14"/>
      <c r="L35" s="26"/>
      <c r="M35" s="29"/>
      <c r="N35" s="14"/>
      <c r="O35" s="26"/>
      <c r="P35" s="29"/>
      <c r="Q35" s="14"/>
      <c r="R35" s="28"/>
      <c r="S35" s="28"/>
      <c r="T35" s="28"/>
      <c r="U35" s="28"/>
      <c r="V35" s="28"/>
      <c r="W35" s="28"/>
      <c r="X35" s="28"/>
      <c r="Y35" s="28"/>
      <c r="Z35" s="28"/>
      <c r="AA35" s="28"/>
      <c r="AD35" s="4"/>
    </row>
    <row r="36" spans="1:30" x14ac:dyDescent="0.3">
      <c r="A36" s="4"/>
      <c r="B36" s="27"/>
      <c r="C36" s="30"/>
      <c r="D36" s="14"/>
      <c r="E36" s="26"/>
      <c r="F36" s="29"/>
      <c r="G36" s="14"/>
      <c r="H36" s="28"/>
      <c r="I36" s="26"/>
      <c r="J36" s="29"/>
      <c r="K36" s="14"/>
      <c r="L36" s="26"/>
      <c r="M36" s="29"/>
      <c r="N36" s="14"/>
      <c r="O36" s="26"/>
      <c r="P36" s="29"/>
      <c r="Q36" s="14"/>
      <c r="R36" s="28"/>
      <c r="S36" s="28"/>
      <c r="T36" s="28"/>
      <c r="U36" s="28"/>
      <c r="V36" s="28"/>
      <c r="W36" s="28"/>
      <c r="X36" s="28"/>
      <c r="Y36" s="28"/>
      <c r="Z36" s="28"/>
      <c r="AA36" s="28"/>
      <c r="AD36" s="4"/>
    </row>
    <row r="37" spans="1:30" x14ac:dyDescent="0.3">
      <c r="A37" s="4"/>
      <c r="B37" s="27"/>
      <c r="C37" s="30"/>
      <c r="D37" s="14"/>
      <c r="E37" s="26"/>
      <c r="F37" s="29"/>
      <c r="G37" s="14"/>
      <c r="H37" s="28"/>
      <c r="I37" s="26"/>
      <c r="J37" s="29"/>
      <c r="K37" s="14"/>
      <c r="L37" s="26"/>
      <c r="M37" s="29"/>
      <c r="N37" s="14"/>
      <c r="O37" s="26"/>
      <c r="P37" s="29"/>
      <c r="Q37" s="14"/>
      <c r="R37" s="28"/>
      <c r="S37" s="28"/>
      <c r="T37" s="28"/>
      <c r="U37" s="28"/>
      <c r="V37" s="28"/>
      <c r="W37" s="28"/>
      <c r="X37" s="28"/>
      <c r="Y37" s="28"/>
      <c r="Z37" s="28"/>
      <c r="AA37" s="28"/>
      <c r="AD37" s="4"/>
    </row>
    <row r="38" spans="1:30" x14ac:dyDescent="0.3">
      <c r="A38" s="4"/>
      <c r="B38" s="27"/>
      <c r="C38" s="30"/>
      <c r="D38" s="14"/>
      <c r="E38" s="26"/>
      <c r="F38" s="29"/>
      <c r="G38" s="14"/>
      <c r="H38" s="28"/>
      <c r="I38" s="26"/>
      <c r="J38" s="29"/>
      <c r="K38" s="14"/>
      <c r="L38" s="26"/>
      <c r="M38" s="29"/>
      <c r="N38" s="14"/>
      <c r="O38" s="26"/>
      <c r="P38" s="29"/>
      <c r="Q38" s="14"/>
      <c r="R38" s="28"/>
      <c r="S38" s="28"/>
      <c r="T38" s="28"/>
      <c r="U38" s="28"/>
      <c r="V38" s="28"/>
      <c r="W38" s="28"/>
      <c r="X38" s="28"/>
      <c r="Y38" s="28"/>
      <c r="Z38" s="28"/>
      <c r="AA38" s="28"/>
      <c r="AD38" s="4"/>
    </row>
    <row r="39" spans="1:30" x14ac:dyDescent="0.3">
      <c r="A39" s="4"/>
      <c r="B39" s="27"/>
      <c r="C39" s="30"/>
      <c r="D39" s="14"/>
      <c r="E39" s="26"/>
      <c r="F39" s="29"/>
      <c r="G39" s="14"/>
      <c r="H39" s="28"/>
      <c r="I39" s="26"/>
      <c r="J39" s="29"/>
      <c r="K39" s="14"/>
      <c r="L39" s="26"/>
      <c r="M39" s="29"/>
      <c r="N39" s="14"/>
      <c r="O39" s="26"/>
      <c r="P39" s="29"/>
      <c r="Q39" s="14"/>
      <c r="R39" s="28"/>
      <c r="S39" s="28"/>
      <c r="T39" s="28"/>
      <c r="U39" s="28"/>
      <c r="V39" s="28"/>
      <c r="W39" s="28"/>
      <c r="X39" s="28"/>
      <c r="Y39" s="28"/>
      <c r="Z39" s="28"/>
      <c r="AA39" s="28"/>
      <c r="AD39" s="4"/>
    </row>
    <row r="40" spans="1:30" x14ac:dyDescent="0.3">
      <c r="A40" s="4"/>
      <c r="B40" s="27"/>
      <c r="C40" s="30"/>
      <c r="D40" s="14"/>
      <c r="E40" s="26"/>
      <c r="F40" s="29"/>
      <c r="G40" s="14"/>
      <c r="H40" s="28"/>
      <c r="I40" s="26"/>
      <c r="J40" s="29"/>
      <c r="K40" s="14"/>
      <c r="L40" s="26"/>
      <c r="M40" s="29"/>
      <c r="N40" s="14"/>
      <c r="O40" s="26"/>
      <c r="P40" s="29"/>
      <c r="Q40" s="14"/>
      <c r="R40" s="28"/>
      <c r="S40" s="28"/>
      <c r="T40" s="28"/>
      <c r="U40" s="28"/>
      <c r="V40" s="28"/>
      <c r="W40" s="28"/>
      <c r="X40" s="28"/>
      <c r="Y40" s="28"/>
      <c r="Z40" s="28"/>
      <c r="AA40" s="28"/>
      <c r="AD40" s="4"/>
    </row>
    <row r="41" spans="1:30" x14ac:dyDescent="0.3">
      <c r="A41" s="4"/>
      <c r="B41" s="27"/>
      <c r="C41" s="30"/>
      <c r="D41" s="14"/>
      <c r="E41" s="26"/>
      <c r="F41" s="29"/>
      <c r="G41" s="14"/>
      <c r="H41" s="28"/>
      <c r="I41" s="26"/>
      <c r="J41" s="29"/>
      <c r="K41" s="14"/>
      <c r="L41" s="26"/>
      <c r="M41" s="29"/>
      <c r="N41" s="14"/>
      <c r="O41" s="26"/>
      <c r="P41" s="29"/>
      <c r="Q41" s="14"/>
      <c r="R41" s="28"/>
      <c r="S41" s="28"/>
      <c r="T41" s="28"/>
      <c r="U41" s="28"/>
      <c r="V41" s="28"/>
      <c r="W41" s="28"/>
      <c r="X41" s="28"/>
      <c r="Y41" s="28"/>
      <c r="Z41" s="28"/>
      <c r="AA41" s="28"/>
      <c r="AD41" s="4"/>
    </row>
    <row r="42" spans="1:30" x14ac:dyDescent="0.3">
      <c r="A42" s="4"/>
      <c r="B42" s="27"/>
      <c r="C42" s="30"/>
      <c r="D42" s="14"/>
      <c r="E42" s="26"/>
      <c r="F42" s="29"/>
      <c r="G42" s="14"/>
      <c r="H42" s="28"/>
      <c r="I42" s="26"/>
      <c r="J42" s="29"/>
      <c r="K42" s="14"/>
      <c r="L42" s="26"/>
      <c r="M42" s="29"/>
      <c r="N42" s="14"/>
      <c r="O42" s="26"/>
      <c r="P42" s="29"/>
      <c r="Q42" s="14"/>
      <c r="R42" s="28"/>
      <c r="S42" s="28"/>
      <c r="T42" s="28"/>
      <c r="U42" s="28"/>
      <c r="V42" s="28"/>
      <c r="W42" s="28"/>
      <c r="X42" s="28"/>
      <c r="Y42" s="28"/>
      <c r="Z42" s="28"/>
      <c r="AA42" s="28"/>
      <c r="AD42" s="4"/>
    </row>
    <row r="43" spans="1:30" x14ac:dyDescent="0.3">
      <c r="A43" s="4"/>
      <c r="B43" s="27"/>
      <c r="C43" s="30"/>
      <c r="D43" s="14"/>
      <c r="E43" s="26"/>
      <c r="F43" s="29"/>
      <c r="G43" s="14"/>
      <c r="H43" s="28"/>
      <c r="I43" s="26"/>
      <c r="J43" s="29"/>
      <c r="K43" s="14"/>
      <c r="L43" s="26"/>
      <c r="M43" s="29"/>
      <c r="N43" s="14"/>
      <c r="O43" s="26"/>
      <c r="P43" s="29"/>
      <c r="Q43" s="14"/>
      <c r="R43" s="28"/>
      <c r="S43" s="28"/>
      <c r="T43" s="28"/>
      <c r="U43" s="28"/>
      <c r="V43" s="28"/>
      <c r="W43" s="28"/>
      <c r="X43" s="28"/>
      <c r="Y43" s="28"/>
      <c r="Z43" s="28"/>
      <c r="AA43" s="28"/>
      <c r="AD43" s="4"/>
    </row>
    <row r="44" spans="1:30" x14ac:dyDescent="0.3">
      <c r="A44" s="4"/>
      <c r="B44" s="27"/>
      <c r="C44" s="30"/>
      <c r="D44" s="14"/>
      <c r="E44" s="26"/>
      <c r="F44" s="29"/>
      <c r="G44" s="14"/>
      <c r="H44" s="28"/>
      <c r="I44" s="26"/>
      <c r="J44" s="29"/>
      <c r="K44" s="14"/>
      <c r="L44" s="26"/>
      <c r="M44" s="29"/>
      <c r="N44" s="14"/>
      <c r="O44" s="26"/>
      <c r="P44" s="29"/>
      <c r="Q44" s="14"/>
      <c r="R44" s="28"/>
      <c r="S44" s="28"/>
      <c r="T44" s="28"/>
      <c r="U44" s="28"/>
      <c r="V44" s="28"/>
      <c r="W44" s="28"/>
      <c r="X44" s="28"/>
      <c r="Y44" s="28"/>
      <c r="Z44" s="28"/>
      <c r="AA44" s="28"/>
      <c r="AD44" s="4"/>
    </row>
    <row r="45" spans="1:30" x14ac:dyDescent="0.3">
      <c r="A45" s="4"/>
      <c r="B45" s="27"/>
      <c r="C45" s="30"/>
      <c r="D45" s="14"/>
      <c r="E45" s="26"/>
      <c r="F45" s="29"/>
      <c r="G45" s="14"/>
      <c r="H45" s="28"/>
      <c r="I45" s="26"/>
      <c r="J45" s="29"/>
      <c r="K45" s="14"/>
      <c r="L45" s="26"/>
      <c r="M45" s="29"/>
      <c r="N45" s="14"/>
      <c r="O45" s="26"/>
      <c r="P45" s="29"/>
      <c r="Q45" s="14"/>
      <c r="R45" s="28"/>
      <c r="S45" s="28"/>
      <c r="T45" s="28"/>
      <c r="U45" s="28"/>
      <c r="V45" s="28"/>
      <c r="W45" s="28"/>
      <c r="X45" s="28"/>
      <c r="Y45" s="28"/>
      <c r="Z45" s="28"/>
      <c r="AA45" s="28"/>
      <c r="AD45" s="4"/>
    </row>
    <row r="46" spans="1:30" x14ac:dyDescent="0.3">
      <c r="A46" s="4"/>
      <c r="B46" s="27"/>
      <c r="C46" s="30"/>
      <c r="D46" s="14"/>
      <c r="E46" s="26"/>
      <c r="F46" s="29"/>
      <c r="G46" s="14"/>
      <c r="H46" s="28"/>
      <c r="I46" s="26"/>
      <c r="J46" s="29"/>
      <c r="K46" s="14"/>
      <c r="L46" s="26"/>
      <c r="M46" s="29"/>
      <c r="N46" s="14"/>
      <c r="O46" s="26"/>
      <c r="P46" s="29"/>
      <c r="Q46" s="14"/>
      <c r="R46" s="28"/>
      <c r="S46" s="28"/>
      <c r="T46" s="28"/>
      <c r="U46" s="28"/>
      <c r="V46" s="28"/>
      <c r="W46" s="28"/>
      <c r="X46" s="28"/>
      <c r="Y46" s="28"/>
      <c r="Z46" s="28"/>
      <c r="AA46" s="28"/>
      <c r="AD46" s="4"/>
    </row>
    <row r="47" spans="1:30" x14ac:dyDescent="0.3">
      <c r="A47" s="4"/>
      <c r="B47" s="27"/>
      <c r="C47" s="30"/>
      <c r="D47" s="14"/>
      <c r="E47" s="26"/>
      <c r="F47" s="29"/>
      <c r="G47" s="14"/>
      <c r="H47" s="28"/>
      <c r="I47" s="26"/>
      <c r="J47" s="29"/>
      <c r="K47" s="14"/>
      <c r="L47" s="26"/>
      <c r="M47" s="29"/>
      <c r="N47" s="14"/>
      <c r="O47" s="26"/>
      <c r="P47" s="29"/>
      <c r="Q47" s="14"/>
      <c r="R47" s="28"/>
      <c r="S47" s="28"/>
      <c r="T47" s="28"/>
      <c r="U47" s="28"/>
      <c r="V47" s="28"/>
      <c r="W47" s="28"/>
      <c r="X47" s="28"/>
      <c r="Y47" s="28"/>
      <c r="Z47" s="28"/>
      <c r="AA47" s="28"/>
      <c r="AD47" s="4"/>
    </row>
    <row r="48" spans="1:30" x14ac:dyDescent="0.3">
      <c r="A48" s="4"/>
      <c r="B48" s="27"/>
      <c r="C48" s="30"/>
      <c r="D48" s="14"/>
      <c r="E48" s="26"/>
      <c r="F48" s="29"/>
      <c r="G48" s="14"/>
      <c r="H48" s="28"/>
      <c r="I48" s="26"/>
      <c r="J48" s="29"/>
      <c r="K48" s="14"/>
      <c r="L48" s="26"/>
      <c r="M48" s="29"/>
      <c r="N48" s="14"/>
      <c r="O48" s="26"/>
      <c r="P48" s="29"/>
      <c r="Q48" s="14"/>
      <c r="R48" s="28"/>
      <c r="S48" s="28"/>
      <c r="T48" s="28"/>
      <c r="U48" s="28"/>
      <c r="V48" s="28"/>
      <c r="W48" s="28"/>
      <c r="X48" s="28"/>
      <c r="Y48" s="28"/>
      <c r="Z48" s="28"/>
      <c r="AA48" s="28"/>
      <c r="AD48" s="4"/>
    </row>
    <row r="49" spans="1:30" x14ac:dyDescent="0.3">
      <c r="A49" s="4"/>
      <c r="B49" s="27"/>
      <c r="C49" s="30"/>
      <c r="D49" s="14"/>
      <c r="E49" s="26"/>
      <c r="F49" s="29"/>
      <c r="G49" s="14"/>
      <c r="H49" s="28"/>
      <c r="I49" s="26"/>
      <c r="J49" s="29"/>
      <c r="K49" s="14"/>
      <c r="L49" s="26"/>
      <c r="M49" s="29"/>
      <c r="N49" s="14"/>
      <c r="O49" s="26"/>
      <c r="P49" s="29"/>
      <c r="Q49" s="14"/>
      <c r="R49" s="28"/>
      <c r="S49" s="28"/>
      <c r="T49" s="28"/>
      <c r="U49" s="28"/>
      <c r="V49" s="28"/>
      <c r="W49" s="28"/>
      <c r="X49" s="28"/>
      <c r="Y49" s="28"/>
      <c r="Z49" s="28"/>
      <c r="AA49" s="28"/>
      <c r="AD49" s="4"/>
    </row>
    <row r="50" spans="1:30" x14ac:dyDescent="0.3">
      <c r="A50" s="4"/>
      <c r="B50" s="27"/>
      <c r="C50" s="30"/>
      <c r="D50" s="14"/>
      <c r="E50" s="26"/>
      <c r="F50" s="29"/>
      <c r="G50" s="14"/>
      <c r="H50" s="28"/>
      <c r="I50" s="26"/>
      <c r="J50" s="29"/>
      <c r="K50" s="14"/>
      <c r="L50" s="26"/>
      <c r="M50" s="29"/>
      <c r="N50" s="14"/>
      <c r="O50" s="26"/>
      <c r="P50" s="29"/>
      <c r="Q50" s="14"/>
      <c r="R50" s="28"/>
      <c r="S50" s="28"/>
      <c r="T50" s="28"/>
      <c r="U50" s="28"/>
      <c r="V50" s="28"/>
      <c r="W50" s="28"/>
      <c r="X50" s="28"/>
      <c r="Y50" s="28"/>
      <c r="Z50" s="28"/>
      <c r="AA50" s="28"/>
      <c r="AD50" s="4"/>
    </row>
    <row r="51" spans="1:30" x14ac:dyDescent="0.3">
      <c r="A51" s="4"/>
      <c r="B51" s="27"/>
      <c r="C51" s="30"/>
      <c r="D51" s="14"/>
      <c r="E51" s="26"/>
      <c r="F51" s="29"/>
      <c r="G51" s="14"/>
      <c r="H51" s="28"/>
      <c r="I51" s="26"/>
      <c r="J51" s="29"/>
      <c r="K51" s="14"/>
      <c r="L51" s="26"/>
      <c r="M51" s="29"/>
      <c r="N51" s="14"/>
      <c r="O51" s="26"/>
      <c r="P51" s="29"/>
      <c r="Q51" s="14"/>
      <c r="R51" s="28"/>
      <c r="S51" s="28"/>
      <c r="T51" s="28"/>
      <c r="U51" s="28"/>
      <c r="V51" s="28"/>
      <c r="W51" s="28"/>
      <c r="X51" s="28"/>
      <c r="Y51" s="28"/>
      <c r="Z51" s="28"/>
      <c r="AA51" s="28"/>
      <c r="AD51" s="4"/>
    </row>
    <row r="52" spans="1:30" x14ac:dyDescent="0.3">
      <c r="A52" s="4"/>
      <c r="B52" s="27"/>
      <c r="C52" s="30"/>
      <c r="D52" s="14"/>
      <c r="E52" s="26"/>
      <c r="F52" s="29"/>
      <c r="G52" s="14"/>
      <c r="H52" s="28"/>
      <c r="I52" s="26"/>
      <c r="J52" s="29"/>
      <c r="K52" s="14"/>
      <c r="L52" s="26"/>
      <c r="M52" s="29"/>
      <c r="N52" s="14"/>
      <c r="O52" s="26"/>
      <c r="P52" s="29"/>
      <c r="Q52" s="14"/>
      <c r="R52" s="28"/>
      <c r="S52" s="28"/>
      <c r="T52" s="28"/>
      <c r="U52" s="28"/>
      <c r="V52" s="28"/>
      <c r="W52" s="28"/>
      <c r="X52" s="28"/>
      <c r="Y52" s="28"/>
      <c r="Z52" s="28"/>
      <c r="AA52" s="28"/>
      <c r="AD52" s="4"/>
    </row>
    <row r="53" spans="1:30" x14ac:dyDescent="0.3">
      <c r="A53" s="4"/>
      <c r="B53" s="27"/>
      <c r="C53" s="30"/>
      <c r="D53" s="14"/>
      <c r="E53" s="26"/>
      <c r="F53" s="29"/>
      <c r="G53" s="14"/>
      <c r="H53" s="28"/>
      <c r="I53" s="26"/>
      <c r="J53" s="29"/>
      <c r="K53" s="14"/>
      <c r="L53" s="26"/>
      <c r="M53" s="29"/>
      <c r="N53" s="14"/>
      <c r="O53" s="26"/>
      <c r="P53" s="29"/>
      <c r="Q53" s="14"/>
      <c r="R53" s="28"/>
      <c r="S53" s="28"/>
      <c r="T53" s="28"/>
      <c r="U53" s="28"/>
      <c r="V53" s="28"/>
      <c r="W53" s="28"/>
      <c r="X53" s="28"/>
      <c r="Y53" s="28"/>
      <c r="Z53" s="28"/>
      <c r="AA53" s="28"/>
      <c r="AD53" s="4"/>
    </row>
    <row r="54" spans="1:30" x14ac:dyDescent="0.3">
      <c r="A54" s="4"/>
      <c r="B54" s="27"/>
      <c r="C54" s="30"/>
      <c r="D54" s="14"/>
      <c r="E54" s="26"/>
      <c r="F54" s="29"/>
      <c r="G54" s="14"/>
      <c r="H54" s="28"/>
      <c r="I54" s="26"/>
      <c r="J54" s="29"/>
      <c r="K54" s="14"/>
      <c r="L54" s="26"/>
      <c r="M54" s="29"/>
      <c r="N54" s="14"/>
      <c r="O54" s="26"/>
      <c r="P54" s="29"/>
      <c r="Q54" s="14"/>
      <c r="R54" s="28"/>
      <c r="S54" s="28"/>
      <c r="T54" s="28"/>
      <c r="U54" s="28"/>
      <c r="V54" s="28"/>
      <c r="W54" s="28"/>
      <c r="X54" s="28"/>
      <c r="Y54" s="28"/>
      <c r="Z54" s="28"/>
      <c r="AA54" s="28"/>
      <c r="AD54" s="4"/>
    </row>
    <row r="55" spans="1:30" x14ac:dyDescent="0.3">
      <c r="A55" s="4"/>
      <c r="B55" s="27"/>
      <c r="C55" s="30"/>
      <c r="D55" s="14"/>
      <c r="E55" s="26"/>
      <c r="F55" s="29"/>
      <c r="G55" s="14"/>
      <c r="H55" s="28"/>
      <c r="I55" s="26"/>
      <c r="J55" s="29"/>
      <c r="K55" s="14"/>
      <c r="L55" s="26"/>
      <c r="M55" s="29"/>
      <c r="N55" s="14"/>
      <c r="O55" s="26"/>
      <c r="P55" s="29"/>
      <c r="Q55" s="14"/>
      <c r="R55" s="28"/>
      <c r="S55" s="28"/>
      <c r="T55" s="28"/>
      <c r="U55" s="28"/>
      <c r="V55" s="28"/>
      <c r="W55" s="28"/>
      <c r="X55" s="28"/>
      <c r="Y55" s="28"/>
      <c r="Z55" s="28"/>
      <c r="AA55" s="28"/>
      <c r="AD55" s="4"/>
    </row>
    <row r="56" spans="1:30" x14ac:dyDescent="0.3">
      <c r="A56" s="4"/>
      <c r="B56" s="27"/>
      <c r="C56" s="30"/>
      <c r="D56" s="14"/>
      <c r="E56" s="26"/>
      <c r="F56" s="29"/>
      <c r="G56" s="14"/>
      <c r="H56" s="28"/>
      <c r="I56" s="26"/>
      <c r="J56" s="29"/>
      <c r="K56" s="14"/>
      <c r="L56" s="26"/>
      <c r="M56" s="29"/>
      <c r="N56" s="14"/>
      <c r="O56" s="26"/>
      <c r="P56" s="29"/>
      <c r="Q56" s="14"/>
      <c r="R56" s="28"/>
      <c r="S56" s="28"/>
      <c r="T56" s="28"/>
      <c r="U56" s="28"/>
      <c r="V56" s="28"/>
      <c r="W56" s="28"/>
      <c r="X56" s="28"/>
      <c r="Y56" s="28"/>
      <c r="Z56" s="28"/>
      <c r="AA56" s="28"/>
      <c r="AD56" s="4"/>
    </row>
    <row r="57" spans="1:30" x14ac:dyDescent="0.3">
      <c r="A57" s="4"/>
      <c r="B57" s="27"/>
      <c r="C57" s="30"/>
      <c r="D57" s="14"/>
      <c r="E57" s="26"/>
      <c r="F57" s="29"/>
      <c r="G57" s="14"/>
      <c r="H57" s="28"/>
      <c r="I57" s="26"/>
      <c r="J57" s="29"/>
      <c r="K57" s="14"/>
      <c r="L57" s="26"/>
      <c r="M57" s="29"/>
      <c r="N57" s="14"/>
      <c r="O57" s="26"/>
      <c r="P57" s="29"/>
      <c r="Q57" s="14"/>
      <c r="R57" s="28"/>
      <c r="S57" s="28"/>
      <c r="T57" s="28"/>
      <c r="U57" s="28"/>
      <c r="V57" s="28"/>
      <c r="W57" s="28"/>
      <c r="X57" s="28"/>
      <c r="Y57" s="28"/>
      <c r="Z57" s="28"/>
      <c r="AA57" s="28"/>
      <c r="AD57" s="4"/>
    </row>
    <row r="58" spans="1:30" x14ac:dyDescent="0.3">
      <c r="A58" s="4"/>
      <c r="B58" s="27"/>
      <c r="C58" s="30"/>
      <c r="D58" s="14"/>
      <c r="E58" s="26"/>
      <c r="F58" s="29"/>
      <c r="G58" s="14"/>
      <c r="H58" s="28"/>
      <c r="I58" s="26"/>
      <c r="J58" s="29"/>
      <c r="K58" s="14"/>
      <c r="L58" s="26"/>
      <c r="M58" s="29"/>
      <c r="N58" s="14"/>
      <c r="O58" s="26"/>
      <c r="P58" s="29"/>
      <c r="Q58" s="14"/>
      <c r="R58" s="28"/>
      <c r="S58" s="28"/>
      <c r="T58" s="28"/>
      <c r="U58" s="28"/>
      <c r="V58" s="28"/>
      <c r="W58" s="28"/>
      <c r="X58" s="28"/>
      <c r="Y58" s="28"/>
      <c r="Z58" s="28"/>
      <c r="AA58" s="28"/>
      <c r="AD58" s="4"/>
    </row>
    <row r="59" spans="1:30" x14ac:dyDescent="0.3">
      <c r="A59" s="4"/>
      <c r="B59" s="27"/>
      <c r="C59" s="30"/>
      <c r="D59" s="14"/>
      <c r="E59" s="26"/>
      <c r="F59" s="29"/>
      <c r="G59" s="14"/>
      <c r="H59" s="28"/>
      <c r="I59" s="26"/>
      <c r="J59" s="29"/>
      <c r="K59" s="14"/>
      <c r="L59" s="26"/>
      <c r="M59" s="29"/>
      <c r="N59" s="14"/>
      <c r="O59" s="26"/>
      <c r="P59" s="29"/>
      <c r="Q59" s="14"/>
      <c r="R59" s="28"/>
      <c r="S59" s="28"/>
      <c r="T59" s="28"/>
      <c r="U59" s="28"/>
      <c r="V59" s="28"/>
      <c r="W59" s="28"/>
      <c r="X59" s="28"/>
      <c r="Y59" s="28"/>
      <c r="Z59" s="28"/>
      <c r="AA59" s="28"/>
      <c r="AD59" s="4"/>
    </row>
    <row r="60" spans="1:30" x14ac:dyDescent="0.3">
      <c r="A60" s="4"/>
      <c r="B60" s="27"/>
      <c r="C60" s="30"/>
      <c r="D60" s="14"/>
      <c r="E60" s="26"/>
      <c r="F60" s="29"/>
      <c r="G60" s="14"/>
      <c r="H60" s="28"/>
      <c r="I60" s="26"/>
      <c r="J60" s="29"/>
      <c r="K60" s="14"/>
      <c r="L60" s="26"/>
      <c r="M60" s="29"/>
      <c r="N60" s="14"/>
      <c r="O60" s="26"/>
      <c r="P60" s="29"/>
      <c r="Q60" s="14"/>
      <c r="R60" s="28"/>
      <c r="S60" s="28"/>
      <c r="T60" s="28"/>
      <c r="U60" s="28"/>
      <c r="V60" s="28"/>
      <c r="W60" s="28"/>
      <c r="X60" s="28"/>
      <c r="Y60" s="28"/>
      <c r="Z60" s="28"/>
      <c r="AA60" s="28"/>
      <c r="AD60" s="4"/>
    </row>
    <row r="61" spans="1:30" x14ac:dyDescent="0.3">
      <c r="A61" s="4"/>
      <c r="B61" s="27"/>
      <c r="C61" s="30"/>
      <c r="D61" s="14"/>
      <c r="E61" s="26"/>
      <c r="F61" s="29"/>
      <c r="G61" s="14"/>
      <c r="H61" s="28"/>
      <c r="I61" s="26"/>
      <c r="J61" s="29"/>
      <c r="K61" s="14"/>
      <c r="L61" s="26"/>
      <c r="M61" s="29"/>
      <c r="N61" s="14"/>
      <c r="O61" s="26"/>
      <c r="P61" s="29"/>
      <c r="Q61" s="14"/>
      <c r="R61" s="28"/>
      <c r="S61" s="28"/>
      <c r="T61" s="28"/>
      <c r="U61" s="28"/>
      <c r="V61" s="28"/>
      <c r="W61" s="28"/>
      <c r="X61" s="28"/>
      <c r="Y61" s="28"/>
      <c r="Z61" s="28"/>
      <c r="AA61" s="28"/>
      <c r="AD61" s="4"/>
    </row>
    <row r="62" spans="1:30" x14ac:dyDescent="0.3">
      <c r="A62" s="4"/>
      <c r="B62" s="27"/>
      <c r="C62" s="30"/>
      <c r="D62" s="14"/>
      <c r="E62" s="26"/>
      <c r="F62" s="29"/>
      <c r="G62" s="14"/>
      <c r="H62" s="28"/>
      <c r="I62" s="26"/>
      <c r="J62" s="29"/>
      <c r="K62" s="14"/>
      <c r="L62" s="26"/>
      <c r="M62" s="29"/>
      <c r="N62" s="14"/>
      <c r="O62" s="26"/>
      <c r="P62" s="29"/>
      <c r="Q62" s="14"/>
      <c r="R62" s="28"/>
      <c r="S62" s="28"/>
      <c r="T62" s="28"/>
      <c r="U62" s="28"/>
      <c r="V62" s="28"/>
      <c r="W62" s="28"/>
      <c r="X62" s="28"/>
      <c r="Y62" s="28"/>
      <c r="Z62" s="28"/>
      <c r="AA62" s="28"/>
      <c r="AD62" s="4"/>
    </row>
    <row r="63" spans="1:30" x14ac:dyDescent="0.3">
      <c r="A63" s="4"/>
      <c r="B63" s="27"/>
      <c r="C63" s="30"/>
      <c r="D63" s="14"/>
      <c r="E63" s="26"/>
      <c r="F63" s="29"/>
      <c r="G63" s="14"/>
      <c r="H63" s="28"/>
      <c r="I63" s="26"/>
      <c r="J63" s="29"/>
      <c r="K63" s="14"/>
      <c r="L63" s="26"/>
      <c r="M63" s="29"/>
      <c r="N63" s="14"/>
      <c r="O63" s="26"/>
      <c r="P63" s="29"/>
      <c r="Q63" s="14"/>
      <c r="R63" s="28"/>
      <c r="S63" s="28"/>
      <c r="T63" s="28"/>
      <c r="U63" s="28"/>
      <c r="V63" s="28"/>
      <c r="W63" s="28"/>
      <c r="X63" s="28"/>
      <c r="Y63" s="28"/>
      <c r="Z63" s="28"/>
      <c r="AA63" s="28"/>
      <c r="AD63" s="4"/>
    </row>
    <row r="64" spans="1:30" x14ac:dyDescent="0.3">
      <c r="A64" s="4"/>
      <c r="B64" s="27"/>
      <c r="C64" s="30"/>
      <c r="D64" s="14"/>
      <c r="E64" s="26"/>
      <c r="F64" s="29"/>
      <c r="G64" s="14"/>
      <c r="H64" s="28"/>
      <c r="I64" s="26"/>
      <c r="J64" s="29"/>
      <c r="K64" s="14"/>
      <c r="L64" s="26"/>
      <c r="M64" s="29"/>
      <c r="N64" s="14"/>
      <c r="O64" s="26"/>
      <c r="P64" s="29"/>
      <c r="Q64" s="14"/>
      <c r="R64" s="28"/>
      <c r="S64" s="28"/>
      <c r="T64" s="28"/>
      <c r="U64" s="28"/>
      <c r="V64" s="28"/>
      <c r="W64" s="28"/>
      <c r="X64" s="28"/>
      <c r="Y64" s="28"/>
      <c r="Z64" s="28"/>
      <c r="AA64" s="28"/>
      <c r="AD64" s="4"/>
    </row>
    <row r="65" spans="1:30" x14ac:dyDescent="0.3">
      <c r="A65" s="4"/>
      <c r="B65" s="27"/>
      <c r="C65" s="30"/>
      <c r="D65" s="14"/>
      <c r="E65" s="26"/>
      <c r="F65" s="29"/>
      <c r="G65" s="14"/>
      <c r="H65" s="28"/>
      <c r="I65" s="26"/>
      <c r="J65" s="29"/>
      <c r="K65" s="14"/>
      <c r="L65" s="26"/>
      <c r="M65" s="29"/>
      <c r="N65" s="14"/>
      <c r="O65" s="26"/>
      <c r="P65" s="29"/>
      <c r="Q65" s="14"/>
      <c r="R65" s="28"/>
      <c r="S65" s="28"/>
      <c r="T65" s="28"/>
      <c r="U65" s="28"/>
      <c r="V65" s="28"/>
      <c r="W65" s="28"/>
      <c r="X65" s="28"/>
      <c r="Y65" s="28"/>
      <c r="Z65" s="28"/>
      <c r="AA65" s="28"/>
      <c r="AD65" s="4"/>
    </row>
    <row r="66" spans="1:30" x14ac:dyDescent="0.3">
      <c r="A66" s="4"/>
      <c r="B66" s="27"/>
      <c r="C66" s="30"/>
      <c r="D66" s="14"/>
      <c r="E66" s="26"/>
      <c r="F66" s="29"/>
      <c r="G66" s="14"/>
      <c r="H66" s="28"/>
      <c r="I66" s="26"/>
      <c r="J66" s="29"/>
      <c r="K66" s="14"/>
      <c r="L66" s="26"/>
      <c r="M66" s="29"/>
      <c r="N66" s="14"/>
      <c r="O66" s="26"/>
      <c r="P66" s="29"/>
      <c r="Q66" s="14"/>
      <c r="R66" s="28"/>
      <c r="S66" s="28"/>
      <c r="T66" s="28"/>
      <c r="U66" s="28"/>
      <c r="V66" s="28"/>
      <c r="W66" s="28"/>
      <c r="X66" s="28"/>
      <c r="Y66" s="28"/>
      <c r="Z66" s="28"/>
      <c r="AA66" s="28"/>
      <c r="AD66" s="4"/>
    </row>
    <row r="67" spans="1:30" x14ac:dyDescent="0.3">
      <c r="A67" s="4"/>
      <c r="B67" s="27"/>
      <c r="C67" s="30"/>
      <c r="D67" s="14"/>
      <c r="E67" s="26"/>
      <c r="F67" s="29"/>
      <c r="G67" s="14"/>
      <c r="H67" s="28"/>
      <c r="I67" s="26"/>
      <c r="J67" s="29"/>
      <c r="K67" s="14"/>
      <c r="L67" s="26"/>
      <c r="M67" s="29"/>
      <c r="N67" s="14"/>
      <c r="O67" s="26"/>
      <c r="P67" s="29"/>
      <c r="Q67" s="14"/>
      <c r="R67" s="28"/>
      <c r="S67" s="28"/>
      <c r="T67" s="28"/>
      <c r="U67" s="28"/>
      <c r="V67" s="28"/>
      <c r="W67" s="28"/>
      <c r="X67" s="28"/>
      <c r="Y67" s="28"/>
      <c r="Z67" s="28"/>
      <c r="AA67" s="28"/>
      <c r="AD67" s="4"/>
    </row>
    <row r="68" spans="1:30" x14ac:dyDescent="0.3">
      <c r="A68" s="4"/>
      <c r="B68" s="27"/>
      <c r="C68" s="30"/>
      <c r="D68" s="14"/>
      <c r="E68" s="26"/>
      <c r="F68" s="29"/>
      <c r="G68" s="14"/>
      <c r="H68" s="28"/>
      <c r="I68" s="26"/>
      <c r="J68" s="29"/>
      <c r="K68" s="14"/>
      <c r="L68" s="26"/>
      <c r="M68" s="29"/>
      <c r="N68" s="14"/>
      <c r="O68" s="26"/>
      <c r="P68" s="29"/>
      <c r="Q68" s="14"/>
      <c r="R68" s="28"/>
      <c r="S68" s="28"/>
      <c r="T68" s="28"/>
      <c r="U68" s="28"/>
      <c r="V68" s="28"/>
      <c r="W68" s="28"/>
      <c r="X68" s="28"/>
      <c r="Y68" s="28"/>
      <c r="Z68" s="28"/>
      <c r="AA68" s="28"/>
      <c r="AD68" s="4"/>
    </row>
    <row r="69" spans="1:30" x14ac:dyDescent="0.3">
      <c r="A69" s="4"/>
      <c r="B69" s="4"/>
      <c r="C69" s="4"/>
      <c r="D69" s="6"/>
      <c r="E69" s="4"/>
      <c r="F69" s="4"/>
      <c r="G69" s="4"/>
      <c r="H69" s="6"/>
      <c r="I69" s="4"/>
      <c r="J69" s="4"/>
      <c r="K69" s="4"/>
      <c r="L69" s="4"/>
      <c r="M69" s="6"/>
      <c r="N69" s="4"/>
      <c r="O69" s="4"/>
      <c r="P69" s="4"/>
      <c r="Q69" s="4"/>
      <c r="R69" s="6"/>
      <c r="S69" s="4"/>
      <c r="T69" s="4"/>
      <c r="U69" s="4"/>
      <c r="V69" s="4"/>
      <c r="W69" s="4"/>
      <c r="X69" s="4"/>
      <c r="Y69" s="4"/>
      <c r="Z69" s="4"/>
      <c r="AA69" s="4"/>
      <c r="AB69" s="4"/>
      <c r="AD69" s="4"/>
    </row>
    <row r="70" spans="1:30" x14ac:dyDescent="0.3">
      <c r="A70" s="4"/>
      <c r="AD70" s="4"/>
    </row>
    <row r="71" spans="1:30" x14ac:dyDescent="0.3">
      <c r="A71" s="4"/>
      <c r="AD71" s="4"/>
    </row>
    <row r="72" spans="1:30" x14ac:dyDescent="0.3">
      <c r="A72" s="4"/>
      <c r="AD72" s="4"/>
    </row>
    <row r="73" spans="1:30" x14ac:dyDescent="0.3">
      <c r="A73" s="4"/>
      <c r="AD73" s="4"/>
    </row>
    <row r="74" spans="1:30" x14ac:dyDescent="0.3">
      <c r="A74" s="4"/>
      <c r="AD74" s="4"/>
    </row>
    <row r="75" spans="1:30" x14ac:dyDescent="0.3">
      <c r="A75" s="4"/>
      <c r="AD75" s="4"/>
    </row>
    <row r="76" spans="1:30" x14ac:dyDescent="0.3">
      <c r="A76" s="4"/>
      <c r="AD76" s="4"/>
    </row>
    <row r="77" spans="1:30" x14ac:dyDescent="0.3">
      <c r="A77" s="4"/>
      <c r="AD77" s="4"/>
    </row>
    <row r="78" spans="1:30" x14ac:dyDescent="0.3">
      <c r="A78" s="4"/>
      <c r="AD78" s="4"/>
    </row>
    <row r="79" spans="1:30" x14ac:dyDescent="0.3">
      <c r="A79" s="4"/>
      <c r="AD79" s="4"/>
    </row>
    <row r="80" spans="1:30" x14ac:dyDescent="0.3">
      <c r="A80" s="4"/>
      <c r="AD80" s="4"/>
    </row>
    <row r="81" spans="1:30" x14ac:dyDescent="0.3">
      <c r="A81" s="4"/>
      <c r="AD81" s="4"/>
    </row>
    <row r="82" spans="1:30" x14ac:dyDescent="0.3">
      <c r="A82" s="4"/>
      <c r="AD82" s="4"/>
    </row>
    <row r="83" spans="1:30" x14ac:dyDescent="0.3">
      <c r="A83" s="4"/>
      <c r="AD83" s="4"/>
    </row>
    <row r="84" spans="1:30" x14ac:dyDescent="0.3">
      <c r="A84" s="4"/>
      <c r="AD84" s="4"/>
    </row>
    <row r="85" spans="1:30" x14ac:dyDescent="0.3">
      <c r="A85" s="4"/>
      <c r="AD85" s="4"/>
    </row>
    <row r="86" spans="1:30" x14ac:dyDescent="0.3">
      <c r="A86" s="4"/>
      <c r="AD86" s="4"/>
    </row>
    <row r="87" spans="1:30" x14ac:dyDescent="0.3">
      <c r="A87" s="4"/>
      <c r="AD87" s="4"/>
    </row>
    <row r="88" spans="1:30" x14ac:dyDescent="0.3">
      <c r="A88" s="4"/>
      <c r="AD88" s="4"/>
    </row>
    <row r="89" spans="1:30" x14ac:dyDescent="0.3">
      <c r="A89" s="4"/>
      <c r="AD89" s="4"/>
    </row>
    <row r="90" spans="1:30" x14ac:dyDescent="0.3">
      <c r="A90" s="4"/>
      <c r="AD90" s="4"/>
    </row>
    <row r="91" spans="1:30" x14ac:dyDescent="0.3">
      <c r="A91" s="4"/>
      <c r="AD91" s="4"/>
    </row>
    <row r="92" spans="1:30" x14ac:dyDescent="0.3">
      <c r="A92" s="4"/>
      <c r="AD92" s="4"/>
    </row>
    <row r="93" spans="1:30" x14ac:dyDescent="0.3">
      <c r="A93" s="4"/>
      <c r="AD93" s="4"/>
    </row>
    <row r="94" spans="1:30" x14ac:dyDescent="0.3">
      <c r="A94" s="4"/>
      <c r="AD94" s="4"/>
    </row>
    <row r="95" spans="1:30" x14ac:dyDescent="0.3">
      <c r="A95" s="4"/>
      <c r="AD95" s="4"/>
    </row>
    <row r="96" spans="1:30" x14ac:dyDescent="0.3">
      <c r="A96" s="4"/>
      <c r="AD96" s="4"/>
    </row>
    <row r="97" spans="1:30" x14ac:dyDescent="0.3">
      <c r="A97" s="4"/>
      <c r="AD97" s="4"/>
    </row>
    <row r="98" spans="1:30" x14ac:dyDescent="0.3">
      <c r="A98" s="4"/>
      <c r="AD98" s="4"/>
    </row>
    <row r="99" spans="1:30" x14ac:dyDescent="0.3">
      <c r="A99" s="4"/>
      <c r="AD99" s="4"/>
    </row>
    <row r="100" spans="1:30" x14ac:dyDescent="0.3">
      <c r="A100" s="4"/>
      <c r="AD100" s="4"/>
    </row>
    <row r="101" spans="1:30" x14ac:dyDescent="0.3">
      <c r="A101" s="4"/>
      <c r="AD101" s="4"/>
    </row>
    <row r="102" spans="1:30" x14ac:dyDescent="0.3">
      <c r="A102" s="4"/>
      <c r="AD102" s="4"/>
    </row>
    <row r="103" spans="1:30" x14ac:dyDescent="0.3">
      <c r="A103" s="4"/>
      <c r="AD103" s="4"/>
    </row>
    <row r="104" spans="1:30" x14ac:dyDescent="0.3">
      <c r="A104" s="4"/>
      <c r="AD104" s="4"/>
    </row>
    <row r="105" spans="1:30" x14ac:dyDescent="0.3">
      <c r="A105" s="4"/>
      <c r="AD105" s="4"/>
    </row>
    <row r="106" spans="1:30" x14ac:dyDescent="0.3">
      <c r="A106" s="4"/>
      <c r="AD106" s="4"/>
    </row>
    <row r="107" spans="1:30" x14ac:dyDescent="0.3">
      <c r="A107" s="4"/>
      <c r="AD107" s="4"/>
    </row>
    <row r="108" spans="1:30" x14ac:dyDescent="0.3">
      <c r="A108" s="4"/>
      <c r="AD108" s="4"/>
    </row>
    <row r="109" spans="1:30" x14ac:dyDescent="0.3">
      <c r="A109" s="4"/>
      <c r="AD109" s="4"/>
    </row>
    <row r="110" spans="1:30" x14ac:dyDescent="0.3">
      <c r="A110" s="4"/>
      <c r="AD110" s="4"/>
    </row>
    <row r="111" spans="1:30" x14ac:dyDescent="0.3">
      <c r="A111" s="4"/>
      <c r="AD111" s="4"/>
    </row>
    <row r="112" spans="1:30" x14ac:dyDescent="0.3">
      <c r="A112" s="4"/>
      <c r="AD112" s="4"/>
    </row>
    <row r="113" spans="1:30" x14ac:dyDescent="0.3">
      <c r="A113" s="4"/>
      <c r="AD113" s="4"/>
    </row>
    <row r="114" spans="1:30" x14ac:dyDescent="0.3">
      <c r="A114" s="4"/>
      <c r="AD114" s="4"/>
    </row>
    <row r="115" spans="1:30" x14ac:dyDescent="0.3">
      <c r="A115" s="4"/>
      <c r="AD115" s="4"/>
    </row>
    <row r="116" spans="1:30" x14ac:dyDescent="0.3">
      <c r="A116" s="4"/>
      <c r="AD116" s="4"/>
    </row>
    <row r="117" spans="1:30" x14ac:dyDescent="0.3">
      <c r="A117" s="4"/>
      <c r="AD117" s="4"/>
    </row>
    <row r="118" spans="1:30" x14ac:dyDescent="0.3">
      <c r="A118" s="4"/>
      <c r="AD118" s="4"/>
    </row>
    <row r="119" spans="1:30" x14ac:dyDescent="0.3">
      <c r="A119" s="4"/>
      <c r="AD119" s="4"/>
    </row>
    <row r="120" spans="1:30" x14ac:dyDescent="0.3">
      <c r="A120" s="4"/>
      <c r="AD120" s="4"/>
    </row>
    <row r="121" spans="1:30" x14ac:dyDescent="0.3">
      <c r="A121" s="4"/>
      <c r="AD121" s="4"/>
    </row>
    <row r="122" spans="1:30" x14ac:dyDescent="0.3">
      <c r="A122" s="4"/>
      <c r="AD122" s="4"/>
    </row>
    <row r="123" spans="1:30" x14ac:dyDescent="0.3">
      <c r="A123" s="4"/>
      <c r="AD123" s="4"/>
    </row>
    <row r="124" spans="1:30" x14ac:dyDescent="0.3">
      <c r="A124" s="4"/>
      <c r="AD124" s="4"/>
    </row>
    <row r="125" spans="1:30" x14ac:dyDescent="0.3">
      <c r="A125" s="4"/>
      <c r="AD125" s="4"/>
    </row>
    <row r="126" spans="1:30" x14ac:dyDescent="0.3">
      <c r="A126" s="4"/>
      <c r="AD126" s="4"/>
    </row>
    <row r="127" spans="1:30" x14ac:dyDescent="0.3">
      <c r="A127" s="4"/>
      <c r="AD127" s="4"/>
    </row>
    <row r="128" spans="1:30" x14ac:dyDescent="0.3">
      <c r="A128" s="4"/>
      <c r="AD128" s="4"/>
    </row>
    <row r="129" spans="1:30" x14ac:dyDescent="0.3">
      <c r="A129" s="4"/>
      <c r="AD129" s="4"/>
    </row>
    <row r="130" spans="1:30" x14ac:dyDescent="0.3">
      <c r="A130" s="4"/>
      <c r="AD130" s="4"/>
    </row>
    <row r="131" spans="1:30" x14ac:dyDescent="0.3">
      <c r="A131" s="4"/>
      <c r="AD131" s="4"/>
    </row>
    <row r="132" spans="1:30" x14ac:dyDescent="0.3">
      <c r="A132" s="4"/>
      <c r="AD132" s="4"/>
    </row>
    <row r="133" spans="1:30" x14ac:dyDescent="0.3">
      <c r="A133" s="4"/>
      <c r="AD133" s="4"/>
    </row>
    <row r="134" spans="1:30" x14ac:dyDescent="0.3">
      <c r="A134" s="4"/>
      <c r="AD134" s="4"/>
    </row>
    <row r="135" spans="1:30" x14ac:dyDescent="0.3">
      <c r="A135" s="4"/>
      <c r="AD135" s="4"/>
    </row>
    <row r="136" spans="1:30" x14ac:dyDescent="0.3">
      <c r="A136" s="4"/>
      <c r="AD136" s="4"/>
    </row>
    <row r="137" spans="1:30" x14ac:dyDescent="0.3">
      <c r="A137" s="4"/>
      <c r="AD137" s="4"/>
    </row>
    <row r="138" spans="1:30" x14ac:dyDescent="0.3">
      <c r="A138" s="4"/>
      <c r="AD138" s="4"/>
    </row>
    <row r="139" spans="1:30" x14ac:dyDescent="0.3">
      <c r="A139" s="4"/>
      <c r="AD139" s="4"/>
    </row>
    <row r="140" spans="1:30" x14ac:dyDescent="0.3">
      <c r="A140" s="4"/>
      <c r="AD140" s="4"/>
    </row>
    <row r="141" spans="1:30" x14ac:dyDescent="0.3">
      <c r="A141" s="4"/>
      <c r="AD141" s="4"/>
    </row>
    <row r="142" spans="1:30" x14ac:dyDescent="0.3">
      <c r="A142" s="4"/>
      <c r="AD142" s="4"/>
    </row>
    <row r="143" spans="1:30" x14ac:dyDescent="0.3">
      <c r="A143" s="4"/>
      <c r="AD143" s="4"/>
    </row>
    <row r="144" spans="1:30" x14ac:dyDescent="0.3">
      <c r="A144" s="4"/>
      <c r="AC144" s="4"/>
      <c r="AD144" s="4"/>
    </row>
    <row r="145" spans="1:30" x14ac:dyDescent="0.3">
      <c r="A145" s="4"/>
      <c r="AD145" s="4"/>
    </row>
    <row r="146" spans="1:30" x14ac:dyDescent="0.3">
      <c r="A146" s="4"/>
      <c r="AD146" s="4"/>
    </row>
    <row r="147" spans="1:30" x14ac:dyDescent="0.3">
      <c r="A147" s="4"/>
      <c r="AD147" s="4"/>
    </row>
    <row r="148" spans="1:30" x14ac:dyDescent="0.3">
      <c r="A148" s="4"/>
      <c r="AD148" s="4"/>
    </row>
    <row r="149" spans="1:30" x14ac:dyDescent="0.3">
      <c r="A149" s="4"/>
      <c r="AD149" s="4"/>
    </row>
    <row r="150" spans="1:30" x14ac:dyDescent="0.3">
      <c r="A150" s="4"/>
      <c r="AD150" s="4"/>
    </row>
    <row r="151" spans="1:30" x14ac:dyDescent="0.3">
      <c r="A151" s="4"/>
      <c r="AD151" s="4"/>
    </row>
    <row r="152" spans="1:30" x14ac:dyDescent="0.3">
      <c r="A152" s="4"/>
      <c r="AD152" s="4"/>
    </row>
    <row r="153" spans="1:30" x14ac:dyDescent="0.3">
      <c r="A153" s="4"/>
      <c r="AD153" s="4"/>
    </row>
    <row r="154" spans="1:30" x14ac:dyDescent="0.3">
      <c r="A154" s="4"/>
      <c r="AD154" s="4"/>
    </row>
    <row r="155" spans="1:30" x14ac:dyDescent="0.3">
      <c r="A155" s="4"/>
      <c r="AD155" s="4"/>
    </row>
    <row r="156" spans="1:30" x14ac:dyDescent="0.3">
      <c r="A156" s="4"/>
      <c r="AD156" s="4"/>
    </row>
    <row r="157" spans="1:30" x14ac:dyDescent="0.3">
      <c r="A157" s="4"/>
      <c r="AD157" s="4"/>
    </row>
    <row r="158" spans="1:30" x14ac:dyDescent="0.3">
      <c r="A158" s="4"/>
      <c r="AD158" s="4"/>
    </row>
    <row r="159" spans="1:30" x14ac:dyDescent="0.3">
      <c r="A159" s="4"/>
      <c r="AD159" s="4"/>
    </row>
    <row r="160" spans="1:30" x14ac:dyDescent="0.3">
      <c r="A160" s="4"/>
      <c r="AD160" s="4"/>
    </row>
    <row r="161" spans="1:30" x14ac:dyDescent="0.3">
      <c r="A161" s="4"/>
      <c r="AD161" s="4"/>
    </row>
    <row r="162" spans="1:30" x14ac:dyDescent="0.3">
      <c r="A162" s="4"/>
      <c r="AD162" s="4"/>
    </row>
    <row r="163" spans="1:30" x14ac:dyDescent="0.3">
      <c r="A163" s="4"/>
      <c r="AD163" s="4"/>
    </row>
    <row r="164" spans="1:30" x14ac:dyDescent="0.3">
      <c r="A164" s="4"/>
      <c r="AD164" s="4"/>
    </row>
    <row r="165" spans="1:30" x14ac:dyDescent="0.3">
      <c r="A165" s="4"/>
      <c r="AD165" s="4"/>
    </row>
    <row r="166" spans="1:30" x14ac:dyDescent="0.3">
      <c r="A166" s="4"/>
      <c r="AD166" s="4"/>
    </row>
    <row r="167" spans="1:30" x14ac:dyDescent="0.3">
      <c r="A167" s="4"/>
      <c r="AD167" s="4"/>
    </row>
    <row r="168" spans="1:30" x14ac:dyDescent="0.3">
      <c r="A168" s="4"/>
      <c r="AD168" s="4"/>
    </row>
    <row r="169" spans="1:30" x14ac:dyDescent="0.3">
      <c r="A169" s="4"/>
      <c r="AD169" s="4"/>
    </row>
    <row r="170" spans="1:30" x14ac:dyDescent="0.3">
      <c r="A170" s="4"/>
      <c r="AD170" s="4"/>
    </row>
    <row r="171" spans="1:30" x14ac:dyDescent="0.3">
      <c r="A171" s="4"/>
      <c r="AD171" s="4"/>
    </row>
    <row r="172" spans="1:30" x14ac:dyDescent="0.3">
      <c r="A172" s="4"/>
      <c r="AD172" s="4"/>
    </row>
    <row r="173" spans="1:30" x14ac:dyDescent="0.3">
      <c r="A173" s="4"/>
      <c r="AD173" s="4"/>
    </row>
    <row r="174" spans="1:30" x14ac:dyDescent="0.3">
      <c r="A174" s="4"/>
      <c r="AD174" s="4"/>
    </row>
    <row r="175" spans="1:30" x14ac:dyDescent="0.3">
      <c r="A175" s="4"/>
      <c r="AD175" s="4"/>
    </row>
    <row r="176" spans="1:30" x14ac:dyDescent="0.3">
      <c r="A176" s="4"/>
      <c r="AD176" s="4"/>
    </row>
    <row r="177" spans="1:30" x14ac:dyDescent="0.3">
      <c r="A177" s="4"/>
      <c r="AD177" s="4"/>
    </row>
    <row r="178" spans="1:30" x14ac:dyDescent="0.3">
      <c r="A178" s="4"/>
      <c r="AD178" s="4"/>
    </row>
    <row r="179" spans="1:30" x14ac:dyDescent="0.3">
      <c r="A179" s="4"/>
      <c r="AD179" s="4"/>
    </row>
    <row r="180" spans="1:30" x14ac:dyDescent="0.3">
      <c r="A180" s="4"/>
      <c r="AD180" s="4"/>
    </row>
    <row r="181" spans="1:30" x14ac:dyDescent="0.3">
      <c r="A181" s="4"/>
      <c r="AD181" s="4"/>
    </row>
    <row r="182" spans="1:30" x14ac:dyDescent="0.3">
      <c r="A182" s="4"/>
      <c r="AD182" s="4"/>
    </row>
    <row r="183" spans="1:30" x14ac:dyDescent="0.3">
      <c r="A183" s="4"/>
    </row>
    <row r="184" spans="1:30" x14ac:dyDescent="0.3">
      <c r="A184" s="4"/>
    </row>
  </sheetData>
  <sheetProtection formatColumns="0" formatRows="0" insertColumns="0" insertRows="0" sort="0" autoFilter="0" pivotTables="0"/>
  <protectedRanges>
    <protectedRange sqref="B23:AA99" name="Table"/>
  </protectedRanges>
  <mergeCells count="1">
    <mergeCell ref="B9:C9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76EA7-5EA9-477D-977B-F62AA863EB70}">
  <sheetPr codeName="Sheet11"/>
  <dimension ref="A1:BI66"/>
  <sheetViews>
    <sheetView showGridLines="0" topLeftCell="A16" workbookViewId="0">
      <selection activeCell="F24" sqref="F24"/>
    </sheetView>
  </sheetViews>
  <sheetFormatPr defaultColWidth="0" defaultRowHeight="14.4" x14ac:dyDescent="0.3"/>
  <cols>
    <col min="1" max="1" width="1.5546875" customWidth="1"/>
    <col min="2" max="2" width="13.6640625" bestFit="1" customWidth="1"/>
    <col min="3" max="3" width="14.77734375" bestFit="1" customWidth="1"/>
    <col min="4" max="4" width="16.33203125" hidden="1" customWidth="1"/>
    <col min="5" max="5" width="16" bestFit="1" customWidth="1"/>
    <col min="6" max="6" width="15.6640625" bestFit="1" customWidth="1"/>
    <col min="7" max="7" width="16.88671875" hidden="1" customWidth="1"/>
    <col min="8" max="8" width="9.5546875" bestFit="1" customWidth="1"/>
    <col min="9" max="9" width="8.109375" bestFit="1" customWidth="1"/>
    <col min="10" max="10" width="8.5546875" bestFit="1" customWidth="1"/>
    <col min="11" max="11" width="12.33203125" hidden="1" customWidth="1"/>
    <col min="12" max="12" width="10.6640625" bestFit="1" customWidth="1"/>
    <col min="13" max="13" width="11.109375" bestFit="1" customWidth="1"/>
    <col min="14" max="14" width="11.6640625" hidden="1" customWidth="1"/>
    <col min="15" max="15" width="10.21875" bestFit="1" customWidth="1"/>
    <col min="16" max="16" width="10.6640625" bestFit="1" customWidth="1"/>
    <col min="17" max="17" width="12.44140625" hidden="1" customWidth="1"/>
    <col min="18" max="19" width="7" bestFit="1" customWidth="1"/>
    <col min="20" max="20" width="7.109375" bestFit="1" customWidth="1"/>
    <col min="21" max="21" width="5.33203125" bestFit="1" customWidth="1"/>
    <col min="22" max="22" width="16" bestFit="1" customWidth="1"/>
    <col min="23" max="23" width="2.33203125" customWidth="1"/>
    <col min="24" max="24" width="26.33203125" hidden="1" customWidth="1"/>
    <col min="25" max="25" width="11.6640625" hidden="1" customWidth="1"/>
    <col min="26" max="26" width="10" hidden="1" customWidth="1"/>
    <col min="27" max="27" width="26.33203125" hidden="1" customWidth="1"/>
    <col min="28" max="28" width="11.6640625" hidden="1" customWidth="1"/>
    <col min="29" max="29" width="10" hidden="1" customWidth="1"/>
    <col min="30" max="30" width="12.33203125" hidden="1" customWidth="1"/>
    <col min="31" max="31" width="6.88671875" hidden="1" customWidth="1"/>
    <col min="32" max="32" width="19.44140625" hidden="1" customWidth="1"/>
    <col min="33" max="33" width="11.6640625" hidden="1" customWidth="1"/>
    <col min="34" max="34" width="8" hidden="1" customWidth="1"/>
    <col min="35" max="35" width="17.109375" hidden="1" customWidth="1"/>
    <col min="36" max="36" width="12.44140625" hidden="1" customWidth="1"/>
    <col min="37" max="37" width="7.33203125" hidden="1" customWidth="1"/>
    <col min="38" max="38" width="10.88671875" hidden="1" customWidth="1"/>
    <col min="39" max="39" width="20.109375" hidden="1" customWidth="1"/>
    <col min="40" max="40" width="18.33203125" hidden="1" customWidth="1"/>
    <col min="41" max="61" width="0" hidden="1" customWidth="1"/>
    <col min="62" max="16384" width="8.88671875" hidden="1"/>
  </cols>
  <sheetData>
    <row r="1" spans="1:61" ht="8.4" customHeigh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</row>
    <row r="2" spans="1:61" x14ac:dyDescent="0.3">
      <c r="A2" s="43"/>
      <c r="W2" s="43"/>
    </row>
    <row r="3" spans="1:61" x14ac:dyDescent="0.3">
      <c r="A3" s="43"/>
      <c r="W3" s="43"/>
    </row>
    <row r="4" spans="1:61" x14ac:dyDescent="0.3">
      <c r="A4" s="43"/>
      <c r="W4" s="43"/>
    </row>
    <row r="5" spans="1:61" x14ac:dyDescent="0.3">
      <c r="A5" s="43"/>
      <c r="W5" s="43"/>
    </row>
    <row r="6" spans="1:61" s="43" customFormat="1" ht="4.95" customHeight="1" x14ac:dyDescent="0.3"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</row>
    <row r="7" spans="1:61" x14ac:dyDescent="0.3">
      <c r="A7" s="43"/>
      <c r="W7" s="43"/>
    </row>
    <row r="8" spans="1:61" x14ac:dyDescent="0.3">
      <c r="A8" s="43"/>
      <c r="W8" s="43"/>
    </row>
    <row r="9" spans="1:61" x14ac:dyDescent="0.3">
      <c r="A9" s="43"/>
      <c r="W9" s="43"/>
    </row>
    <row r="10" spans="1:61" x14ac:dyDescent="0.3">
      <c r="A10" s="43"/>
      <c r="W10" s="43"/>
    </row>
    <row r="11" spans="1:61" x14ac:dyDescent="0.3">
      <c r="A11" s="43"/>
      <c r="W11" s="43"/>
    </row>
    <row r="12" spans="1:61" x14ac:dyDescent="0.3">
      <c r="A12" s="43"/>
      <c r="W12" s="43"/>
    </row>
    <row r="13" spans="1:61" x14ac:dyDescent="0.3">
      <c r="A13" s="43"/>
      <c r="W13" s="43"/>
    </row>
    <row r="14" spans="1:61" ht="23.4" customHeight="1" x14ac:dyDescent="0.5">
      <c r="A14" s="43"/>
      <c r="C14" s="25" t="e">
        <f>Calculation!E8</f>
        <v>#DIV/0!</v>
      </c>
      <c r="W14" s="43"/>
    </row>
    <row r="15" spans="1:61" x14ac:dyDescent="0.3">
      <c r="A15" s="43"/>
      <c r="W15" s="43"/>
    </row>
    <row r="16" spans="1:61" x14ac:dyDescent="0.3">
      <c r="A16" s="43"/>
      <c r="W16" s="43"/>
    </row>
    <row r="17" spans="1:23" ht="21.6" customHeight="1" x14ac:dyDescent="0.3">
      <c r="A17" s="43"/>
      <c r="W17" s="43"/>
    </row>
    <row r="18" spans="1:23" ht="21.6" customHeight="1" x14ac:dyDescent="0.3">
      <c r="A18" s="43"/>
      <c r="W18" s="43"/>
    </row>
    <row r="19" spans="1:23" ht="4.95" customHeight="1" x14ac:dyDescent="0.3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</row>
    <row r="20" spans="1:23" x14ac:dyDescent="0.3">
      <c r="A20" s="43"/>
      <c r="B20" s="52" t="str">
        <f>"            "&amp;Calculation!C15&amp;" "&amp;Calculation!C16</f>
        <v xml:space="preserve">            EMPTY BOOKINGS CMA 0</v>
      </c>
      <c r="E20" s="52" t="str">
        <f>"                          "&amp;Calculation!D15&amp;" "&amp;Calculation!D16</f>
        <v xml:space="preserve">                          CONTAINERS NOT LINKED 0</v>
      </c>
      <c r="L20" s="52" t="str">
        <f>" "&amp;Calculation!H15&amp;" "&amp;Calculation!H16</f>
        <v xml:space="preserve"> POD: 0</v>
      </c>
      <c r="P20" s="52" t="str">
        <f>" "&amp;Calculation!J15&amp;" "&amp;Calculation!J16</f>
        <v xml:space="preserve"> VENTILATION 0</v>
      </c>
      <c r="V20" s="52" t="str">
        <f>" "&amp;Calculation!L15&amp;" "&amp;Calculation!L16</f>
        <v xml:space="preserve"> HAZ 0</v>
      </c>
      <c r="W20" s="43"/>
    </row>
    <row r="21" spans="1:23" x14ac:dyDescent="0.3">
      <c r="A21" s="43"/>
      <c r="B21" s="53" t="str">
        <f>"            "&amp;Calculation!D7&amp;" "&amp;Calculation!D8</f>
        <v xml:space="preserve">            NOT COMPLETED CMA 1</v>
      </c>
      <c r="E21" s="53" t="str">
        <f>"                          "&amp;Calculation!E15&amp;" "&amp;Calculation!E16</f>
        <v xml:space="preserve">                          CONTAINERS NOT PRE-ADVISED 0</v>
      </c>
      <c r="L21" s="53" t="str">
        <f>" "&amp;Calculation!I15&amp;" "&amp;Calculation!I16</f>
        <v xml:space="preserve"> FPD: 0</v>
      </c>
      <c r="P21" s="53" t="str">
        <f>" "&amp;Calculation!K15&amp;" "&amp;Calculation!K16</f>
        <v xml:space="preserve"> HUMIDITY 0</v>
      </c>
      <c r="V21" s="53" t="str">
        <f>" "&amp;Calculation!M15&amp;" "&amp;Calculation!M16</f>
        <v xml:space="preserve"> OOG 0</v>
      </c>
      <c r="W21" s="43"/>
    </row>
    <row r="22" spans="1:23" x14ac:dyDescent="0.3">
      <c r="A22" s="43"/>
      <c r="B22" s="54" t="str">
        <f>"            "&amp;Calculation!C7&amp;" "&amp;Calculation!C8</f>
        <v xml:space="preserve">            NOT COMPLETED ANL 0</v>
      </c>
      <c r="E22" s="54" t="str">
        <f>"                          "&amp;Calculation!F15&amp;" "&amp;Calculation!F16</f>
        <v xml:space="preserve">                          BOOKING MIS №: 0</v>
      </c>
      <c r="L22" s="54" t="str">
        <f>" "&amp;Calculation!G15&amp;" "&amp;Calculation!G16</f>
        <v xml:space="preserve"> TEMPᵒ: 0</v>
      </c>
      <c r="W22" s="43"/>
    </row>
    <row r="23" spans="1:23" x14ac:dyDescent="0.3">
      <c r="A23" s="43"/>
      <c r="W23" s="43"/>
    </row>
    <row r="24" spans="1:23" x14ac:dyDescent="0.3">
      <c r="A24" s="43"/>
      <c r="B24" t="s">
        <v>123</v>
      </c>
      <c r="C24" t="s">
        <v>138</v>
      </c>
      <c r="D24" t="s">
        <v>93</v>
      </c>
      <c r="E24" t="s">
        <v>103</v>
      </c>
      <c r="F24" t="s">
        <v>142</v>
      </c>
      <c r="G24" t="s">
        <v>94</v>
      </c>
      <c r="H24" t="s">
        <v>134</v>
      </c>
      <c r="I24" t="s">
        <v>126</v>
      </c>
      <c r="J24" t="s">
        <v>143</v>
      </c>
      <c r="K24" t="s">
        <v>95</v>
      </c>
      <c r="L24" t="s">
        <v>105</v>
      </c>
      <c r="M24" t="s">
        <v>140</v>
      </c>
      <c r="N24" t="s">
        <v>96</v>
      </c>
      <c r="O24" t="s">
        <v>106</v>
      </c>
      <c r="P24" t="s">
        <v>141</v>
      </c>
      <c r="Q24" t="s">
        <v>97</v>
      </c>
      <c r="R24" t="s">
        <v>122</v>
      </c>
      <c r="S24" t="s">
        <v>130</v>
      </c>
      <c r="T24" t="s">
        <v>25</v>
      </c>
      <c r="U24" t="s">
        <v>20</v>
      </c>
      <c r="V24" t="s">
        <v>139</v>
      </c>
      <c r="W24" s="43"/>
    </row>
    <row r="25" spans="1:23" hidden="1" x14ac:dyDescent="0.3">
      <c r="A25" s="43"/>
      <c r="B25" s="56"/>
      <c r="C25" s="57"/>
      <c r="E25" s="56"/>
      <c r="F25" s="57"/>
      <c r="H25" s="58"/>
      <c r="I25" s="56"/>
      <c r="J25" s="59"/>
      <c r="L25" s="56"/>
      <c r="M25" s="57"/>
      <c r="O25" s="56"/>
      <c r="P25" s="57"/>
      <c r="R25" s="58"/>
      <c r="S25" s="58"/>
      <c r="T25" s="58"/>
      <c r="U25" s="58"/>
      <c r="V25" s="58"/>
      <c r="W25" s="43"/>
    </row>
    <row r="26" spans="1:23" x14ac:dyDescent="0.3">
      <c r="A26" s="43"/>
      <c r="B26" s="27"/>
      <c r="C26" s="30"/>
      <c r="E26" s="27"/>
      <c r="F26" s="30"/>
      <c r="H26" s="28"/>
      <c r="I26" s="27"/>
      <c r="J26" s="30"/>
      <c r="L26" s="27"/>
      <c r="M26" s="30"/>
      <c r="O26" s="27"/>
      <c r="P26" s="30"/>
      <c r="R26" s="28"/>
      <c r="S26" s="28"/>
      <c r="T26" s="28"/>
      <c r="U26" s="28"/>
      <c r="V26" s="28"/>
      <c r="W26" s="43"/>
    </row>
    <row r="27" spans="1:23" x14ac:dyDescent="0.3">
      <c r="A27" s="43"/>
      <c r="B27" s="27"/>
      <c r="C27" s="30"/>
      <c r="E27" s="27"/>
      <c r="F27" s="30"/>
      <c r="H27" s="28"/>
      <c r="I27" s="27"/>
      <c r="J27" s="30"/>
      <c r="L27" s="27"/>
      <c r="M27" s="30"/>
      <c r="O27" s="27"/>
      <c r="P27" s="30"/>
      <c r="R27" s="28"/>
      <c r="S27" s="28"/>
      <c r="T27" s="28"/>
      <c r="U27" s="28"/>
      <c r="V27" s="28"/>
      <c r="W27" s="43"/>
    </row>
    <row r="28" spans="1:23" x14ac:dyDescent="0.3">
      <c r="A28" s="43"/>
      <c r="B28" s="27"/>
      <c r="C28" s="30"/>
      <c r="E28" s="27"/>
      <c r="F28" s="30"/>
      <c r="H28" s="28"/>
      <c r="I28" s="27"/>
      <c r="J28" s="30"/>
      <c r="L28" s="27"/>
      <c r="M28" s="30"/>
      <c r="O28" s="27"/>
      <c r="P28" s="30"/>
      <c r="R28" s="28"/>
      <c r="S28" s="28"/>
      <c r="T28" s="28"/>
      <c r="U28" s="28"/>
      <c r="V28" s="28"/>
      <c r="W28" s="43"/>
    </row>
    <row r="29" spans="1:23" x14ac:dyDescent="0.3">
      <c r="A29" s="43"/>
      <c r="B29" s="27"/>
      <c r="C29" s="30"/>
      <c r="E29" s="27"/>
      <c r="F29" s="30"/>
      <c r="H29" s="28"/>
      <c r="I29" s="27"/>
      <c r="J29" s="30"/>
      <c r="L29" s="27"/>
      <c r="M29" s="30"/>
      <c r="O29" s="27"/>
      <c r="P29" s="30"/>
      <c r="R29" s="28"/>
      <c r="S29" s="28"/>
      <c r="T29" s="28"/>
      <c r="U29" s="28"/>
      <c r="V29" s="28"/>
      <c r="W29" s="43"/>
    </row>
    <row r="30" spans="1:23" x14ac:dyDescent="0.3">
      <c r="A30" s="43"/>
      <c r="B30" s="27"/>
      <c r="C30" s="30"/>
      <c r="E30" s="27"/>
      <c r="F30" s="30"/>
      <c r="H30" s="28"/>
      <c r="I30" s="27"/>
      <c r="J30" s="30"/>
      <c r="L30" s="27"/>
      <c r="M30" s="30"/>
      <c r="O30" s="27"/>
      <c r="P30" s="30"/>
      <c r="R30" s="28"/>
      <c r="S30" s="28"/>
      <c r="T30" s="28"/>
      <c r="U30" s="28"/>
      <c r="V30" s="28"/>
      <c r="W30" s="43"/>
    </row>
    <row r="31" spans="1:23" x14ac:dyDescent="0.3">
      <c r="A31" s="43"/>
      <c r="B31" s="27"/>
      <c r="C31" s="30"/>
      <c r="E31" s="27"/>
      <c r="F31" s="30"/>
      <c r="H31" s="28"/>
      <c r="I31" s="27"/>
      <c r="J31" s="30"/>
      <c r="L31" s="27"/>
      <c r="M31" s="30"/>
      <c r="O31" s="27"/>
      <c r="P31" s="30"/>
      <c r="R31" s="28"/>
      <c r="S31" s="28"/>
      <c r="T31" s="28"/>
      <c r="U31" s="28"/>
      <c r="V31" s="28"/>
      <c r="W31" s="43"/>
    </row>
    <row r="32" spans="1:23" x14ac:dyDescent="0.3">
      <c r="A32" s="43"/>
      <c r="B32" s="27"/>
      <c r="C32" s="30"/>
      <c r="E32" s="27"/>
      <c r="F32" s="30"/>
      <c r="H32" s="28"/>
      <c r="I32" s="27"/>
      <c r="J32" s="30"/>
      <c r="L32" s="27"/>
      <c r="M32" s="30"/>
      <c r="O32" s="27"/>
      <c r="P32" s="30"/>
      <c r="R32" s="28"/>
      <c r="S32" s="28"/>
      <c r="T32" s="28"/>
      <c r="U32" s="28"/>
      <c r="V32" s="28"/>
      <c r="W32" s="43"/>
    </row>
    <row r="33" spans="1:23" x14ac:dyDescent="0.3">
      <c r="A33" s="43"/>
      <c r="B33" s="27"/>
      <c r="C33" s="30"/>
      <c r="E33" s="27"/>
      <c r="F33" s="30"/>
      <c r="H33" s="28"/>
      <c r="I33" s="27"/>
      <c r="J33" s="30"/>
      <c r="L33" s="27"/>
      <c r="M33" s="30"/>
      <c r="O33" s="27"/>
      <c r="P33" s="30"/>
      <c r="R33" s="28"/>
      <c r="S33" s="28"/>
      <c r="T33" s="28"/>
      <c r="U33" s="28"/>
      <c r="V33" s="28"/>
      <c r="W33" s="43"/>
    </row>
    <row r="34" spans="1:23" x14ac:dyDescent="0.3">
      <c r="A34" s="43"/>
      <c r="B34" s="27"/>
      <c r="C34" s="30"/>
      <c r="E34" s="27"/>
      <c r="F34" s="30"/>
      <c r="H34" s="28"/>
      <c r="I34" s="27"/>
      <c r="J34" s="30"/>
      <c r="L34" s="27"/>
      <c r="M34" s="30"/>
      <c r="O34" s="27"/>
      <c r="P34" s="30"/>
      <c r="R34" s="28"/>
      <c r="S34" s="28"/>
      <c r="T34" s="28"/>
      <c r="U34" s="28"/>
      <c r="V34" s="28"/>
      <c r="W34" s="43"/>
    </row>
    <row r="35" spans="1:23" x14ac:dyDescent="0.3">
      <c r="A35" s="43"/>
      <c r="B35" s="27"/>
      <c r="C35" s="30"/>
      <c r="E35" s="27"/>
      <c r="F35" s="30"/>
      <c r="H35" s="28"/>
      <c r="I35" s="27"/>
      <c r="J35" s="30"/>
      <c r="L35" s="27"/>
      <c r="M35" s="30"/>
      <c r="O35" s="27"/>
      <c r="P35" s="30"/>
      <c r="R35" s="28"/>
      <c r="S35" s="28"/>
      <c r="T35" s="28"/>
      <c r="U35" s="28"/>
      <c r="V35" s="28"/>
      <c r="W35" s="43"/>
    </row>
    <row r="36" spans="1:23" x14ac:dyDescent="0.3">
      <c r="A36" s="43"/>
      <c r="B36" s="27"/>
      <c r="C36" s="30"/>
      <c r="E36" s="27"/>
      <c r="F36" s="30"/>
      <c r="H36" s="28"/>
      <c r="I36" s="27"/>
      <c r="J36" s="30"/>
      <c r="L36" s="27"/>
      <c r="M36" s="30"/>
      <c r="O36" s="27"/>
      <c r="P36" s="30"/>
      <c r="R36" s="28"/>
      <c r="S36" s="28"/>
      <c r="T36" s="28"/>
      <c r="U36" s="28"/>
      <c r="V36" s="28"/>
      <c r="W36" s="43"/>
    </row>
    <row r="37" spans="1:23" x14ac:dyDescent="0.3">
      <c r="A37" s="43"/>
      <c r="B37" s="27"/>
      <c r="C37" s="30"/>
      <c r="E37" s="27"/>
      <c r="F37" s="30"/>
      <c r="H37" s="28"/>
      <c r="I37" s="27"/>
      <c r="J37" s="30"/>
      <c r="L37" s="27"/>
      <c r="M37" s="30"/>
      <c r="O37" s="27"/>
      <c r="P37" s="30"/>
      <c r="R37" s="28"/>
      <c r="S37" s="28"/>
      <c r="T37" s="28"/>
      <c r="U37" s="28"/>
      <c r="V37" s="28"/>
      <c r="W37" s="43"/>
    </row>
    <row r="38" spans="1:23" x14ac:dyDescent="0.3">
      <c r="A38" s="43"/>
      <c r="B38" s="27"/>
      <c r="C38" s="30"/>
      <c r="E38" s="27"/>
      <c r="F38" s="30"/>
      <c r="H38" s="28"/>
      <c r="I38" s="27"/>
      <c r="J38" s="30"/>
      <c r="L38" s="27"/>
      <c r="M38" s="30"/>
      <c r="O38" s="27"/>
      <c r="P38" s="30"/>
      <c r="R38" s="28"/>
      <c r="S38" s="28"/>
      <c r="T38" s="28"/>
      <c r="U38" s="28"/>
      <c r="V38" s="28"/>
      <c r="W38" s="43"/>
    </row>
    <row r="39" spans="1:23" x14ac:dyDescent="0.3">
      <c r="A39" s="43"/>
      <c r="B39" s="27"/>
      <c r="C39" s="30"/>
      <c r="E39" s="27"/>
      <c r="F39" s="30"/>
      <c r="H39" s="28"/>
      <c r="I39" s="27"/>
      <c r="J39" s="30"/>
      <c r="L39" s="27"/>
      <c r="M39" s="30"/>
      <c r="O39" s="27"/>
      <c r="P39" s="30"/>
      <c r="R39" s="28"/>
      <c r="S39" s="28"/>
      <c r="T39" s="28"/>
      <c r="U39" s="28"/>
      <c r="V39" s="28"/>
      <c r="W39" s="43"/>
    </row>
    <row r="40" spans="1:23" x14ac:dyDescent="0.3">
      <c r="A40" s="43"/>
      <c r="B40" s="27"/>
      <c r="C40" s="30"/>
      <c r="E40" s="27"/>
      <c r="F40" s="30"/>
      <c r="H40" s="28"/>
      <c r="I40" s="27"/>
      <c r="J40" s="30"/>
      <c r="L40" s="27"/>
      <c r="M40" s="30"/>
      <c r="O40" s="27"/>
      <c r="P40" s="30"/>
      <c r="R40" s="28"/>
      <c r="S40" s="28"/>
      <c r="T40" s="28"/>
      <c r="U40" s="28"/>
      <c r="V40" s="28"/>
      <c r="W40" s="43"/>
    </row>
    <row r="41" spans="1:23" x14ac:dyDescent="0.3">
      <c r="A41" s="43"/>
      <c r="B41" s="27"/>
      <c r="C41" s="30"/>
      <c r="E41" s="27"/>
      <c r="F41" s="30"/>
      <c r="H41" s="28"/>
      <c r="I41" s="27"/>
      <c r="J41" s="30"/>
      <c r="L41" s="27"/>
      <c r="M41" s="30"/>
      <c r="O41" s="27"/>
      <c r="P41" s="30"/>
      <c r="R41" s="28"/>
      <c r="S41" s="28"/>
      <c r="T41" s="28"/>
      <c r="U41" s="28"/>
      <c r="V41" s="28"/>
      <c r="W41" s="43"/>
    </row>
    <row r="42" spans="1:23" x14ac:dyDescent="0.3">
      <c r="A42" s="43"/>
      <c r="B42" s="27"/>
      <c r="C42" s="30"/>
      <c r="E42" s="27"/>
      <c r="F42" s="30"/>
      <c r="H42" s="28"/>
      <c r="I42" s="27"/>
      <c r="J42" s="30"/>
      <c r="L42" s="27"/>
      <c r="M42" s="30"/>
      <c r="O42" s="27"/>
      <c r="P42" s="30"/>
      <c r="R42" s="28"/>
      <c r="S42" s="28"/>
      <c r="T42" s="28"/>
      <c r="U42" s="28"/>
      <c r="V42" s="28"/>
      <c r="W42" s="43"/>
    </row>
    <row r="43" spans="1:23" x14ac:dyDescent="0.3">
      <c r="A43" s="43"/>
      <c r="B43" s="27"/>
      <c r="C43" s="30"/>
      <c r="E43" s="27"/>
      <c r="F43" s="30"/>
      <c r="H43" s="28"/>
      <c r="I43" s="27"/>
      <c r="J43" s="30"/>
      <c r="L43" s="27"/>
      <c r="M43" s="30"/>
      <c r="O43" s="27"/>
      <c r="P43" s="30"/>
      <c r="R43" s="28"/>
      <c r="S43" s="28"/>
      <c r="T43" s="28"/>
      <c r="U43" s="28"/>
      <c r="V43" s="28"/>
      <c r="W43" s="43"/>
    </row>
    <row r="44" spans="1:23" x14ac:dyDescent="0.3">
      <c r="A44" s="43"/>
      <c r="B44" s="27"/>
      <c r="C44" s="30"/>
      <c r="E44" s="27"/>
      <c r="F44" s="30"/>
      <c r="H44" s="28"/>
      <c r="I44" s="27"/>
      <c r="J44" s="30"/>
      <c r="L44" s="27"/>
      <c r="M44" s="30"/>
      <c r="O44" s="27"/>
      <c r="P44" s="30"/>
      <c r="R44" s="28"/>
      <c r="S44" s="28"/>
      <c r="T44" s="28"/>
      <c r="U44" s="28"/>
      <c r="V44" s="28"/>
      <c r="W44" s="43"/>
    </row>
    <row r="45" spans="1:23" x14ac:dyDescent="0.3">
      <c r="A45" s="43"/>
      <c r="B45" s="27"/>
      <c r="C45" s="30"/>
      <c r="E45" s="27"/>
      <c r="F45" s="30"/>
      <c r="H45" s="28"/>
      <c r="I45" s="27"/>
      <c r="J45" s="30"/>
      <c r="L45" s="27"/>
      <c r="M45" s="30"/>
      <c r="O45" s="27"/>
      <c r="P45" s="30"/>
      <c r="R45" s="28"/>
      <c r="S45" s="28"/>
      <c r="T45" s="28"/>
      <c r="U45" s="28"/>
      <c r="V45" s="28"/>
      <c r="W45" s="43"/>
    </row>
    <row r="46" spans="1:23" x14ac:dyDescent="0.3">
      <c r="A46" s="43"/>
      <c r="B46" s="27"/>
      <c r="C46" s="30"/>
      <c r="E46" s="27"/>
      <c r="F46" s="30"/>
      <c r="H46" s="28"/>
      <c r="I46" s="27"/>
      <c r="J46" s="30"/>
      <c r="L46" s="27"/>
      <c r="M46" s="30"/>
      <c r="O46" s="27"/>
      <c r="P46" s="30"/>
      <c r="R46" s="28"/>
      <c r="S46" s="28"/>
      <c r="T46" s="28"/>
      <c r="U46" s="28"/>
      <c r="V46" s="28"/>
      <c r="W46" s="43"/>
    </row>
    <row r="47" spans="1:23" x14ac:dyDescent="0.3">
      <c r="A47" s="43"/>
      <c r="B47" s="27"/>
      <c r="C47" s="30"/>
      <c r="E47" s="27"/>
      <c r="F47" s="30"/>
      <c r="H47" s="28"/>
      <c r="I47" s="27"/>
      <c r="J47" s="30"/>
      <c r="L47" s="27"/>
      <c r="M47" s="30"/>
      <c r="O47" s="27"/>
      <c r="P47" s="30"/>
      <c r="R47" s="28"/>
      <c r="S47" s="28"/>
      <c r="T47" s="28"/>
      <c r="U47" s="28"/>
      <c r="V47" s="28"/>
      <c r="W47" s="43"/>
    </row>
    <row r="48" spans="1:23" x14ac:dyDescent="0.3">
      <c r="A48" s="43"/>
      <c r="B48" s="27"/>
      <c r="C48" s="30"/>
      <c r="E48" s="27"/>
      <c r="F48" s="30"/>
      <c r="H48" s="28"/>
      <c r="I48" s="27"/>
      <c r="J48" s="30"/>
      <c r="L48" s="27"/>
      <c r="M48" s="30"/>
      <c r="O48" s="27"/>
      <c r="P48" s="30"/>
      <c r="R48" s="28"/>
      <c r="S48" s="28"/>
      <c r="T48" s="28"/>
      <c r="U48" s="28"/>
      <c r="V48" s="28"/>
      <c r="W48" s="43"/>
    </row>
    <row r="49" spans="1:23" x14ac:dyDescent="0.3">
      <c r="A49" s="43"/>
      <c r="B49" s="27"/>
      <c r="C49" s="30"/>
      <c r="E49" s="27"/>
      <c r="F49" s="30"/>
      <c r="H49" s="28"/>
      <c r="I49" s="27"/>
      <c r="J49" s="30"/>
      <c r="L49" s="27"/>
      <c r="M49" s="30"/>
      <c r="O49" s="27"/>
      <c r="P49" s="30"/>
      <c r="R49" s="28"/>
      <c r="S49" s="28"/>
      <c r="T49" s="28"/>
      <c r="U49" s="28"/>
      <c r="V49" s="28"/>
      <c r="W49" s="43"/>
    </row>
    <row r="50" spans="1:23" x14ac:dyDescent="0.3">
      <c r="A50" s="43"/>
      <c r="B50" s="27"/>
      <c r="C50" s="30"/>
      <c r="E50" s="27"/>
      <c r="F50" s="30"/>
      <c r="H50" s="28"/>
      <c r="I50" s="27"/>
      <c r="J50" s="30"/>
      <c r="L50" s="27"/>
      <c r="M50" s="30"/>
      <c r="O50" s="27"/>
      <c r="P50" s="30"/>
      <c r="R50" s="28"/>
      <c r="S50" s="28"/>
      <c r="T50" s="28"/>
      <c r="U50" s="28"/>
      <c r="V50" s="28"/>
      <c r="W50" s="43"/>
    </row>
    <row r="51" spans="1:23" x14ac:dyDescent="0.3">
      <c r="A51" s="43"/>
      <c r="B51" s="27"/>
      <c r="C51" s="30"/>
      <c r="E51" s="27"/>
      <c r="F51" s="30"/>
      <c r="H51" s="28"/>
      <c r="I51" s="27"/>
      <c r="J51" s="30"/>
      <c r="L51" s="27"/>
      <c r="M51" s="30"/>
      <c r="O51" s="27"/>
      <c r="P51" s="30"/>
      <c r="R51" s="28"/>
      <c r="S51" s="28"/>
      <c r="T51" s="28"/>
      <c r="U51" s="28"/>
      <c r="V51" s="28"/>
      <c r="W51" s="43"/>
    </row>
    <row r="52" spans="1:23" x14ac:dyDescent="0.3">
      <c r="A52" s="43"/>
      <c r="B52" s="27"/>
      <c r="C52" s="30"/>
      <c r="E52" s="27"/>
      <c r="F52" s="30"/>
      <c r="H52" s="28"/>
      <c r="I52" s="27"/>
      <c r="J52" s="30"/>
      <c r="L52" s="27"/>
      <c r="M52" s="30"/>
      <c r="O52" s="27"/>
      <c r="P52" s="30"/>
      <c r="R52" s="28"/>
      <c r="S52" s="28"/>
      <c r="T52" s="28"/>
      <c r="U52" s="28"/>
      <c r="V52" s="28"/>
      <c r="W52" s="43"/>
    </row>
    <row r="53" spans="1:23" x14ac:dyDescent="0.3">
      <c r="A53" s="43"/>
      <c r="B53" s="27"/>
      <c r="C53" s="30"/>
      <c r="E53" s="27"/>
      <c r="F53" s="30"/>
      <c r="H53" s="28"/>
      <c r="I53" s="27"/>
      <c r="J53" s="30"/>
      <c r="L53" s="27"/>
      <c r="M53" s="30"/>
      <c r="O53" s="27"/>
      <c r="P53" s="30"/>
      <c r="R53" s="28"/>
      <c r="S53" s="28"/>
      <c r="T53" s="28"/>
      <c r="U53" s="28"/>
      <c r="V53" s="28"/>
      <c r="W53" s="43"/>
    </row>
    <row r="54" spans="1:23" x14ac:dyDescent="0.3">
      <c r="A54" s="43"/>
      <c r="B54" s="27"/>
      <c r="C54" s="30"/>
      <c r="E54" s="27"/>
      <c r="F54" s="30"/>
      <c r="H54" s="28"/>
      <c r="I54" s="27"/>
      <c r="J54" s="30"/>
      <c r="L54" s="27"/>
      <c r="M54" s="30"/>
      <c r="O54" s="27"/>
      <c r="P54" s="30"/>
      <c r="R54" s="28"/>
      <c r="S54" s="28"/>
      <c r="T54" s="28"/>
      <c r="U54" s="28"/>
      <c r="V54" s="28"/>
      <c r="W54" s="43"/>
    </row>
    <row r="55" spans="1:23" x14ac:dyDescent="0.3">
      <c r="A55" s="43"/>
      <c r="B55" s="27"/>
      <c r="C55" s="30"/>
      <c r="E55" s="27"/>
      <c r="F55" s="30"/>
      <c r="H55" s="28"/>
      <c r="I55" s="27"/>
      <c r="J55" s="30"/>
      <c r="L55" s="27"/>
      <c r="M55" s="30"/>
      <c r="O55" s="27"/>
      <c r="P55" s="30"/>
      <c r="R55" s="28"/>
      <c r="S55" s="28"/>
      <c r="T55" s="28"/>
      <c r="U55" s="28"/>
      <c r="V55" s="28"/>
      <c r="W55" s="43"/>
    </row>
    <row r="56" spans="1:23" x14ac:dyDescent="0.3">
      <c r="A56" s="43"/>
      <c r="B56" s="27"/>
      <c r="C56" s="30"/>
      <c r="E56" s="27"/>
      <c r="F56" s="30"/>
      <c r="H56" s="28"/>
      <c r="I56" s="27"/>
      <c r="J56" s="30"/>
      <c r="L56" s="27"/>
      <c r="M56" s="30"/>
      <c r="O56" s="27"/>
      <c r="P56" s="30"/>
      <c r="R56" s="28"/>
      <c r="S56" s="28"/>
      <c r="T56" s="28"/>
      <c r="U56" s="28"/>
      <c r="V56" s="28"/>
      <c r="W56" s="43"/>
    </row>
    <row r="57" spans="1:23" x14ac:dyDescent="0.3">
      <c r="A57" s="43"/>
      <c r="B57" s="27"/>
      <c r="C57" s="30"/>
      <c r="E57" s="27"/>
      <c r="F57" s="30"/>
      <c r="H57" s="28"/>
      <c r="I57" s="27"/>
      <c r="J57" s="30"/>
      <c r="L57" s="27"/>
      <c r="M57" s="30"/>
      <c r="O57" s="27"/>
      <c r="P57" s="30"/>
      <c r="R57" s="28"/>
      <c r="S57" s="28"/>
      <c r="T57" s="28"/>
      <c r="U57" s="28"/>
      <c r="V57" s="28"/>
      <c r="W57" s="43"/>
    </row>
    <row r="58" spans="1:23" x14ac:dyDescent="0.3">
      <c r="A58" s="43"/>
      <c r="B58" s="27"/>
      <c r="C58" s="30"/>
      <c r="E58" s="27"/>
      <c r="F58" s="30"/>
      <c r="H58" s="28"/>
      <c r="I58" s="27"/>
      <c r="J58" s="30"/>
      <c r="L58" s="27"/>
      <c r="M58" s="30"/>
      <c r="O58" s="27"/>
      <c r="P58" s="30"/>
      <c r="R58" s="28"/>
      <c r="S58" s="28"/>
      <c r="T58" s="28"/>
      <c r="U58" s="28"/>
      <c r="V58" s="28"/>
      <c r="W58" s="43"/>
    </row>
    <row r="59" spans="1:23" x14ac:dyDescent="0.3">
      <c r="A59" s="43"/>
      <c r="W59" s="43"/>
    </row>
    <row r="60" spans="1:23" x14ac:dyDescent="0.3">
      <c r="A60" s="43"/>
      <c r="W60" s="43"/>
    </row>
    <row r="61" spans="1:23" x14ac:dyDescent="0.3">
      <c r="A61" s="43"/>
      <c r="W61" s="43"/>
    </row>
    <row r="62" spans="1:23" x14ac:dyDescent="0.3">
      <c r="A62" s="43"/>
      <c r="W62" s="43"/>
    </row>
    <row r="63" spans="1:23" x14ac:dyDescent="0.3">
      <c r="A63" s="43"/>
      <c r="W63" s="43"/>
    </row>
    <row r="64" spans="1:23" x14ac:dyDescent="0.3">
      <c r="A64" s="43"/>
      <c r="W64" s="43"/>
    </row>
    <row r="65" spans="1:23" x14ac:dyDescent="0.3">
      <c r="A65" s="43"/>
      <c r="W65" s="43"/>
    </row>
    <row r="66" spans="1:23" x14ac:dyDescent="0.3">
      <c r="W66" s="43"/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460C-BF4B-4747-842D-34EEE1D3EAAE}">
  <sheetPr codeName="Sheet8"/>
  <dimension ref="A1:BZ101"/>
  <sheetViews>
    <sheetView workbookViewId="0">
      <selection activeCell="A2" sqref="A2:BZ38"/>
    </sheetView>
  </sheetViews>
  <sheetFormatPr defaultRowHeight="14.4" x14ac:dyDescent="0.3"/>
  <cols>
    <col min="1" max="1" width="19.33203125" customWidth="1"/>
    <col min="2" max="2" width="21.6640625" bestFit="1" customWidth="1"/>
    <col min="3" max="3" width="14.6640625" customWidth="1"/>
    <col min="4" max="4" width="12.33203125" customWidth="1"/>
    <col min="5" max="5" width="18.5546875" customWidth="1"/>
    <col min="6" max="6" width="18.88671875" customWidth="1"/>
    <col min="7" max="7" width="10.44140625" customWidth="1"/>
    <col min="8" max="8" width="11.44140625" customWidth="1"/>
    <col min="9" max="9" width="11.33203125" customWidth="1"/>
    <col min="10" max="10" width="14.33203125" customWidth="1"/>
    <col min="11" max="11" width="9.6640625" customWidth="1"/>
    <col min="12" max="12" width="14.88671875" customWidth="1"/>
    <col min="13" max="13" width="19.44140625" customWidth="1"/>
    <col min="14" max="14" width="10.5546875" customWidth="1"/>
  </cols>
  <sheetData>
    <row r="1" spans="1:78" x14ac:dyDescent="0.3">
      <c r="A1" s="11" t="s">
        <v>82</v>
      </c>
      <c r="B1" s="12" t="s">
        <v>83</v>
      </c>
      <c r="C1" s="12" t="s">
        <v>84</v>
      </c>
      <c r="D1" s="12" t="s">
        <v>85</v>
      </c>
      <c r="E1" s="12" t="s">
        <v>86</v>
      </c>
      <c r="F1" s="12" t="s">
        <v>87</v>
      </c>
      <c r="G1" s="12" t="s">
        <v>53</v>
      </c>
      <c r="H1" s="12" t="s">
        <v>88</v>
      </c>
      <c r="I1" s="12" t="s">
        <v>45</v>
      </c>
      <c r="J1" s="12" t="s">
        <v>89</v>
      </c>
      <c r="K1" s="12" t="s">
        <v>90</v>
      </c>
      <c r="L1" s="12" t="s">
        <v>91</v>
      </c>
      <c r="M1" s="12" t="s">
        <v>25</v>
      </c>
      <c r="N1" s="13" t="s">
        <v>92</v>
      </c>
      <c r="O1" s="64" t="s">
        <v>146</v>
      </c>
      <c r="P1" s="64" t="s">
        <v>147</v>
      </c>
      <c r="Q1" s="64" t="s">
        <v>148</v>
      </c>
      <c r="R1" s="64" t="s">
        <v>149</v>
      </c>
      <c r="S1" s="64" t="s">
        <v>150</v>
      </c>
      <c r="T1" s="64" t="s">
        <v>151</v>
      </c>
      <c r="U1" s="64" t="s">
        <v>152</v>
      </c>
      <c r="V1" s="64" t="s">
        <v>153</v>
      </c>
      <c r="W1" s="64" t="s">
        <v>154</v>
      </c>
      <c r="X1" s="64" t="s">
        <v>155</v>
      </c>
      <c r="Y1" s="64" t="s">
        <v>156</v>
      </c>
      <c r="Z1" s="64" t="s">
        <v>157</v>
      </c>
      <c r="AA1" s="64" t="s">
        <v>158</v>
      </c>
      <c r="AB1" s="64" t="s">
        <v>159</v>
      </c>
      <c r="AC1" s="64" t="s">
        <v>160</v>
      </c>
      <c r="AD1" s="64" t="s">
        <v>161</v>
      </c>
      <c r="AE1" s="64" t="s">
        <v>162</v>
      </c>
      <c r="AF1" s="64" t="s">
        <v>163</v>
      </c>
      <c r="AG1" s="64" t="s">
        <v>164</v>
      </c>
      <c r="AH1" s="64" t="s">
        <v>165</v>
      </c>
      <c r="AI1" s="64" t="s">
        <v>166</v>
      </c>
      <c r="AJ1" s="64" t="s">
        <v>167</v>
      </c>
      <c r="AK1" s="64" t="s">
        <v>168</v>
      </c>
      <c r="AL1" s="64" t="s">
        <v>169</v>
      </c>
      <c r="AM1" s="64" t="s">
        <v>170</v>
      </c>
      <c r="AN1" s="64" t="s">
        <v>171</v>
      </c>
      <c r="AO1" s="64" t="s">
        <v>172</v>
      </c>
      <c r="AP1" s="64" t="s">
        <v>173</v>
      </c>
      <c r="AQ1" s="64" t="s">
        <v>174</v>
      </c>
      <c r="AR1" s="64" t="s">
        <v>175</v>
      </c>
      <c r="AS1" s="64" t="s">
        <v>176</v>
      </c>
      <c r="AT1" s="64" t="s">
        <v>177</v>
      </c>
      <c r="AU1" s="64" t="s">
        <v>178</v>
      </c>
      <c r="AV1" s="64" t="s">
        <v>179</v>
      </c>
      <c r="AW1" s="64" t="s">
        <v>180</v>
      </c>
      <c r="AX1" s="64" t="s">
        <v>181</v>
      </c>
      <c r="AY1" s="64" t="s">
        <v>182</v>
      </c>
      <c r="AZ1" s="64" t="s">
        <v>183</v>
      </c>
      <c r="BA1" s="64" t="s">
        <v>184</v>
      </c>
      <c r="BB1" s="64" t="s">
        <v>185</v>
      </c>
      <c r="BC1" s="64" t="s">
        <v>186</v>
      </c>
      <c r="BD1" s="64" t="s">
        <v>187</v>
      </c>
      <c r="BE1" s="64" t="s">
        <v>188</v>
      </c>
      <c r="BF1" s="64" t="s">
        <v>189</v>
      </c>
      <c r="BG1" s="64" t="s">
        <v>190</v>
      </c>
      <c r="BH1" s="64" t="s">
        <v>191</v>
      </c>
      <c r="BI1" s="64" t="s">
        <v>192</v>
      </c>
      <c r="BJ1" s="64" t="s">
        <v>193</v>
      </c>
      <c r="BK1" s="64" t="s">
        <v>194</v>
      </c>
      <c r="BL1" s="64" t="s">
        <v>195</v>
      </c>
      <c r="BM1" s="64" t="s">
        <v>196</v>
      </c>
      <c r="BN1" s="64" t="s">
        <v>197</v>
      </c>
      <c r="BO1" s="64" t="s">
        <v>198</v>
      </c>
      <c r="BP1" s="64" t="s">
        <v>199</v>
      </c>
      <c r="BQ1" s="64" t="s">
        <v>200</v>
      </c>
      <c r="BR1" s="64" t="s">
        <v>201</v>
      </c>
      <c r="BS1" s="64" t="s">
        <v>202</v>
      </c>
      <c r="BT1" s="64" t="s">
        <v>203</v>
      </c>
      <c r="BU1" s="64" t="s">
        <v>204</v>
      </c>
      <c r="BV1" s="64" t="s">
        <v>205</v>
      </c>
      <c r="BW1" s="64" t="s">
        <v>206</v>
      </c>
      <c r="BX1" s="64" t="s">
        <v>207</v>
      </c>
      <c r="BY1" s="64" t="s">
        <v>208</v>
      </c>
      <c r="BZ1" s="64" t="s">
        <v>209</v>
      </c>
    </row>
    <row r="2" spans="1:78" x14ac:dyDescent="0.3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2"/>
      <c r="N2" s="62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</row>
    <row r="3" spans="1:78" x14ac:dyDescent="0.3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2"/>
      <c r="N3" s="62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5"/>
      <c r="BZ3" s="65"/>
    </row>
    <row r="4" spans="1:78" x14ac:dyDescent="0.3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2"/>
      <c r="N4" s="62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/>
      <c r="BK4" s="65"/>
      <c r="BL4" s="65"/>
      <c r="BM4" s="65"/>
      <c r="BN4" s="65"/>
      <c r="BO4" s="65"/>
      <c r="BP4" s="65"/>
      <c r="BQ4" s="65"/>
      <c r="BR4" s="65"/>
      <c r="BS4" s="65"/>
      <c r="BT4" s="65"/>
      <c r="BU4" s="65"/>
      <c r="BV4" s="65"/>
      <c r="BW4" s="65"/>
      <c r="BX4" s="65"/>
      <c r="BY4" s="65"/>
      <c r="BZ4" s="65"/>
    </row>
    <row r="5" spans="1:78" x14ac:dyDescent="0.3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2"/>
      <c r="N5" s="62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</row>
    <row r="6" spans="1:78" x14ac:dyDescent="0.3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2"/>
      <c r="N6" s="62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</row>
    <row r="7" spans="1:78" x14ac:dyDescent="0.3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2"/>
      <c r="N7" s="62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65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65"/>
      <c r="BV7" s="65"/>
      <c r="BW7" s="65"/>
      <c r="BX7" s="65"/>
      <c r="BY7" s="65"/>
      <c r="BZ7" s="65"/>
    </row>
    <row r="8" spans="1:78" x14ac:dyDescent="0.3">
      <c r="A8" s="61"/>
      <c r="B8" s="61"/>
      <c r="C8" s="61"/>
      <c r="D8" s="61"/>
      <c r="E8" s="61"/>
      <c r="F8" s="61"/>
      <c r="G8" s="61"/>
      <c r="H8" s="61"/>
      <c r="I8" s="61"/>
      <c r="J8" s="61"/>
      <c r="K8" s="61"/>
      <c r="L8" s="61"/>
      <c r="M8" s="62"/>
      <c r="N8" s="62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65"/>
      <c r="BV8" s="65"/>
      <c r="BW8" s="65"/>
      <c r="BX8" s="65"/>
      <c r="BY8" s="65"/>
      <c r="BZ8" s="65"/>
    </row>
    <row r="9" spans="1:78" x14ac:dyDescent="0.3">
      <c r="A9" s="61"/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2"/>
      <c r="N9" s="62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65"/>
      <c r="BV9" s="65"/>
      <c r="BW9" s="65"/>
      <c r="BX9" s="65"/>
      <c r="BY9" s="65"/>
      <c r="BZ9" s="65"/>
    </row>
    <row r="10" spans="1:78" x14ac:dyDescent="0.3">
      <c r="A10" s="61"/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2"/>
      <c r="N10" s="62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</row>
    <row r="11" spans="1:78" x14ac:dyDescent="0.3">
      <c r="A11" s="61"/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2"/>
      <c r="N11" s="62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/>
      <c r="AZ11" s="65"/>
      <c r="BA11" s="65"/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5"/>
      <c r="BV11" s="65"/>
      <c r="BW11" s="65"/>
      <c r="BX11" s="65"/>
      <c r="BY11" s="65"/>
      <c r="BZ11" s="65"/>
    </row>
    <row r="12" spans="1:78" x14ac:dyDescent="0.3">
      <c r="A12" s="61"/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2"/>
      <c r="N12" s="62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/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65"/>
      <c r="BV12" s="65"/>
      <c r="BW12" s="65"/>
      <c r="BX12" s="65"/>
      <c r="BY12" s="65"/>
      <c r="BZ12" s="65"/>
    </row>
    <row r="13" spans="1:78" x14ac:dyDescent="0.3">
      <c r="A13" s="61"/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2"/>
      <c r="N13" s="62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  <c r="AW13" s="65"/>
      <c r="AX13" s="65"/>
      <c r="AY13" s="65"/>
      <c r="AZ13" s="65"/>
      <c r="BA13" s="65"/>
      <c r="BB13" s="65"/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N13" s="65"/>
      <c r="BO13" s="65"/>
      <c r="BP13" s="65"/>
      <c r="BQ13" s="65"/>
      <c r="BR13" s="65"/>
      <c r="BS13" s="65"/>
      <c r="BT13" s="65"/>
      <c r="BU13" s="65"/>
      <c r="BV13" s="65"/>
      <c r="BW13" s="65"/>
      <c r="BX13" s="65"/>
      <c r="BY13" s="65"/>
      <c r="BZ13" s="65"/>
    </row>
    <row r="14" spans="1:78" x14ac:dyDescent="0.3">
      <c r="A14" s="61"/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2"/>
      <c r="N14" s="62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5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5"/>
      <c r="AW14" s="65"/>
      <c r="AX14" s="65"/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N14" s="65"/>
      <c r="BO14" s="65"/>
      <c r="BP14" s="65"/>
      <c r="BQ14" s="65"/>
      <c r="BR14" s="65"/>
      <c r="BS14" s="65"/>
      <c r="BT14" s="65"/>
      <c r="BU14" s="65"/>
      <c r="BV14" s="65"/>
      <c r="BW14" s="65"/>
      <c r="BX14" s="65"/>
      <c r="BY14" s="65"/>
      <c r="BZ14" s="65"/>
    </row>
    <row r="15" spans="1:78" x14ac:dyDescent="0.3">
      <c r="A15" s="61"/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2"/>
      <c r="N15" s="62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/>
      <c r="AS15" s="65"/>
      <c r="AT15" s="65"/>
      <c r="AU15" s="65"/>
      <c r="AV15" s="65"/>
      <c r="AW15" s="65"/>
      <c r="AX15" s="65"/>
      <c r="AY15" s="65"/>
      <c r="AZ15" s="65"/>
      <c r="BA15" s="65"/>
      <c r="BB15" s="65"/>
      <c r="BC15" s="65"/>
      <c r="BD15" s="65"/>
      <c r="BE15" s="65"/>
      <c r="BF15" s="65"/>
      <c r="BG15" s="65"/>
      <c r="BH15" s="65"/>
      <c r="BI15" s="65"/>
      <c r="BJ15" s="65"/>
      <c r="BK15" s="65"/>
      <c r="BL15" s="65"/>
      <c r="BM15" s="65"/>
      <c r="BN15" s="65"/>
      <c r="BO15" s="65"/>
      <c r="BP15" s="65"/>
      <c r="BQ15" s="65"/>
      <c r="BR15" s="65"/>
      <c r="BS15" s="65"/>
      <c r="BT15" s="65"/>
      <c r="BU15" s="65"/>
      <c r="BV15" s="65"/>
      <c r="BW15" s="65"/>
      <c r="BX15" s="65"/>
      <c r="BY15" s="65"/>
      <c r="BZ15" s="65"/>
    </row>
    <row r="16" spans="1:78" x14ac:dyDescent="0.3">
      <c r="A16" s="61"/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2"/>
      <c r="N16" s="62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65"/>
      <c r="BE16" s="65"/>
      <c r="BF16" s="65"/>
      <c r="BG16" s="65"/>
      <c r="BH16" s="65"/>
      <c r="BI16" s="65"/>
      <c r="BJ16" s="65"/>
      <c r="BK16" s="65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</row>
    <row r="17" spans="1:78" x14ac:dyDescent="0.3">
      <c r="A17" s="61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2"/>
      <c r="N17" s="62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  <c r="AY17" s="65"/>
      <c r="AZ17" s="65"/>
      <c r="BA17" s="65"/>
      <c r="BB17" s="65"/>
      <c r="BC17" s="65"/>
      <c r="BD17" s="65"/>
      <c r="BE17" s="65"/>
      <c r="BF17" s="65"/>
      <c r="BG17" s="65"/>
      <c r="BH17" s="65"/>
      <c r="BI17" s="65"/>
      <c r="BJ17" s="65"/>
      <c r="BK17" s="65"/>
      <c r="BL17" s="65"/>
      <c r="BM17" s="65"/>
      <c r="BN17" s="65"/>
      <c r="BO17" s="65"/>
      <c r="BP17" s="65"/>
      <c r="BQ17" s="65"/>
      <c r="BR17" s="65"/>
      <c r="BS17" s="65"/>
      <c r="BT17" s="65"/>
      <c r="BU17" s="65"/>
      <c r="BV17" s="65"/>
      <c r="BW17" s="65"/>
      <c r="BX17" s="65"/>
      <c r="BY17" s="65"/>
      <c r="BZ17" s="65"/>
    </row>
    <row r="18" spans="1:78" x14ac:dyDescent="0.3">
      <c r="A18" s="61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2"/>
      <c r="N18" s="62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H18" s="65"/>
      <c r="AI18" s="65"/>
      <c r="AJ18" s="65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5"/>
      <c r="AV18" s="65"/>
      <c r="AW18" s="65"/>
      <c r="AX18" s="65"/>
      <c r="AY18" s="65"/>
      <c r="AZ18" s="65"/>
      <c r="BA18" s="65"/>
      <c r="BB18" s="65"/>
      <c r="BC18" s="65"/>
      <c r="BD18" s="65"/>
      <c r="BE18" s="65"/>
      <c r="BF18" s="65"/>
      <c r="BG18" s="65"/>
      <c r="BH18" s="65"/>
      <c r="BI18" s="65"/>
      <c r="BJ18" s="65"/>
      <c r="BK18" s="65"/>
      <c r="BL18" s="65"/>
      <c r="BM18" s="65"/>
      <c r="BN18" s="65"/>
      <c r="BO18" s="65"/>
      <c r="BP18" s="65"/>
      <c r="BQ18" s="65"/>
      <c r="BR18" s="65"/>
      <c r="BS18" s="65"/>
      <c r="BT18" s="65"/>
      <c r="BU18" s="65"/>
      <c r="BV18" s="65"/>
      <c r="BW18" s="65"/>
      <c r="BX18" s="65"/>
      <c r="BY18" s="65"/>
      <c r="BZ18" s="65"/>
    </row>
    <row r="19" spans="1:78" x14ac:dyDescent="0.3">
      <c r="A19" s="61"/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2"/>
      <c r="N19" s="62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I19" s="65"/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Y19" s="65"/>
      <c r="AZ19" s="65"/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O19" s="65"/>
      <c r="BP19" s="65"/>
      <c r="BQ19" s="65"/>
      <c r="BR19" s="65"/>
      <c r="BS19" s="65"/>
      <c r="BT19" s="65"/>
      <c r="BU19" s="65"/>
      <c r="BV19" s="65"/>
      <c r="BW19" s="65"/>
      <c r="BX19" s="65"/>
      <c r="BY19" s="65"/>
      <c r="BZ19" s="65"/>
    </row>
    <row r="20" spans="1:78" x14ac:dyDescent="0.3">
      <c r="A20" s="61"/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2"/>
      <c r="N20" s="62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I20" s="65"/>
      <c r="AJ20" s="65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Y20" s="65"/>
      <c r="AZ20" s="65"/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O20" s="65"/>
      <c r="BP20" s="65"/>
      <c r="BQ20" s="65"/>
      <c r="BR20" s="65"/>
      <c r="BS20" s="65"/>
      <c r="BT20" s="65"/>
      <c r="BU20" s="65"/>
      <c r="BV20" s="65"/>
      <c r="BW20" s="65"/>
      <c r="BX20" s="65"/>
      <c r="BY20" s="65"/>
      <c r="BZ20" s="65"/>
    </row>
    <row r="21" spans="1:78" x14ac:dyDescent="0.3">
      <c r="A21" s="61"/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2"/>
      <c r="N21" s="62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5"/>
      <c r="AK21" s="65"/>
      <c r="AL21" s="65"/>
      <c r="AM21" s="65"/>
      <c r="AN21" s="65"/>
      <c r="AO21" s="65"/>
      <c r="AP21" s="65"/>
      <c r="AQ21" s="65"/>
      <c r="AR21" s="65"/>
      <c r="AS21" s="65"/>
      <c r="AT21" s="65"/>
      <c r="AU21" s="65"/>
      <c r="AV21" s="65"/>
      <c r="AW21" s="65"/>
      <c r="AX21" s="65"/>
      <c r="AY21" s="65"/>
      <c r="AZ21" s="65"/>
      <c r="BA21" s="65"/>
      <c r="BB21" s="65"/>
      <c r="BC21" s="65"/>
      <c r="BD21" s="65"/>
      <c r="BE21" s="65"/>
      <c r="BF21" s="65"/>
      <c r="BG21" s="65"/>
      <c r="BH21" s="65"/>
      <c r="BI21" s="65"/>
      <c r="BJ21" s="65"/>
      <c r="BK21" s="65"/>
      <c r="BL21" s="65"/>
      <c r="BM21" s="65"/>
      <c r="BN21" s="65"/>
      <c r="BO21" s="65"/>
      <c r="BP21" s="65"/>
      <c r="BQ21" s="65"/>
      <c r="BR21" s="65"/>
      <c r="BS21" s="65"/>
      <c r="BT21" s="65"/>
      <c r="BU21" s="65"/>
      <c r="BV21" s="65"/>
      <c r="BW21" s="65"/>
      <c r="BX21" s="65"/>
      <c r="BY21" s="65"/>
      <c r="BZ21" s="65"/>
    </row>
    <row r="22" spans="1:78" x14ac:dyDescent="0.3">
      <c r="A22" s="61"/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2"/>
      <c r="N22" s="62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  <c r="AV22" s="65"/>
      <c r="AW22" s="65"/>
      <c r="AX22" s="65"/>
      <c r="AY22" s="65"/>
      <c r="AZ22" s="65"/>
      <c r="BA22" s="65"/>
      <c r="BB22" s="65"/>
      <c r="BC22" s="65"/>
      <c r="BD22" s="65"/>
      <c r="BE22" s="65"/>
      <c r="BF22" s="65"/>
      <c r="BG22" s="65"/>
      <c r="BH22" s="65"/>
      <c r="BI22" s="65"/>
      <c r="BJ22" s="65"/>
      <c r="BK22" s="65"/>
      <c r="BL22" s="65"/>
      <c r="BM22" s="65"/>
      <c r="BN22" s="65"/>
      <c r="BO22" s="65"/>
      <c r="BP22" s="65"/>
      <c r="BQ22" s="65"/>
      <c r="BR22" s="65"/>
      <c r="BS22" s="65"/>
      <c r="BT22" s="65"/>
      <c r="BU22" s="65"/>
      <c r="BV22" s="65"/>
      <c r="BW22" s="65"/>
      <c r="BX22" s="65"/>
      <c r="BY22" s="65"/>
      <c r="BZ22" s="65"/>
    </row>
    <row r="23" spans="1:78" x14ac:dyDescent="0.3">
      <c r="A23" s="61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2"/>
      <c r="N23" s="62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H23" s="65"/>
      <c r="AI23" s="65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  <c r="BB23" s="65"/>
      <c r="BC23" s="65"/>
      <c r="BD23" s="65"/>
      <c r="BE23" s="65"/>
      <c r="BF23" s="65"/>
      <c r="BG23" s="65"/>
      <c r="BH23" s="65"/>
      <c r="BI23" s="65"/>
      <c r="BJ23" s="65"/>
      <c r="BK23" s="65"/>
      <c r="BL23" s="65"/>
      <c r="BM23" s="65"/>
      <c r="BN23" s="65"/>
      <c r="BO23" s="65"/>
      <c r="BP23" s="65"/>
      <c r="BQ23" s="65"/>
      <c r="BR23" s="65"/>
      <c r="BS23" s="65"/>
      <c r="BT23" s="65"/>
      <c r="BU23" s="65"/>
      <c r="BV23" s="65"/>
      <c r="BW23" s="65"/>
      <c r="BX23" s="65"/>
      <c r="BY23" s="65"/>
      <c r="BZ23" s="65"/>
    </row>
    <row r="24" spans="1:78" x14ac:dyDescent="0.3">
      <c r="A24" s="61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2"/>
      <c r="N24" s="62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5"/>
      <c r="AV24" s="65"/>
      <c r="AW24" s="65"/>
      <c r="AX24" s="65"/>
      <c r="AY24" s="65"/>
      <c r="AZ24" s="65"/>
      <c r="BA24" s="65"/>
      <c r="BB24" s="65"/>
      <c r="BC24" s="65"/>
      <c r="BD24" s="65"/>
      <c r="BE24" s="65"/>
      <c r="BF24" s="65"/>
      <c r="BG24" s="65"/>
      <c r="BH24" s="65"/>
      <c r="BI24" s="65"/>
      <c r="BJ24" s="65"/>
      <c r="BK24" s="65"/>
      <c r="BL24" s="65"/>
      <c r="BM24" s="65"/>
      <c r="BN24" s="65"/>
      <c r="BO24" s="65"/>
      <c r="BP24" s="65"/>
      <c r="BQ24" s="65"/>
      <c r="BR24" s="65"/>
      <c r="BS24" s="65"/>
      <c r="BT24" s="65"/>
      <c r="BU24" s="65"/>
      <c r="BV24" s="65"/>
      <c r="BW24" s="65"/>
      <c r="BX24" s="65"/>
      <c r="BY24" s="65"/>
      <c r="BZ24" s="65"/>
    </row>
    <row r="25" spans="1:78" x14ac:dyDescent="0.3">
      <c r="A25" s="61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2"/>
      <c r="N25" s="62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5"/>
      <c r="AK25" s="65"/>
      <c r="AL25" s="65"/>
      <c r="AM25" s="65"/>
      <c r="AN25" s="65"/>
      <c r="AO25" s="65"/>
      <c r="AP25" s="65"/>
      <c r="AQ25" s="65"/>
      <c r="AR25" s="65"/>
      <c r="AS25" s="65"/>
      <c r="AT25" s="65"/>
      <c r="AU25" s="65"/>
      <c r="AV25" s="65"/>
      <c r="AW25" s="65"/>
      <c r="AX25" s="65"/>
      <c r="AY25" s="65"/>
      <c r="AZ25" s="65"/>
      <c r="BA25" s="65"/>
      <c r="BB25" s="65"/>
      <c r="BC25" s="65"/>
      <c r="BD25" s="65"/>
      <c r="BE25" s="65"/>
      <c r="BF25" s="65"/>
      <c r="BG25" s="65"/>
      <c r="BH25" s="65"/>
      <c r="BI25" s="65"/>
      <c r="BJ25" s="65"/>
      <c r="BK25" s="65"/>
      <c r="BL25" s="65"/>
      <c r="BM25" s="65"/>
      <c r="BN25" s="65"/>
      <c r="BO25" s="65"/>
      <c r="BP25" s="65"/>
      <c r="BQ25" s="65"/>
      <c r="BR25" s="65"/>
      <c r="BS25" s="65"/>
      <c r="BT25" s="65"/>
      <c r="BU25" s="65"/>
      <c r="BV25" s="65"/>
      <c r="BW25" s="65"/>
      <c r="BX25" s="65"/>
      <c r="BY25" s="65"/>
      <c r="BZ25" s="65"/>
    </row>
    <row r="26" spans="1:78" x14ac:dyDescent="0.3">
      <c r="A26" s="61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2"/>
      <c r="N26" s="62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5"/>
      <c r="AK26" s="65"/>
      <c r="AL26" s="65"/>
      <c r="AM26" s="65"/>
      <c r="AN26" s="65"/>
      <c r="AO26" s="65"/>
      <c r="AP26" s="65"/>
      <c r="AQ26" s="65"/>
      <c r="AR26" s="65"/>
      <c r="AS26" s="65"/>
      <c r="AT26" s="65"/>
      <c r="AU26" s="65"/>
      <c r="AV26" s="65"/>
      <c r="AW26" s="65"/>
      <c r="AX26" s="65"/>
      <c r="AY26" s="65"/>
      <c r="AZ26" s="65"/>
      <c r="BA26" s="65"/>
      <c r="BB26" s="65"/>
      <c r="BC26" s="65"/>
      <c r="BD26" s="65"/>
      <c r="BE26" s="65"/>
      <c r="BF26" s="65"/>
      <c r="BG26" s="65"/>
      <c r="BH26" s="65"/>
      <c r="BI26" s="65"/>
      <c r="BJ26" s="65"/>
      <c r="BK26" s="65"/>
      <c r="BL26" s="65"/>
      <c r="BM26" s="65"/>
      <c r="BN26" s="65"/>
      <c r="BO26" s="65"/>
      <c r="BP26" s="65"/>
      <c r="BQ26" s="65"/>
      <c r="BR26" s="65"/>
      <c r="BS26" s="65"/>
      <c r="BT26" s="65"/>
      <c r="BU26" s="65"/>
      <c r="BV26" s="65"/>
      <c r="BW26" s="65"/>
      <c r="BX26" s="65"/>
      <c r="BY26" s="65"/>
      <c r="BZ26" s="65"/>
    </row>
    <row r="27" spans="1:78" x14ac:dyDescent="0.3">
      <c r="A27" s="61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2"/>
      <c r="N27" s="62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5"/>
      <c r="AV27" s="65"/>
      <c r="AW27" s="65"/>
      <c r="AX27" s="65"/>
      <c r="AY27" s="65"/>
      <c r="AZ27" s="65"/>
      <c r="BA27" s="65"/>
      <c r="BB27" s="65"/>
      <c r="BC27" s="65"/>
      <c r="BD27" s="65"/>
      <c r="BE27" s="65"/>
      <c r="BF27" s="65"/>
      <c r="BG27" s="65"/>
      <c r="BH27" s="65"/>
      <c r="BI27" s="65"/>
      <c r="BJ27" s="65"/>
      <c r="BK27" s="65"/>
      <c r="BL27" s="65"/>
      <c r="BM27" s="65"/>
      <c r="BN27" s="65"/>
      <c r="BO27" s="65"/>
      <c r="BP27" s="65"/>
      <c r="BQ27" s="65"/>
      <c r="BR27" s="65"/>
      <c r="BS27" s="65"/>
      <c r="BT27" s="65"/>
      <c r="BU27" s="65"/>
      <c r="BV27" s="65"/>
      <c r="BW27" s="65"/>
      <c r="BX27" s="65"/>
      <c r="BY27" s="65"/>
      <c r="BZ27" s="65"/>
    </row>
    <row r="28" spans="1:78" x14ac:dyDescent="0.3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2"/>
      <c r="N28" s="62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/>
      <c r="AW28" s="65"/>
      <c r="AX28" s="65"/>
      <c r="AY28" s="65"/>
      <c r="AZ28" s="65"/>
      <c r="BA28" s="65"/>
      <c r="BB28" s="65"/>
      <c r="BC28" s="65"/>
      <c r="BD28" s="65"/>
      <c r="BE28" s="65"/>
      <c r="BF28" s="65"/>
      <c r="BG28" s="65"/>
      <c r="BH28" s="65"/>
      <c r="BI28" s="65"/>
      <c r="BJ28" s="65"/>
      <c r="BK28" s="65"/>
      <c r="BL28" s="65"/>
      <c r="BM28" s="65"/>
      <c r="BN28" s="65"/>
      <c r="BO28" s="65"/>
      <c r="BP28" s="65"/>
      <c r="BQ28" s="65"/>
      <c r="BR28" s="65"/>
      <c r="BS28" s="65"/>
      <c r="BT28" s="65"/>
      <c r="BU28" s="65"/>
      <c r="BV28" s="65"/>
      <c r="BW28" s="65"/>
      <c r="BX28" s="65"/>
      <c r="BY28" s="65"/>
      <c r="BZ28" s="65"/>
    </row>
    <row r="29" spans="1:78" x14ac:dyDescent="0.3">
      <c r="A29" s="61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2"/>
      <c r="N29" s="62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5"/>
      <c r="AK29" s="65"/>
      <c r="AL29" s="65"/>
      <c r="AM29" s="65"/>
      <c r="AN29" s="65"/>
      <c r="AO29" s="65"/>
      <c r="AP29" s="65"/>
      <c r="AQ29" s="65"/>
      <c r="AR29" s="65"/>
      <c r="AS29" s="65"/>
      <c r="AT29" s="65"/>
      <c r="AU29" s="65"/>
      <c r="AV29" s="65"/>
      <c r="AW29" s="65"/>
      <c r="AX29" s="65"/>
      <c r="AY29" s="65"/>
      <c r="AZ29" s="65"/>
      <c r="BA29" s="65"/>
      <c r="BB29" s="65"/>
      <c r="BC29" s="65"/>
      <c r="BD29" s="65"/>
      <c r="BE29" s="65"/>
      <c r="BF29" s="65"/>
      <c r="BG29" s="65"/>
      <c r="BH29" s="65"/>
      <c r="BI29" s="65"/>
      <c r="BJ29" s="65"/>
      <c r="BK29" s="65"/>
      <c r="BL29" s="65"/>
      <c r="BM29" s="65"/>
      <c r="BN29" s="65"/>
      <c r="BO29" s="65"/>
      <c r="BP29" s="65"/>
      <c r="BQ29" s="65"/>
      <c r="BR29" s="65"/>
      <c r="BS29" s="65"/>
      <c r="BT29" s="65"/>
      <c r="BU29" s="65"/>
      <c r="BV29" s="65"/>
      <c r="BW29" s="65"/>
      <c r="BX29" s="65"/>
      <c r="BY29" s="65"/>
      <c r="BZ29" s="65"/>
    </row>
    <row r="30" spans="1:78" x14ac:dyDescent="0.3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2"/>
      <c r="N30" s="62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65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5"/>
      <c r="AV30" s="65"/>
      <c r="AW30" s="65"/>
      <c r="AX30" s="65"/>
      <c r="AY30" s="65"/>
      <c r="AZ30" s="65"/>
      <c r="BA30" s="65"/>
      <c r="BB30" s="65"/>
      <c r="BC30" s="65"/>
      <c r="BD30" s="65"/>
      <c r="BE30" s="65"/>
      <c r="BF30" s="65"/>
      <c r="BG30" s="65"/>
      <c r="BH30" s="65"/>
      <c r="BI30" s="65"/>
      <c r="BJ30" s="65"/>
      <c r="BK30" s="65"/>
      <c r="BL30" s="65"/>
      <c r="BM30" s="65"/>
      <c r="BN30" s="65"/>
      <c r="BO30" s="65"/>
      <c r="BP30" s="65"/>
      <c r="BQ30" s="65"/>
      <c r="BR30" s="65"/>
      <c r="BS30" s="65"/>
      <c r="BT30" s="65"/>
      <c r="BU30" s="65"/>
      <c r="BV30" s="65"/>
      <c r="BW30" s="65"/>
      <c r="BX30" s="65"/>
      <c r="BY30" s="65"/>
      <c r="BZ30" s="65"/>
    </row>
    <row r="31" spans="1:78" x14ac:dyDescent="0.3">
      <c r="A31" s="61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2"/>
      <c r="N31" s="62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65"/>
      <c r="AK31" s="65"/>
      <c r="AL31" s="65"/>
      <c r="AM31" s="65"/>
      <c r="AN31" s="65"/>
      <c r="AO31" s="65"/>
      <c r="AP31" s="65"/>
      <c r="AQ31" s="65"/>
      <c r="AR31" s="65"/>
      <c r="AS31" s="65"/>
      <c r="AT31" s="65"/>
      <c r="AU31" s="65"/>
      <c r="AV31" s="65"/>
      <c r="AW31" s="65"/>
      <c r="AX31" s="65"/>
      <c r="AY31" s="65"/>
      <c r="AZ31" s="65"/>
      <c r="BA31" s="65"/>
      <c r="BB31" s="65"/>
      <c r="BC31" s="65"/>
      <c r="BD31" s="65"/>
      <c r="BE31" s="65"/>
      <c r="BF31" s="65"/>
      <c r="BG31" s="65"/>
      <c r="BH31" s="65"/>
      <c r="BI31" s="65"/>
      <c r="BJ31" s="65"/>
      <c r="BK31" s="65"/>
      <c r="BL31" s="65"/>
      <c r="BM31" s="65"/>
      <c r="BN31" s="65"/>
      <c r="BO31" s="65"/>
      <c r="BP31" s="65"/>
      <c r="BQ31" s="65"/>
      <c r="BR31" s="65"/>
      <c r="BS31" s="65"/>
      <c r="BT31" s="65"/>
      <c r="BU31" s="65"/>
      <c r="BV31" s="65"/>
      <c r="BW31" s="65"/>
      <c r="BX31" s="65"/>
      <c r="BY31" s="65"/>
      <c r="BZ31" s="65"/>
    </row>
    <row r="32" spans="1:78" x14ac:dyDescent="0.3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2"/>
      <c r="N32" s="62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  <c r="BN32" s="65"/>
      <c r="BO32" s="65"/>
      <c r="BP32" s="65"/>
      <c r="BQ32" s="65"/>
      <c r="BR32" s="65"/>
      <c r="BS32" s="65"/>
      <c r="BT32" s="65"/>
      <c r="BU32" s="65"/>
      <c r="BV32" s="65"/>
      <c r="BW32" s="65"/>
      <c r="BX32" s="65"/>
      <c r="BY32" s="65"/>
      <c r="BZ32" s="65"/>
    </row>
    <row r="33" spans="1:78" x14ac:dyDescent="0.3">
      <c r="A33" s="61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2"/>
      <c r="N33" s="62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  <c r="BB33" s="65"/>
      <c r="BC33" s="65"/>
      <c r="BD33" s="65"/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</row>
    <row r="34" spans="1:78" x14ac:dyDescent="0.3">
      <c r="A34" s="61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2"/>
      <c r="N34" s="62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5"/>
      <c r="AV34" s="65"/>
      <c r="AW34" s="65"/>
      <c r="AX34" s="65"/>
      <c r="AY34" s="65"/>
      <c r="AZ34" s="65"/>
      <c r="BA34" s="65"/>
      <c r="BB34" s="65"/>
      <c r="BC34" s="65"/>
      <c r="BD34" s="65"/>
      <c r="BE34" s="65"/>
      <c r="BF34" s="65"/>
      <c r="BG34" s="65"/>
      <c r="BH34" s="65"/>
      <c r="BI34" s="65"/>
      <c r="BJ34" s="65"/>
      <c r="BK34" s="65"/>
      <c r="BL34" s="65"/>
      <c r="BM34" s="65"/>
      <c r="BN34" s="65"/>
      <c r="BO34" s="65"/>
      <c r="BP34" s="65"/>
      <c r="BQ34" s="65"/>
      <c r="BR34" s="65"/>
      <c r="BS34" s="65"/>
      <c r="BT34" s="65"/>
      <c r="BU34" s="65"/>
      <c r="BV34" s="65"/>
      <c r="BW34" s="65"/>
      <c r="BX34" s="65"/>
      <c r="BY34" s="65"/>
      <c r="BZ34" s="65"/>
    </row>
    <row r="35" spans="1:78" x14ac:dyDescent="0.3">
      <c r="A35" s="61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2"/>
      <c r="N35" s="62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65"/>
      <c r="AU35" s="65"/>
      <c r="AV35" s="65"/>
      <c r="AW35" s="65"/>
      <c r="AX35" s="65"/>
      <c r="AY35" s="65"/>
      <c r="AZ35" s="65"/>
      <c r="BA35" s="65"/>
      <c r="BB35" s="65"/>
      <c r="BC35" s="65"/>
      <c r="BD35" s="65"/>
      <c r="BE35" s="65"/>
      <c r="BF35" s="65"/>
      <c r="BG35" s="65"/>
      <c r="BH35" s="65"/>
      <c r="BI35" s="65"/>
      <c r="BJ35" s="65"/>
      <c r="BK35" s="65"/>
      <c r="BL35" s="65"/>
      <c r="BM35" s="65"/>
      <c r="BN35" s="65"/>
      <c r="BO35" s="65"/>
      <c r="BP35" s="65"/>
      <c r="BQ35" s="65"/>
      <c r="BR35" s="65"/>
      <c r="BS35" s="65"/>
      <c r="BT35" s="65"/>
      <c r="BU35" s="65"/>
      <c r="BV35" s="65"/>
      <c r="BW35" s="65"/>
      <c r="BX35" s="65"/>
      <c r="BY35" s="65"/>
      <c r="BZ35" s="65"/>
    </row>
    <row r="36" spans="1:78" x14ac:dyDescent="0.3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2"/>
      <c r="N36" s="62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65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5"/>
      <c r="AV36" s="65"/>
      <c r="AW36" s="65"/>
      <c r="AX36" s="65"/>
      <c r="AY36" s="65"/>
      <c r="AZ36" s="65"/>
      <c r="BA36" s="65"/>
      <c r="BB36" s="65"/>
      <c r="BC36" s="65"/>
      <c r="BD36" s="65"/>
      <c r="BE36" s="65"/>
      <c r="BF36" s="65"/>
      <c r="BG36" s="65"/>
      <c r="BH36" s="65"/>
      <c r="BI36" s="65"/>
      <c r="BJ36" s="65"/>
      <c r="BK36" s="65"/>
      <c r="BL36" s="65"/>
      <c r="BM36" s="65"/>
      <c r="BN36" s="65"/>
      <c r="BO36" s="65"/>
      <c r="BP36" s="65"/>
      <c r="BQ36" s="65"/>
      <c r="BR36" s="65"/>
      <c r="BS36" s="65"/>
      <c r="BT36" s="65"/>
      <c r="BU36" s="65"/>
      <c r="BV36" s="65"/>
      <c r="BW36" s="65"/>
      <c r="BX36" s="65"/>
      <c r="BY36" s="65"/>
      <c r="BZ36" s="65"/>
    </row>
    <row r="37" spans="1:78" x14ac:dyDescent="0.3">
      <c r="A37" s="61"/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2"/>
      <c r="N37" s="62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65"/>
      <c r="AU37" s="65"/>
      <c r="AV37" s="65"/>
      <c r="AW37" s="65"/>
      <c r="AX37" s="65"/>
      <c r="AY37" s="65"/>
      <c r="AZ37" s="65"/>
      <c r="BA37" s="65"/>
      <c r="BB37" s="65"/>
      <c r="BC37" s="65"/>
      <c r="BD37" s="65"/>
      <c r="BE37" s="65"/>
      <c r="BF37" s="65"/>
      <c r="BG37" s="65"/>
      <c r="BH37" s="65"/>
      <c r="BI37" s="65"/>
      <c r="BJ37" s="65"/>
      <c r="BK37" s="65"/>
      <c r="BL37" s="65"/>
      <c r="BM37" s="65"/>
      <c r="BN37" s="65"/>
      <c r="BO37" s="65"/>
      <c r="BP37" s="65"/>
      <c r="BQ37" s="65"/>
      <c r="BR37" s="65"/>
      <c r="BS37" s="65"/>
      <c r="BT37" s="65"/>
      <c r="BU37" s="65"/>
      <c r="BV37" s="65"/>
      <c r="BW37" s="65"/>
      <c r="BX37" s="65"/>
      <c r="BY37" s="65"/>
      <c r="BZ37" s="65"/>
    </row>
    <row r="38" spans="1:78" x14ac:dyDescent="0.3">
      <c r="A38" s="61"/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2"/>
      <c r="N38" s="62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65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5"/>
      <c r="AV38" s="65"/>
      <c r="AW38" s="65"/>
      <c r="AX38" s="65"/>
      <c r="AY38" s="65"/>
      <c r="AZ38" s="65"/>
      <c r="BA38" s="65"/>
      <c r="BB38" s="65"/>
      <c r="BC38" s="65"/>
      <c r="BD38" s="65"/>
      <c r="BE38" s="65"/>
      <c r="BF38" s="65"/>
      <c r="BG38" s="65"/>
      <c r="BH38" s="65"/>
      <c r="BI38" s="65"/>
      <c r="BJ38" s="65"/>
      <c r="BK38" s="65"/>
      <c r="BL38" s="65"/>
      <c r="BM38" s="65"/>
      <c r="BN38" s="65"/>
      <c r="BO38" s="65"/>
      <c r="BP38" s="65"/>
      <c r="BQ38" s="65"/>
      <c r="BR38" s="65"/>
      <c r="BS38" s="65"/>
      <c r="BT38" s="65"/>
      <c r="BU38" s="65"/>
      <c r="BV38" s="65"/>
      <c r="BW38" s="65"/>
      <c r="BX38" s="65"/>
      <c r="BY38" s="65"/>
      <c r="BZ38" s="65"/>
    </row>
    <row r="39" spans="1:78" x14ac:dyDescent="0.3"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</row>
    <row r="40" spans="1:78" x14ac:dyDescent="0.3"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  <c r="BD40" s="65"/>
      <c r="BE40" s="65"/>
      <c r="BF40" s="65"/>
      <c r="BG40" s="65"/>
      <c r="BH40" s="65"/>
      <c r="BI40" s="65"/>
      <c r="BJ40" s="65"/>
      <c r="BK40" s="65"/>
      <c r="BL40" s="65"/>
      <c r="BM40" s="65"/>
      <c r="BN40" s="65"/>
      <c r="BO40" s="65"/>
      <c r="BP40" s="65"/>
      <c r="BQ40" s="65"/>
      <c r="BR40" s="65"/>
      <c r="BS40" s="65"/>
      <c r="BT40" s="65"/>
      <c r="BU40" s="65"/>
      <c r="BV40" s="65"/>
      <c r="BW40" s="65"/>
      <c r="BX40" s="65"/>
      <c r="BY40" s="65"/>
      <c r="BZ40" s="65"/>
    </row>
    <row r="41" spans="1:78" x14ac:dyDescent="0.3">
      <c r="A41" s="61"/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2"/>
      <c r="N41" s="62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  <c r="BD41" s="65"/>
      <c r="BE41" s="65"/>
      <c r="BF41" s="65"/>
      <c r="BG41" s="65"/>
      <c r="BH41" s="65"/>
      <c r="BI41" s="65"/>
      <c r="BJ41" s="65"/>
      <c r="BK41" s="65"/>
      <c r="BL41" s="65"/>
      <c r="BM41" s="65"/>
      <c r="BN41" s="65"/>
      <c r="BO41" s="65"/>
      <c r="BP41" s="65"/>
      <c r="BQ41" s="65"/>
      <c r="BR41" s="65"/>
      <c r="BS41" s="65"/>
      <c r="BT41" s="65"/>
      <c r="BU41" s="65"/>
      <c r="BV41" s="65"/>
      <c r="BW41" s="65"/>
      <c r="BX41" s="65"/>
      <c r="BY41" s="65"/>
      <c r="BZ41" s="65"/>
    </row>
    <row r="42" spans="1:78" x14ac:dyDescent="0.3">
      <c r="A42" s="61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2"/>
      <c r="N42" s="62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  <c r="BD42" s="65"/>
      <c r="BE42" s="65"/>
      <c r="BF42" s="65"/>
      <c r="BG42" s="65"/>
      <c r="BH42" s="65"/>
      <c r="BI42" s="65"/>
      <c r="BJ42" s="65"/>
      <c r="BK42" s="65"/>
      <c r="BL42" s="65"/>
      <c r="BM42" s="65"/>
      <c r="BN42" s="65"/>
      <c r="BO42" s="65"/>
      <c r="BP42" s="65"/>
      <c r="BQ42" s="65"/>
      <c r="BR42" s="65"/>
      <c r="BS42" s="65"/>
      <c r="BT42" s="65"/>
      <c r="BU42" s="65"/>
      <c r="BV42" s="65"/>
      <c r="BW42" s="65"/>
      <c r="BX42" s="65"/>
      <c r="BY42" s="65"/>
      <c r="BZ42" s="65"/>
    </row>
    <row r="43" spans="1:78" x14ac:dyDescent="0.3">
      <c r="A43" s="61"/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2"/>
      <c r="N43" s="62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  <c r="BD43" s="65"/>
      <c r="BE43" s="65"/>
      <c r="BF43" s="65"/>
      <c r="BG43" s="65"/>
      <c r="BH43" s="65"/>
      <c r="BI43" s="65"/>
      <c r="BJ43" s="65"/>
      <c r="BK43" s="65"/>
      <c r="BL43" s="65"/>
      <c r="BM43" s="65"/>
      <c r="BN43" s="65"/>
      <c r="BO43" s="65"/>
      <c r="BP43" s="65"/>
      <c r="BQ43" s="65"/>
      <c r="BR43" s="65"/>
      <c r="BS43" s="65"/>
      <c r="BT43" s="65"/>
      <c r="BU43" s="65"/>
      <c r="BV43" s="65"/>
      <c r="BW43" s="65"/>
      <c r="BX43" s="65"/>
      <c r="BY43" s="65"/>
      <c r="BZ43" s="65"/>
    </row>
    <row r="44" spans="1:78" x14ac:dyDescent="0.3">
      <c r="A44" s="61"/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2"/>
      <c r="N44" s="62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</row>
    <row r="45" spans="1:78" x14ac:dyDescent="0.3">
      <c r="A45" s="61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2"/>
      <c r="N45" s="62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</row>
    <row r="46" spans="1:78" x14ac:dyDescent="0.3">
      <c r="A46" s="61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2"/>
      <c r="N46" s="62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65"/>
      <c r="BF46" s="65"/>
      <c r="BG46" s="65"/>
      <c r="BH46" s="65"/>
      <c r="BI46" s="65"/>
      <c r="BJ46" s="65"/>
      <c r="BK46" s="65"/>
      <c r="BL46" s="65"/>
      <c r="BM46" s="65"/>
      <c r="BN46" s="65"/>
      <c r="BO46" s="65"/>
      <c r="BP46" s="65"/>
      <c r="BQ46" s="65"/>
      <c r="BR46" s="65"/>
      <c r="BS46" s="65"/>
      <c r="BT46" s="65"/>
      <c r="BU46" s="65"/>
      <c r="BV46" s="65"/>
      <c r="BW46" s="65"/>
      <c r="BX46" s="65"/>
      <c r="BY46" s="65"/>
      <c r="BZ46" s="65"/>
    </row>
    <row r="47" spans="1:78" x14ac:dyDescent="0.3">
      <c r="A47" s="61"/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2"/>
      <c r="N47" s="62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  <c r="BD47" s="65"/>
      <c r="BE47" s="65"/>
      <c r="BF47" s="65"/>
      <c r="BG47" s="65"/>
      <c r="BH47" s="65"/>
      <c r="BI47" s="65"/>
      <c r="BJ47" s="65"/>
      <c r="BK47" s="65"/>
      <c r="BL47" s="65"/>
      <c r="BM47" s="65"/>
      <c r="BN47" s="65"/>
      <c r="BO47" s="65"/>
      <c r="BP47" s="65"/>
      <c r="BQ47" s="65"/>
      <c r="BR47" s="65"/>
      <c r="BS47" s="65"/>
      <c r="BT47" s="65"/>
      <c r="BU47" s="65"/>
      <c r="BV47" s="65"/>
      <c r="BW47" s="65"/>
      <c r="BX47" s="65"/>
      <c r="BY47" s="65"/>
      <c r="BZ47" s="65"/>
    </row>
    <row r="48" spans="1:78" x14ac:dyDescent="0.3">
      <c r="A48" s="61"/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2"/>
      <c r="N48" s="62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5"/>
      <c r="AV48" s="65"/>
      <c r="AW48" s="65"/>
      <c r="AX48" s="65"/>
      <c r="AY48" s="65"/>
      <c r="AZ48" s="65"/>
      <c r="BA48" s="65"/>
      <c r="BB48" s="65"/>
      <c r="BC48" s="65"/>
      <c r="BD48" s="65"/>
      <c r="BE48" s="65"/>
      <c r="BF48" s="65"/>
      <c r="BG48" s="65"/>
      <c r="BH48" s="65"/>
      <c r="BI48" s="65"/>
      <c r="BJ48" s="65"/>
      <c r="BK48" s="65"/>
      <c r="BL48" s="65"/>
      <c r="BM48" s="65"/>
      <c r="BN48" s="65"/>
      <c r="BO48" s="65"/>
      <c r="BP48" s="65"/>
      <c r="BQ48" s="65"/>
      <c r="BR48" s="65"/>
      <c r="BS48" s="65"/>
      <c r="BT48" s="65"/>
      <c r="BU48" s="65"/>
      <c r="BV48" s="65"/>
      <c r="BW48" s="65"/>
      <c r="BX48" s="65"/>
      <c r="BY48" s="65"/>
      <c r="BZ48" s="65"/>
    </row>
    <row r="49" spans="1:78" x14ac:dyDescent="0.3">
      <c r="A49" s="61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2"/>
      <c r="N49" s="62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  <c r="AN49" s="65"/>
      <c r="AO49" s="65"/>
      <c r="AP49" s="65"/>
      <c r="AQ49" s="65"/>
      <c r="AR49" s="65"/>
      <c r="AS49" s="65"/>
      <c r="AT49" s="65"/>
      <c r="AU49" s="65"/>
      <c r="AV49" s="65"/>
      <c r="AW49" s="65"/>
      <c r="AX49" s="65"/>
      <c r="AY49" s="65"/>
      <c r="AZ49" s="65"/>
      <c r="BA49" s="65"/>
      <c r="BB49" s="65"/>
      <c r="BC49" s="65"/>
      <c r="BD49" s="65"/>
      <c r="BE49" s="65"/>
      <c r="BF49" s="65"/>
      <c r="BG49" s="65"/>
      <c r="BH49" s="65"/>
      <c r="BI49" s="65"/>
      <c r="BJ49" s="65"/>
      <c r="BK49" s="65"/>
      <c r="BL49" s="65"/>
      <c r="BM49" s="65"/>
      <c r="BN49" s="65"/>
      <c r="BO49" s="65"/>
      <c r="BP49" s="65"/>
      <c r="BQ49" s="65"/>
      <c r="BR49" s="65"/>
      <c r="BS49" s="65"/>
      <c r="BT49" s="65"/>
      <c r="BU49" s="65"/>
      <c r="BV49" s="65"/>
      <c r="BW49" s="65"/>
      <c r="BX49" s="65"/>
      <c r="BY49" s="65"/>
      <c r="BZ49" s="65"/>
    </row>
    <row r="50" spans="1:78" x14ac:dyDescent="0.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2"/>
      <c r="N50" s="62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5"/>
      <c r="AV50" s="65"/>
      <c r="AW50" s="65"/>
      <c r="AX50" s="65"/>
      <c r="AY50" s="65"/>
      <c r="AZ50" s="65"/>
      <c r="BA50" s="65"/>
      <c r="BB50" s="65"/>
      <c r="BC50" s="65"/>
      <c r="BD50" s="65"/>
      <c r="BE50" s="65"/>
      <c r="BF50" s="65"/>
      <c r="BG50" s="65"/>
      <c r="BH50" s="65"/>
      <c r="BI50" s="65"/>
      <c r="BJ50" s="65"/>
      <c r="BK50" s="65"/>
      <c r="BL50" s="65"/>
      <c r="BM50" s="65"/>
      <c r="BN50" s="65"/>
      <c r="BO50" s="65"/>
      <c r="BP50" s="65"/>
      <c r="BQ50" s="65"/>
      <c r="BR50" s="65"/>
      <c r="BS50" s="65"/>
      <c r="BT50" s="65"/>
      <c r="BU50" s="65"/>
      <c r="BV50" s="65"/>
      <c r="BW50" s="65"/>
      <c r="BX50" s="65"/>
      <c r="BY50" s="65"/>
      <c r="BZ50" s="65"/>
    </row>
    <row r="51" spans="1:78" x14ac:dyDescent="0.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2"/>
      <c r="N51" s="62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  <c r="AN51" s="65"/>
      <c r="AO51" s="65"/>
      <c r="AP51" s="65"/>
      <c r="AQ51" s="65"/>
      <c r="AR51" s="65"/>
      <c r="AS51" s="65"/>
      <c r="AT51" s="65"/>
      <c r="AU51" s="65"/>
      <c r="AV51" s="65"/>
      <c r="AW51" s="65"/>
      <c r="AX51" s="65"/>
      <c r="AY51" s="65"/>
      <c r="AZ51" s="65"/>
      <c r="BA51" s="65"/>
      <c r="BB51" s="65"/>
      <c r="BC51" s="65"/>
      <c r="BD51" s="65"/>
      <c r="BE51" s="65"/>
      <c r="BF51" s="65"/>
      <c r="BG51" s="65"/>
      <c r="BH51" s="65"/>
      <c r="BI51" s="65"/>
      <c r="BJ51" s="65"/>
      <c r="BK51" s="65"/>
      <c r="BL51" s="65"/>
      <c r="BM51" s="65"/>
      <c r="BN51" s="65"/>
      <c r="BO51" s="65"/>
      <c r="BP51" s="65"/>
      <c r="BQ51" s="65"/>
      <c r="BR51" s="65"/>
      <c r="BS51" s="65"/>
      <c r="BT51" s="65"/>
      <c r="BU51" s="65"/>
      <c r="BV51" s="65"/>
      <c r="BW51" s="65"/>
      <c r="BX51" s="65"/>
      <c r="BY51" s="65"/>
      <c r="BZ51" s="65"/>
    </row>
    <row r="52" spans="1:78" x14ac:dyDescent="0.3">
      <c r="A52" s="61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2"/>
      <c r="N52" s="62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5"/>
      <c r="AV52" s="65"/>
      <c r="AW52" s="65"/>
      <c r="AX52" s="65"/>
      <c r="AY52" s="65"/>
      <c r="AZ52" s="65"/>
      <c r="BA52" s="65"/>
      <c r="BB52" s="65"/>
      <c r="BC52" s="65"/>
      <c r="BD52" s="65"/>
      <c r="BE52" s="65"/>
      <c r="BF52" s="65"/>
      <c r="BG52" s="65"/>
      <c r="BH52" s="65"/>
      <c r="BI52" s="65"/>
      <c r="BJ52" s="65"/>
      <c r="BK52" s="65"/>
      <c r="BL52" s="65"/>
      <c r="BM52" s="65"/>
      <c r="BN52" s="65"/>
      <c r="BO52" s="65"/>
      <c r="BP52" s="65"/>
      <c r="BQ52" s="65"/>
      <c r="BR52" s="65"/>
      <c r="BS52" s="65"/>
      <c r="BT52" s="65"/>
      <c r="BU52" s="65"/>
      <c r="BV52" s="65"/>
      <c r="BW52" s="65"/>
      <c r="BX52" s="65"/>
      <c r="BY52" s="65"/>
      <c r="BZ52" s="65"/>
    </row>
    <row r="53" spans="1:78" x14ac:dyDescent="0.3">
      <c r="A53" s="61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2"/>
      <c r="N53" s="62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  <c r="AV53" s="65"/>
      <c r="AW53" s="65"/>
      <c r="AX53" s="65"/>
      <c r="AY53" s="65"/>
      <c r="AZ53" s="65"/>
      <c r="BA53" s="65"/>
      <c r="BB53" s="65"/>
      <c r="BC53" s="65"/>
      <c r="BD53" s="65"/>
      <c r="BE53" s="65"/>
      <c r="BF53" s="65"/>
      <c r="BG53" s="65"/>
      <c r="BH53" s="65"/>
      <c r="BI53" s="65"/>
      <c r="BJ53" s="65"/>
      <c r="BK53" s="65"/>
      <c r="BL53" s="65"/>
      <c r="BM53" s="65"/>
      <c r="BN53" s="65"/>
      <c r="BO53" s="65"/>
      <c r="BP53" s="65"/>
      <c r="BQ53" s="65"/>
      <c r="BR53" s="65"/>
      <c r="BS53" s="65"/>
      <c r="BT53" s="65"/>
      <c r="BU53" s="65"/>
      <c r="BV53" s="65"/>
      <c r="BW53" s="65"/>
      <c r="BX53" s="65"/>
      <c r="BY53" s="65"/>
      <c r="BZ53" s="65"/>
    </row>
    <row r="54" spans="1:78" x14ac:dyDescent="0.3">
      <c r="A54" s="61"/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2"/>
      <c r="N54" s="62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5"/>
      <c r="AV54" s="65"/>
      <c r="AW54" s="65"/>
      <c r="AX54" s="65"/>
      <c r="AY54" s="65"/>
      <c r="AZ54" s="65"/>
      <c r="BA54" s="65"/>
      <c r="BB54" s="65"/>
      <c r="BC54" s="65"/>
      <c r="BD54" s="65"/>
      <c r="BE54" s="65"/>
      <c r="BF54" s="65"/>
      <c r="BG54" s="65"/>
      <c r="BH54" s="65"/>
      <c r="BI54" s="65"/>
      <c r="BJ54" s="65"/>
      <c r="BK54" s="65"/>
      <c r="BL54" s="65"/>
      <c r="BM54" s="65"/>
      <c r="BN54" s="65"/>
      <c r="BO54" s="65"/>
      <c r="BP54" s="65"/>
      <c r="BQ54" s="65"/>
      <c r="BR54" s="65"/>
      <c r="BS54" s="65"/>
      <c r="BT54" s="65"/>
      <c r="BU54" s="65"/>
      <c r="BV54" s="65"/>
      <c r="BW54" s="65"/>
      <c r="BX54" s="65"/>
      <c r="BY54" s="65"/>
      <c r="BZ54" s="65"/>
    </row>
    <row r="55" spans="1:78" x14ac:dyDescent="0.3">
      <c r="A55" s="61"/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62"/>
      <c r="N55" s="62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65"/>
      <c r="AK55" s="65"/>
      <c r="AL55" s="65"/>
      <c r="AM55" s="65"/>
      <c r="AN55" s="65"/>
      <c r="AO55" s="65"/>
      <c r="AP55" s="65"/>
      <c r="AQ55" s="65"/>
      <c r="AR55" s="65"/>
      <c r="AS55" s="65"/>
      <c r="AT55" s="65"/>
      <c r="AU55" s="65"/>
      <c r="AV55" s="65"/>
      <c r="AW55" s="65"/>
      <c r="AX55" s="65"/>
      <c r="AY55" s="65"/>
      <c r="AZ55" s="65"/>
      <c r="BA55" s="65"/>
      <c r="BB55" s="65"/>
      <c r="BC55" s="65"/>
      <c r="BD55" s="65"/>
      <c r="BE55" s="65"/>
      <c r="BF55" s="65"/>
      <c r="BG55" s="65"/>
      <c r="BH55" s="65"/>
      <c r="BI55" s="65"/>
      <c r="BJ55" s="65"/>
      <c r="BK55" s="65"/>
      <c r="BL55" s="65"/>
      <c r="BM55" s="65"/>
      <c r="BN55" s="65"/>
      <c r="BO55" s="65"/>
      <c r="BP55" s="65"/>
      <c r="BQ55" s="65"/>
      <c r="BR55" s="65"/>
      <c r="BS55" s="65"/>
      <c r="BT55" s="65"/>
      <c r="BU55" s="65"/>
      <c r="BV55" s="65"/>
      <c r="BW55" s="65"/>
      <c r="BX55" s="65"/>
      <c r="BY55" s="65"/>
      <c r="BZ55" s="65"/>
    </row>
    <row r="56" spans="1:78" x14ac:dyDescent="0.3">
      <c r="A56" s="61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2"/>
      <c r="N56" s="62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5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5"/>
      <c r="AV56" s="65"/>
      <c r="AW56" s="65"/>
      <c r="AX56" s="65"/>
      <c r="AY56" s="65"/>
      <c r="AZ56" s="65"/>
      <c r="BA56" s="65"/>
      <c r="BB56" s="65"/>
      <c r="BC56" s="65"/>
      <c r="BD56" s="65"/>
      <c r="BE56" s="65"/>
      <c r="BF56" s="65"/>
      <c r="BG56" s="65"/>
      <c r="BH56" s="65"/>
      <c r="BI56" s="65"/>
      <c r="BJ56" s="65"/>
      <c r="BK56" s="65"/>
      <c r="BL56" s="65"/>
      <c r="BM56" s="65"/>
      <c r="BN56" s="65"/>
      <c r="BO56" s="65"/>
      <c r="BP56" s="65"/>
      <c r="BQ56" s="65"/>
      <c r="BR56" s="65"/>
      <c r="BS56" s="65"/>
      <c r="BT56" s="65"/>
      <c r="BU56" s="65"/>
      <c r="BV56" s="65"/>
      <c r="BW56" s="65"/>
      <c r="BX56" s="65"/>
      <c r="BY56" s="65"/>
      <c r="BZ56" s="65"/>
    </row>
    <row r="57" spans="1:78" x14ac:dyDescent="0.3">
      <c r="A57" s="61"/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2"/>
      <c r="N57" s="62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5"/>
      <c r="AK57" s="65"/>
      <c r="AL57" s="65"/>
      <c r="AM57" s="65"/>
      <c r="AN57" s="65"/>
      <c r="AO57" s="65"/>
      <c r="AP57" s="65"/>
      <c r="AQ57" s="65"/>
      <c r="AR57" s="65"/>
      <c r="AS57" s="65"/>
      <c r="AT57" s="65"/>
      <c r="AU57" s="65"/>
      <c r="AV57" s="65"/>
      <c r="AW57" s="65"/>
      <c r="AX57" s="65"/>
      <c r="AY57" s="65"/>
      <c r="AZ57" s="65"/>
      <c r="BA57" s="65"/>
      <c r="BB57" s="65"/>
      <c r="BC57" s="65"/>
      <c r="BD57" s="65"/>
      <c r="BE57" s="65"/>
      <c r="BF57" s="65"/>
      <c r="BG57" s="65"/>
      <c r="BH57" s="65"/>
      <c r="BI57" s="65"/>
      <c r="BJ57" s="65"/>
      <c r="BK57" s="65"/>
      <c r="BL57" s="65"/>
      <c r="BM57" s="65"/>
      <c r="BN57" s="65"/>
      <c r="BO57" s="65"/>
      <c r="BP57" s="65"/>
      <c r="BQ57" s="65"/>
      <c r="BR57" s="65"/>
      <c r="BS57" s="65"/>
      <c r="BT57" s="65"/>
      <c r="BU57" s="65"/>
      <c r="BV57" s="65"/>
      <c r="BW57" s="65"/>
      <c r="BX57" s="65"/>
      <c r="BY57" s="65"/>
      <c r="BZ57" s="65"/>
    </row>
    <row r="58" spans="1:78" x14ac:dyDescent="0.3">
      <c r="A58" s="61"/>
      <c r="B58" s="61"/>
      <c r="C58" s="61"/>
      <c r="D58" s="61"/>
      <c r="E58" s="61"/>
      <c r="F58" s="61"/>
      <c r="G58" s="61"/>
      <c r="H58" s="61"/>
      <c r="I58" s="61"/>
      <c r="J58" s="61"/>
      <c r="K58" s="61"/>
      <c r="L58" s="61"/>
      <c r="M58" s="62"/>
      <c r="N58" s="62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  <c r="AJ58" s="65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5"/>
      <c r="AV58" s="65"/>
      <c r="AW58" s="65"/>
      <c r="AX58" s="65"/>
      <c r="AY58" s="65"/>
      <c r="AZ58" s="65"/>
      <c r="BA58" s="65"/>
      <c r="BB58" s="65"/>
      <c r="BC58" s="65"/>
      <c r="BD58" s="65"/>
      <c r="BE58" s="65"/>
      <c r="BF58" s="65"/>
      <c r="BG58" s="65"/>
      <c r="BH58" s="65"/>
      <c r="BI58" s="65"/>
      <c r="BJ58" s="65"/>
      <c r="BK58" s="65"/>
      <c r="BL58" s="65"/>
      <c r="BM58" s="65"/>
      <c r="BN58" s="65"/>
      <c r="BO58" s="65"/>
      <c r="BP58" s="65"/>
      <c r="BQ58" s="65"/>
      <c r="BR58" s="65"/>
      <c r="BS58" s="65"/>
      <c r="BT58" s="65"/>
      <c r="BU58" s="65"/>
      <c r="BV58" s="65"/>
      <c r="BW58" s="65"/>
      <c r="BX58" s="65"/>
      <c r="BY58" s="65"/>
      <c r="BZ58" s="65"/>
    </row>
    <row r="59" spans="1:78" x14ac:dyDescent="0.3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2"/>
      <c r="N59" s="62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  <c r="AT59" s="65"/>
      <c r="AU59" s="65"/>
      <c r="AV59" s="65"/>
      <c r="AW59" s="65"/>
      <c r="AX59" s="65"/>
      <c r="AY59" s="65"/>
      <c r="AZ59" s="65"/>
      <c r="BA59" s="65"/>
      <c r="BB59" s="65"/>
      <c r="BC59" s="65"/>
      <c r="BD59" s="65"/>
      <c r="BE59" s="65"/>
      <c r="BF59" s="65"/>
      <c r="BG59" s="65"/>
      <c r="BH59" s="65"/>
      <c r="BI59" s="65"/>
      <c r="BJ59" s="65"/>
      <c r="BK59" s="65"/>
      <c r="BL59" s="65"/>
      <c r="BM59" s="65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  <c r="BY59" s="65"/>
      <c r="BZ59" s="65"/>
    </row>
    <row r="60" spans="1:78" x14ac:dyDescent="0.3">
      <c r="A60" s="61"/>
      <c r="B60" s="61"/>
      <c r="C60" s="61"/>
      <c r="D60" s="61"/>
      <c r="E60" s="61"/>
      <c r="F60" s="61"/>
      <c r="G60" s="61"/>
      <c r="H60" s="61"/>
      <c r="I60" s="61"/>
      <c r="J60" s="61"/>
      <c r="K60" s="61"/>
      <c r="L60" s="61"/>
      <c r="M60" s="62"/>
      <c r="N60" s="62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5"/>
      <c r="AV60" s="65"/>
      <c r="AW60" s="65"/>
      <c r="AX60" s="65"/>
      <c r="AY60" s="65"/>
      <c r="AZ60" s="65"/>
      <c r="BA60" s="65"/>
      <c r="BB60" s="65"/>
      <c r="BC60" s="65"/>
      <c r="BD60" s="65"/>
      <c r="BE60" s="65"/>
      <c r="BF60" s="65"/>
      <c r="BG60" s="65"/>
      <c r="BH60" s="65"/>
      <c r="BI60" s="65"/>
      <c r="BJ60" s="65"/>
      <c r="BK60" s="65"/>
      <c r="BL60" s="65"/>
      <c r="BM60" s="65"/>
      <c r="BN60" s="65"/>
      <c r="BO60" s="65"/>
      <c r="BP60" s="65"/>
      <c r="BQ60" s="65"/>
      <c r="BR60" s="65"/>
      <c r="BS60" s="65"/>
      <c r="BT60" s="65"/>
      <c r="BU60" s="65"/>
      <c r="BV60" s="65"/>
      <c r="BW60" s="65"/>
      <c r="BX60" s="65"/>
      <c r="BY60" s="65"/>
      <c r="BZ60" s="65"/>
    </row>
    <row r="61" spans="1:78" x14ac:dyDescent="0.3">
      <c r="A61" s="61"/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61"/>
      <c r="M61" s="62"/>
      <c r="N61" s="62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  <c r="AT61" s="65"/>
      <c r="AU61" s="65"/>
      <c r="AV61" s="65"/>
      <c r="AW61" s="65"/>
      <c r="AX61" s="65"/>
      <c r="AY61" s="65"/>
      <c r="AZ61" s="65"/>
      <c r="BA61" s="65"/>
      <c r="BB61" s="65"/>
      <c r="BC61" s="65"/>
      <c r="BD61" s="65"/>
      <c r="BE61" s="65"/>
      <c r="BF61" s="65"/>
      <c r="BG61" s="65"/>
      <c r="BH61" s="65"/>
      <c r="BI61" s="65"/>
      <c r="BJ61" s="65"/>
      <c r="BK61" s="65"/>
      <c r="BL61" s="65"/>
      <c r="BM61" s="65"/>
      <c r="BN61" s="65"/>
      <c r="BO61" s="65"/>
      <c r="BP61" s="65"/>
      <c r="BQ61" s="65"/>
      <c r="BR61" s="65"/>
      <c r="BS61" s="65"/>
      <c r="BT61" s="65"/>
      <c r="BU61" s="65"/>
      <c r="BV61" s="65"/>
      <c r="BW61" s="65"/>
      <c r="BX61" s="65"/>
      <c r="BY61" s="65"/>
      <c r="BZ61" s="65"/>
    </row>
    <row r="62" spans="1:78" x14ac:dyDescent="0.3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2"/>
      <c r="N62" s="62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5"/>
      <c r="AV62" s="65"/>
      <c r="AW62" s="65"/>
      <c r="AX62" s="65"/>
      <c r="AY62" s="65"/>
      <c r="AZ62" s="65"/>
      <c r="BA62" s="65"/>
      <c r="BB62" s="65"/>
      <c r="BC62" s="65"/>
      <c r="BD62" s="65"/>
      <c r="BE62" s="65"/>
      <c r="BF62" s="65"/>
      <c r="BG62" s="65"/>
      <c r="BH62" s="65"/>
      <c r="BI62" s="65"/>
      <c r="BJ62" s="65"/>
      <c r="BK62" s="65"/>
      <c r="BL62" s="65"/>
      <c r="BM62" s="65"/>
      <c r="BN62" s="65"/>
      <c r="BO62" s="65"/>
      <c r="BP62" s="65"/>
      <c r="BQ62" s="65"/>
      <c r="BR62" s="65"/>
      <c r="BS62" s="65"/>
      <c r="BT62" s="65"/>
      <c r="BU62" s="65"/>
      <c r="BV62" s="65"/>
      <c r="BW62" s="65"/>
      <c r="BX62" s="65"/>
      <c r="BY62" s="65"/>
      <c r="BZ62" s="65"/>
    </row>
    <row r="63" spans="1:78" x14ac:dyDescent="0.3">
      <c r="A63" s="61"/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2"/>
      <c r="N63" s="62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65"/>
      <c r="AJ63" s="65"/>
      <c r="AK63" s="65"/>
      <c r="AL63" s="65"/>
      <c r="AM63" s="65"/>
      <c r="AN63" s="65"/>
      <c r="AO63" s="65"/>
      <c r="AP63" s="65"/>
      <c r="AQ63" s="65"/>
      <c r="AR63" s="65"/>
      <c r="AS63" s="65"/>
      <c r="AT63" s="65"/>
      <c r="AU63" s="65"/>
      <c r="AV63" s="65"/>
      <c r="AW63" s="65"/>
      <c r="AX63" s="65"/>
      <c r="AY63" s="65"/>
      <c r="AZ63" s="65"/>
      <c r="BA63" s="65"/>
      <c r="BB63" s="65"/>
      <c r="BC63" s="65"/>
      <c r="BD63" s="65"/>
      <c r="BE63" s="65"/>
      <c r="BF63" s="65"/>
      <c r="BG63" s="65"/>
      <c r="BH63" s="65"/>
      <c r="BI63" s="65"/>
      <c r="BJ63" s="65"/>
      <c r="BK63" s="65"/>
      <c r="BL63" s="65"/>
      <c r="BM63" s="65"/>
      <c r="BN63" s="65"/>
      <c r="BO63" s="65"/>
      <c r="BP63" s="65"/>
      <c r="BQ63" s="65"/>
      <c r="BR63" s="65"/>
      <c r="BS63" s="65"/>
      <c r="BT63" s="65"/>
      <c r="BU63" s="65"/>
      <c r="BV63" s="65"/>
      <c r="BW63" s="65"/>
      <c r="BX63" s="65"/>
      <c r="BY63" s="65"/>
      <c r="BZ63" s="65"/>
    </row>
    <row r="64" spans="1:78" x14ac:dyDescent="0.3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2"/>
      <c r="N64" s="62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5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5"/>
      <c r="AV64" s="65"/>
      <c r="AW64" s="65"/>
      <c r="AX64" s="65"/>
      <c r="AY64" s="65"/>
      <c r="AZ64" s="65"/>
      <c r="BA64" s="65"/>
      <c r="BB64" s="65"/>
      <c r="BC64" s="65"/>
      <c r="BD64" s="65"/>
      <c r="BE64" s="65"/>
      <c r="BF64" s="65"/>
      <c r="BG64" s="65"/>
      <c r="BH64" s="65"/>
      <c r="BI64" s="65"/>
      <c r="BJ64" s="65"/>
      <c r="BK64" s="65"/>
      <c r="BL64" s="65"/>
      <c r="BM64" s="65"/>
      <c r="BN64" s="65"/>
      <c r="BO64" s="65"/>
      <c r="BP64" s="65"/>
      <c r="BQ64" s="65"/>
      <c r="BR64" s="65"/>
      <c r="BS64" s="65"/>
      <c r="BT64" s="65"/>
      <c r="BU64" s="65"/>
      <c r="BV64" s="65"/>
      <c r="BW64" s="65"/>
      <c r="BX64" s="65"/>
      <c r="BY64" s="65"/>
      <c r="BZ64" s="65"/>
    </row>
    <row r="65" spans="1:78" x14ac:dyDescent="0.3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2"/>
      <c r="N65" s="62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H65" s="65"/>
      <c r="AI65" s="65"/>
      <c r="AJ65" s="65"/>
      <c r="AK65" s="65"/>
      <c r="AL65" s="65"/>
      <c r="AM65" s="65"/>
      <c r="AN65" s="65"/>
      <c r="AO65" s="65"/>
      <c r="AP65" s="65"/>
      <c r="AQ65" s="65"/>
      <c r="AR65" s="65"/>
      <c r="AS65" s="65"/>
      <c r="AT65" s="65"/>
      <c r="AU65" s="65"/>
      <c r="AV65" s="65"/>
      <c r="AW65" s="65"/>
      <c r="AX65" s="65"/>
      <c r="AY65" s="65"/>
      <c r="AZ65" s="65"/>
      <c r="BA65" s="65"/>
      <c r="BB65" s="65"/>
      <c r="BC65" s="65"/>
      <c r="BD65" s="65"/>
      <c r="BE65" s="65"/>
      <c r="BF65" s="65"/>
      <c r="BG65" s="65"/>
      <c r="BH65" s="65"/>
      <c r="BI65" s="65"/>
      <c r="BJ65" s="65"/>
      <c r="BK65" s="65"/>
      <c r="BL65" s="65"/>
      <c r="BM65" s="65"/>
      <c r="BN65" s="65"/>
      <c r="BO65" s="65"/>
      <c r="BP65" s="65"/>
      <c r="BQ65" s="65"/>
      <c r="BR65" s="65"/>
      <c r="BS65" s="65"/>
      <c r="BT65" s="65"/>
      <c r="BU65" s="65"/>
      <c r="BV65" s="65"/>
      <c r="BW65" s="65"/>
      <c r="BX65" s="65"/>
      <c r="BY65" s="65"/>
      <c r="BZ65" s="65"/>
    </row>
    <row r="66" spans="1:78" x14ac:dyDescent="0.3">
      <c r="A66" s="61"/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61"/>
      <c r="M66" s="62"/>
      <c r="N66" s="62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65"/>
      <c r="AJ66" s="65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5"/>
      <c r="AV66" s="65"/>
      <c r="AW66" s="65"/>
      <c r="AX66" s="65"/>
      <c r="AY66" s="65"/>
      <c r="AZ66" s="65"/>
      <c r="BA66" s="65"/>
      <c r="BB66" s="65"/>
      <c r="BC66" s="65"/>
      <c r="BD66" s="65"/>
      <c r="BE66" s="65"/>
      <c r="BF66" s="65"/>
      <c r="BG66" s="65"/>
      <c r="BH66" s="65"/>
      <c r="BI66" s="65"/>
      <c r="BJ66" s="65"/>
      <c r="BK66" s="65"/>
      <c r="BL66" s="65"/>
      <c r="BM66" s="65"/>
      <c r="BN66" s="65"/>
      <c r="BO66" s="65"/>
      <c r="BP66" s="65"/>
      <c r="BQ66" s="65"/>
      <c r="BR66" s="65"/>
      <c r="BS66" s="65"/>
      <c r="BT66" s="65"/>
      <c r="BU66" s="65"/>
      <c r="BV66" s="65"/>
      <c r="BW66" s="65"/>
      <c r="BX66" s="65"/>
      <c r="BY66" s="65"/>
      <c r="BZ66" s="65"/>
    </row>
    <row r="67" spans="1:78" x14ac:dyDescent="0.3">
      <c r="A67" s="61"/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2"/>
      <c r="N67" s="62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65"/>
      <c r="AK67" s="65"/>
      <c r="AL67" s="65"/>
      <c r="AM67" s="65"/>
      <c r="AN67" s="65"/>
      <c r="AO67" s="65"/>
      <c r="AP67" s="65"/>
      <c r="AQ67" s="65"/>
      <c r="AR67" s="65"/>
      <c r="AS67" s="65"/>
      <c r="AT67" s="65"/>
      <c r="AU67" s="65"/>
      <c r="AV67" s="65"/>
      <c r="AW67" s="65"/>
      <c r="AX67" s="65"/>
      <c r="AY67" s="65"/>
      <c r="AZ67" s="65"/>
      <c r="BA67" s="65"/>
      <c r="BB67" s="65"/>
      <c r="BC67" s="65"/>
      <c r="BD67" s="65"/>
      <c r="BE67" s="65"/>
      <c r="BF67" s="65"/>
      <c r="BG67" s="65"/>
      <c r="BH67" s="65"/>
      <c r="BI67" s="65"/>
      <c r="BJ67" s="65"/>
      <c r="BK67" s="65"/>
      <c r="BL67" s="65"/>
      <c r="BM67" s="65"/>
      <c r="BN67" s="65"/>
      <c r="BO67" s="65"/>
      <c r="BP67" s="65"/>
      <c r="BQ67" s="65"/>
      <c r="BR67" s="65"/>
      <c r="BS67" s="65"/>
      <c r="BT67" s="65"/>
      <c r="BU67" s="65"/>
      <c r="BV67" s="65"/>
      <c r="BW67" s="65"/>
      <c r="BX67" s="65"/>
      <c r="BY67" s="65"/>
      <c r="BZ67" s="65"/>
    </row>
    <row r="68" spans="1:78" x14ac:dyDescent="0.3">
      <c r="A68" s="61"/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61"/>
      <c r="M68" s="62"/>
      <c r="N68" s="62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65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5"/>
      <c r="AV68" s="65"/>
      <c r="AW68" s="65"/>
      <c r="AX68" s="65"/>
      <c r="AY68" s="65"/>
      <c r="AZ68" s="65"/>
      <c r="BA68" s="65"/>
      <c r="BB68" s="65"/>
      <c r="BC68" s="65"/>
      <c r="BD68" s="65"/>
      <c r="BE68" s="65"/>
      <c r="BF68" s="65"/>
      <c r="BG68" s="65"/>
      <c r="BH68" s="65"/>
      <c r="BI68" s="65"/>
      <c r="BJ68" s="65"/>
      <c r="BK68" s="65"/>
      <c r="BL68" s="65"/>
      <c r="BM68" s="65"/>
      <c r="BN68" s="65"/>
      <c r="BO68" s="65"/>
      <c r="BP68" s="65"/>
      <c r="BQ68" s="65"/>
      <c r="BR68" s="65"/>
      <c r="BS68" s="65"/>
      <c r="BT68" s="65"/>
      <c r="BU68" s="65"/>
      <c r="BV68" s="65"/>
      <c r="BW68" s="65"/>
      <c r="BX68" s="65"/>
      <c r="BY68" s="65"/>
      <c r="BZ68" s="65"/>
    </row>
    <row r="69" spans="1:78" x14ac:dyDescent="0.3">
      <c r="A69" s="61"/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61"/>
      <c r="M69" s="62"/>
      <c r="N69" s="62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H69" s="65"/>
      <c r="AI69" s="65"/>
      <c r="AJ69" s="65"/>
      <c r="AK69" s="65"/>
      <c r="AL69" s="65"/>
      <c r="AM69" s="65"/>
      <c r="AN69" s="65"/>
      <c r="AO69" s="65"/>
      <c r="AP69" s="65"/>
      <c r="AQ69" s="65"/>
      <c r="AR69" s="65"/>
      <c r="AS69" s="65"/>
      <c r="AT69" s="65"/>
      <c r="AU69" s="65"/>
      <c r="AV69" s="65"/>
      <c r="AW69" s="65"/>
      <c r="AX69" s="65"/>
      <c r="AY69" s="65"/>
      <c r="AZ69" s="65"/>
      <c r="BA69" s="65"/>
      <c r="BB69" s="65"/>
      <c r="BC69" s="65"/>
      <c r="BD69" s="65"/>
      <c r="BE69" s="65"/>
      <c r="BF69" s="65"/>
      <c r="BG69" s="65"/>
      <c r="BH69" s="65"/>
      <c r="BI69" s="65"/>
      <c r="BJ69" s="65"/>
      <c r="BK69" s="65"/>
      <c r="BL69" s="65"/>
      <c r="BM69" s="65"/>
      <c r="BN69" s="65"/>
      <c r="BO69" s="65"/>
      <c r="BP69" s="65"/>
      <c r="BQ69" s="65"/>
      <c r="BR69" s="65"/>
      <c r="BS69" s="65"/>
      <c r="BT69" s="65"/>
      <c r="BU69" s="65"/>
      <c r="BV69" s="65"/>
      <c r="BW69" s="65"/>
      <c r="BX69" s="65"/>
      <c r="BY69" s="65"/>
      <c r="BZ69" s="65"/>
    </row>
    <row r="70" spans="1:78" x14ac:dyDescent="0.3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2"/>
      <c r="N70" s="62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H70" s="65"/>
      <c r="AI70" s="65"/>
      <c r="AJ70" s="65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5"/>
      <c r="AV70" s="65"/>
      <c r="AW70" s="65"/>
      <c r="AX70" s="65"/>
      <c r="AY70" s="65"/>
      <c r="AZ70" s="65"/>
      <c r="BA70" s="65"/>
      <c r="BB70" s="65"/>
      <c r="BC70" s="65"/>
      <c r="BD70" s="65"/>
      <c r="BE70" s="65"/>
      <c r="BF70" s="65"/>
      <c r="BG70" s="65"/>
      <c r="BH70" s="65"/>
      <c r="BI70" s="65"/>
      <c r="BJ70" s="65"/>
      <c r="BK70" s="65"/>
      <c r="BL70" s="65"/>
      <c r="BM70" s="65"/>
      <c r="BN70" s="65"/>
      <c r="BO70" s="65"/>
      <c r="BP70" s="65"/>
      <c r="BQ70" s="65"/>
      <c r="BR70" s="65"/>
      <c r="BS70" s="65"/>
      <c r="BT70" s="65"/>
      <c r="BU70" s="65"/>
      <c r="BV70" s="65"/>
      <c r="BW70" s="65"/>
      <c r="BX70" s="65"/>
      <c r="BY70" s="65"/>
      <c r="BZ70" s="65"/>
    </row>
    <row r="71" spans="1:78" x14ac:dyDescent="0.3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2"/>
      <c r="N71" s="62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H71" s="65"/>
      <c r="AI71" s="65"/>
      <c r="AJ71" s="65"/>
      <c r="AK71" s="65"/>
      <c r="AL71" s="65"/>
      <c r="AM71" s="65"/>
      <c r="AN71" s="65"/>
      <c r="AO71" s="65"/>
      <c r="AP71" s="65"/>
      <c r="AQ71" s="65"/>
      <c r="AR71" s="65"/>
      <c r="AS71" s="65"/>
      <c r="AT71" s="65"/>
      <c r="AU71" s="65"/>
      <c r="AV71" s="65"/>
      <c r="AW71" s="65"/>
      <c r="AX71" s="65"/>
      <c r="AY71" s="65"/>
      <c r="AZ71" s="65"/>
      <c r="BA71" s="65"/>
      <c r="BB71" s="65"/>
      <c r="BC71" s="65"/>
      <c r="BD71" s="65"/>
      <c r="BE71" s="65"/>
      <c r="BF71" s="65"/>
      <c r="BG71" s="65"/>
      <c r="BH71" s="65"/>
      <c r="BI71" s="65"/>
      <c r="BJ71" s="65"/>
      <c r="BK71" s="65"/>
      <c r="BL71" s="65"/>
      <c r="BM71" s="65"/>
      <c r="BN71" s="65"/>
      <c r="BO71" s="65"/>
      <c r="BP71" s="65"/>
      <c r="BQ71" s="65"/>
      <c r="BR71" s="65"/>
      <c r="BS71" s="65"/>
      <c r="BT71" s="65"/>
      <c r="BU71" s="65"/>
      <c r="BV71" s="65"/>
      <c r="BW71" s="65"/>
      <c r="BX71" s="65"/>
      <c r="BY71" s="65"/>
      <c r="BZ71" s="65"/>
    </row>
    <row r="72" spans="1:78" x14ac:dyDescent="0.3">
      <c r="A72" s="61"/>
      <c r="B72" s="61"/>
      <c r="C72" s="61"/>
      <c r="D72" s="61"/>
      <c r="E72" s="61"/>
      <c r="F72" s="61"/>
      <c r="G72" s="61"/>
      <c r="H72" s="61"/>
      <c r="I72" s="61"/>
      <c r="J72" s="61"/>
      <c r="K72" s="61"/>
      <c r="L72" s="61"/>
      <c r="M72" s="62"/>
      <c r="N72" s="62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H72" s="65"/>
      <c r="AI72" s="65"/>
      <c r="AJ72" s="65"/>
      <c r="AK72" s="65"/>
      <c r="AL72" s="65"/>
      <c r="AM72" s="65"/>
      <c r="AN72" s="65"/>
      <c r="AO72" s="65"/>
      <c r="AP72" s="65"/>
      <c r="AQ72" s="65"/>
      <c r="AR72" s="65"/>
      <c r="AS72" s="65"/>
      <c r="AT72" s="65"/>
      <c r="AU72" s="65"/>
      <c r="AV72" s="65"/>
      <c r="AW72" s="65"/>
      <c r="AX72" s="65"/>
      <c r="AY72" s="65"/>
      <c r="AZ72" s="65"/>
      <c r="BA72" s="65"/>
      <c r="BB72" s="65"/>
      <c r="BC72" s="65"/>
      <c r="BD72" s="65"/>
      <c r="BE72" s="65"/>
      <c r="BF72" s="65"/>
      <c r="BG72" s="65"/>
      <c r="BH72" s="65"/>
      <c r="BI72" s="65"/>
      <c r="BJ72" s="65"/>
      <c r="BK72" s="65"/>
      <c r="BL72" s="65"/>
      <c r="BM72" s="65"/>
      <c r="BN72" s="65"/>
      <c r="BO72" s="65"/>
      <c r="BP72" s="65"/>
      <c r="BQ72" s="65"/>
      <c r="BR72" s="65"/>
      <c r="BS72" s="65"/>
      <c r="BT72" s="65"/>
      <c r="BU72" s="65"/>
      <c r="BV72" s="65"/>
      <c r="BW72" s="65"/>
      <c r="BX72" s="65"/>
      <c r="BY72" s="65"/>
      <c r="BZ72" s="65"/>
    </row>
    <row r="73" spans="1:78" x14ac:dyDescent="0.3">
      <c r="A73" s="61"/>
      <c r="B73" s="61"/>
      <c r="C73" s="61"/>
      <c r="D73" s="61"/>
      <c r="E73" s="61"/>
      <c r="F73" s="61"/>
      <c r="G73" s="61"/>
      <c r="H73" s="61"/>
      <c r="I73" s="61"/>
      <c r="J73" s="61"/>
      <c r="K73" s="61"/>
      <c r="L73" s="61"/>
      <c r="M73" s="62"/>
      <c r="N73" s="62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H73" s="65"/>
      <c r="AI73" s="65"/>
      <c r="AJ73" s="65"/>
      <c r="AK73" s="65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  <c r="AW73" s="65"/>
      <c r="AX73" s="65"/>
      <c r="AY73" s="65"/>
      <c r="AZ73" s="65"/>
      <c r="BA73" s="65"/>
      <c r="BB73" s="65"/>
      <c r="BC73" s="65"/>
      <c r="BD73" s="65"/>
      <c r="BE73" s="65"/>
      <c r="BF73" s="65"/>
      <c r="BG73" s="65"/>
      <c r="BH73" s="65"/>
      <c r="BI73" s="65"/>
      <c r="BJ73" s="65"/>
      <c r="BK73" s="65"/>
      <c r="BL73" s="65"/>
      <c r="BM73" s="65"/>
      <c r="BN73" s="65"/>
      <c r="BO73" s="65"/>
      <c r="BP73" s="65"/>
      <c r="BQ73" s="65"/>
      <c r="BR73" s="65"/>
      <c r="BS73" s="65"/>
      <c r="BT73" s="65"/>
      <c r="BU73" s="65"/>
      <c r="BV73" s="65"/>
      <c r="BW73" s="65"/>
      <c r="BX73" s="65"/>
      <c r="BY73" s="65"/>
      <c r="BZ73" s="65"/>
    </row>
    <row r="74" spans="1:78" x14ac:dyDescent="0.3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2"/>
      <c r="N74" s="62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H74" s="65"/>
      <c r="AI74" s="65"/>
      <c r="AJ74" s="65"/>
      <c r="AK74" s="65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  <c r="AW74" s="65"/>
      <c r="AX74" s="65"/>
      <c r="AY74" s="65"/>
      <c r="AZ74" s="65"/>
      <c r="BA74" s="65"/>
      <c r="BB74" s="65"/>
      <c r="BC74" s="65"/>
      <c r="BD74" s="65"/>
      <c r="BE74" s="65"/>
      <c r="BF74" s="65"/>
      <c r="BG74" s="65"/>
      <c r="BH74" s="65"/>
      <c r="BI74" s="65"/>
      <c r="BJ74" s="65"/>
      <c r="BK74" s="65"/>
      <c r="BL74" s="65"/>
      <c r="BM74" s="65"/>
      <c r="BN74" s="65"/>
      <c r="BO74" s="65"/>
      <c r="BP74" s="65"/>
      <c r="BQ74" s="65"/>
      <c r="BR74" s="65"/>
      <c r="BS74" s="65"/>
      <c r="BT74" s="65"/>
      <c r="BU74" s="65"/>
      <c r="BV74" s="65"/>
      <c r="BW74" s="65"/>
      <c r="BX74" s="65"/>
      <c r="BY74" s="65"/>
      <c r="BZ74" s="65"/>
    </row>
    <row r="75" spans="1:78" x14ac:dyDescent="0.3">
      <c r="A75" s="61"/>
      <c r="B75" s="61"/>
      <c r="C75" s="61"/>
      <c r="D75" s="61"/>
      <c r="E75" s="61"/>
      <c r="F75" s="61"/>
      <c r="G75" s="61"/>
      <c r="H75" s="61"/>
      <c r="I75" s="61"/>
      <c r="J75" s="61"/>
      <c r="K75" s="61"/>
      <c r="L75" s="61"/>
      <c r="M75" s="62"/>
      <c r="N75" s="62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H75" s="65"/>
      <c r="AI75" s="65"/>
      <c r="AJ75" s="65"/>
      <c r="AK75" s="65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  <c r="AW75" s="65"/>
      <c r="AX75" s="65"/>
      <c r="AY75" s="65"/>
      <c r="AZ75" s="65"/>
      <c r="BA75" s="65"/>
      <c r="BB75" s="65"/>
      <c r="BC75" s="65"/>
      <c r="BD75" s="65"/>
      <c r="BE75" s="65"/>
      <c r="BF75" s="65"/>
      <c r="BG75" s="65"/>
      <c r="BH75" s="65"/>
      <c r="BI75" s="65"/>
      <c r="BJ75" s="65"/>
      <c r="BK75" s="65"/>
      <c r="BL75" s="65"/>
      <c r="BM75" s="65"/>
      <c r="BN75" s="65"/>
      <c r="BO75" s="65"/>
      <c r="BP75" s="65"/>
      <c r="BQ75" s="65"/>
      <c r="BR75" s="65"/>
      <c r="BS75" s="65"/>
      <c r="BT75" s="65"/>
      <c r="BU75" s="65"/>
      <c r="BV75" s="65"/>
      <c r="BW75" s="65"/>
      <c r="BX75" s="65"/>
      <c r="BY75" s="65"/>
      <c r="BZ75" s="65"/>
    </row>
    <row r="76" spans="1:78" x14ac:dyDescent="0.3">
      <c r="A76" s="61"/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2"/>
      <c r="N76" s="62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H76" s="65"/>
      <c r="AI76" s="65"/>
      <c r="AJ76" s="65"/>
      <c r="AK76" s="65"/>
      <c r="AL76" s="65"/>
      <c r="AM76" s="65"/>
      <c r="AN76" s="65"/>
      <c r="AO76" s="65"/>
      <c r="AP76" s="65"/>
      <c r="AQ76" s="65"/>
      <c r="AR76" s="65"/>
      <c r="AS76" s="65"/>
      <c r="AT76" s="65"/>
      <c r="AU76" s="65"/>
      <c r="AV76" s="65"/>
      <c r="AW76" s="65"/>
      <c r="AX76" s="65"/>
      <c r="AY76" s="65"/>
      <c r="AZ76" s="65"/>
      <c r="BA76" s="65"/>
      <c r="BB76" s="65"/>
      <c r="BC76" s="65"/>
      <c r="BD76" s="65"/>
      <c r="BE76" s="65"/>
      <c r="BF76" s="65"/>
      <c r="BG76" s="65"/>
      <c r="BH76" s="65"/>
      <c r="BI76" s="65"/>
      <c r="BJ76" s="65"/>
      <c r="BK76" s="65"/>
      <c r="BL76" s="65"/>
      <c r="BM76" s="65"/>
      <c r="BN76" s="65"/>
      <c r="BO76" s="65"/>
      <c r="BP76" s="65"/>
      <c r="BQ76" s="65"/>
      <c r="BR76" s="65"/>
      <c r="BS76" s="65"/>
      <c r="BT76" s="65"/>
      <c r="BU76" s="65"/>
      <c r="BV76" s="65"/>
      <c r="BW76" s="65"/>
      <c r="BX76" s="65"/>
      <c r="BY76" s="65"/>
      <c r="BZ76" s="65"/>
    </row>
    <row r="77" spans="1:78" x14ac:dyDescent="0.3">
      <c r="A77" s="61"/>
      <c r="B77" s="61"/>
      <c r="C77" s="61"/>
      <c r="D77" s="61"/>
      <c r="E77" s="61"/>
      <c r="F77" s="61"/>
      <c r="G77" s="61"/>
      <c r="H77" s="61"/>
      <c r="I77" s="61"/>
      <c r="J77" s="61"/>
      <c r="K77" s="61"/>
      <c r="L77" s="61"/>
      <c r="M77" s="62"/>
      <c r="N77" s="62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H77" s="65"/>
      <c r="AI77" s="65"/>
      <c r="AJ77" s="65"/>
      <c r="AK77" s="65"/>
      <c r="AL77" s="65"/>
      <c r="AM77" s="65"/>
      <c r="AN77" s="65"/>
      <c r="AO77" s="65"/>
      <c r="AP77" s="65"/>
      <c r="AQ77" s="65"/>
      <c r="AR77" s="65"/>
      <c r="AS77" s="65"/>
      <c r="AT77" s="65"/>
      <c r="AU77" s="65"/>
      <c r="AV77" s="65"/>
      <c r="AW77" s="65"/>
      <c r="AX77" s="65"/>
      <c r="AY77" s="65"/>
      <c r="AZ77" s="65"/>
      <c r="BA77" s="65"/>
      <c r="BB77" s="65"/>
      <c r="BC77" s="65"/>
      <c r="BD77" s="65"/>
      <c r="BE77" s="65"/>
      <c r="BF77" s="65"/>
      <c r="BG77" s="65"/>
      <c r="BH77" s="65"/>
      <c r="BI77" s="65"/>
      <c r="BJ77" s="65"/>
      <c r="BK77" s="65"/>
      <c r="BL77" s="65"/>
      <c r="BM77" s="65"/>
      <c r="BN77" s="65"/>
      <c r="BO77" s="65"/>
      <c r="BP77" s="65"/>
      <c r="BQ77" s="65"/>
      <c r="BR77" s="65"/>
      <c r="BS77" s="65"/>
      <c r="BT77" s="65"/>
      <c r="BU77" s="65"/>
      <c r="BV77" s="65"/>
      <c r="BW77" s="65"/>
      <c r="BX77" s="65"/>
      <c r="BY77" s="65"/>
      <c r="BZ77" s="65"/>
    </row>
    <row r="78" spans="1:78" x14ac:dyDescent="0.3">
      <c r="A78" s="61"/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2"/>
      <c r="N78" s="62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</row>
    <row r="79" spans="1:78" x14ac:dyDescent="0.3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2"/>
      <c r="N79" s="62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H79" s="65"/>
      <c r="AI79" s="65"/>
      <c r="AJ79" s="65"/>
      <c r="AK79" s="65"/>
      <c r="AL79" s="65"/>
      <c r="AM79" s="65"/>
      <c r="AN79" s="65"/>
      <c r="AO79" s="65"/>
      <c r="AP79" s="65"/>
      <c r="AQ79" s="65"/>
      <c r="AR79" s="65"/>
      <c r="AS79" s="65"/>
      <c r="AT79" s="65"/>
      <c r="AU79" s="65"/>
      <c r="AV79" s="65"/>
      <c r="AW79" s="65"/>
      <c r="AX79" s="65"/>
      <c r="AY79" s="65"/>
      <c r="AZ79" s="65"/>
      <c r="BA79" s="65"/>
      <c r="BB79" s="65"/>
      <c r="BC79" s="65"/>
      <c r="BD79" s="65"/>
      <c r="BE79" s="65"/>
      <c r="BF79" s="65"/>
      <c r="BG79" s="65"/>
      <c r="BH79" s="65"/>
      <c r="BI79" s="65"/>
      <c r="BJ79" s="65"/>
      <c r="BK79" s="65"/>
      <c r="BL79" s="65"/>
      <c r="BM79" s="65"/>
      <c r="BN79" s="65"/>
      <c r="BO79" s="65"/>
      <c r="BP79" s="65"/>
      <c r="BQ79" s="65"/>
      <c r="BR79" s="65"/>
      <c r="BS79" s="65"/>
      <c r="BT79" s="65"/>
      <c r="BU79" s="65"/>
      <c r="BV79" s="65"/>
      <c r="BW79" s="65"/>
      <c r="BX79" s="65"/>
      <c r="BY79" s="65"/>
      <c r="BZ79" s="65"/>
    </row>
    <row r="80" spans="1:78" x14ac:dyDescent="0.3">
      <c r="A80" s="61"/>
      <c r="B80" s="61"/>
      <c r="C80" s="61"/>
      <c r="D80" s="61"/>
      <c r="E80" s="61"/>
      <c r="F80" s="61"/>
      <c r="G80" s="61"/>
      <c r="H80" s="61"/>
      <c r="I80" s="61"/>
      <c r="J80" s="61"/>
      <c r="K80" s="61"/>
      <c r="L80" s="61"/>
      <c r="M80" s="62"/>
      <c r="N80" s="62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H80" s="65"/>
      <c r="AI80" s="65"/>
      <c r="AJ80" s="65"/>
      <c r="AK80" s="65"/>
      <c r="AL80" s="65"/>
      <c r="AM80" s="65"/>
      <c r="AN80" s="65"/>
      <c r="AO80" s="65"/>
      <c r="AP80" s="65"/>
      <c r="AQ80" s="65"/>
      <c r="AR80" s="65"/>
      <c r="AS80" s="65"/>
      <c r="AT80" s="65"/>
      <c r="AU80" s="65"/>
      <c r="AV80" s="65"/>
      <c r="AW80" s="65"/>
      <c r="AX80" s="65"/>
      <c r="AY80" s="65"/>
      <c r="AZ80" s="65"/>
      <c r="BA80" s="65"/>
      <c r="BB80" s="65"/>
      <c r="BC80" s="65"/>
      <c r="BD80" s="65"/>
      <c r="BE80" s="65"/>
      <c r="BF80" s="65"/>
      <c r="BG80" s="65"/>
      <c r="BH80" s="65"/>
      <c r="BI80" s="65"/>
      <c r="BJ80" s="65"/>
      <c r="BK80" s="65"/>
      <c r="BL80" s="65"/>
      <c r="BM80" s="65"/>
      <c r="BN80" s="65"/>
      <c r="BO80" s="65"/>
      <c r="BP80" s="65"/>
      <c r="BQ80" s="65"/>
      <c r="BR80" s="65"/>
      <c r="BS80" s="65"/>
      <c r="BT80" s="65"/>
      <c r="BU80" s="65"/>
      <c r="BV80" s="65"/>
      <c r="BW80" s="65"/>
      <c r="BX80" s="65"/>
      <c r="BY80" s="65"/>
      <c r="BZ80" s="65"/>
    </row>
    <row r="81" spans="1:78" x14ac:dyDescent="0.3">
      <c r="A81" s="61"/>
      <c r="B81" s="61"/>
      <c r="C81" s="61"/>
      <c r="D81" s="61"/>
      <c r="E81" s="61"/>
      <c r="F81" s="61"/>
      <c r="G81" s="61"/>
      <c r="H81" s="61"/>
      <c r="I81" s="61"/>
      <c r="J81" s="61"/>
      <c r="K81" s="61"/>
      <c r="L81" s="61"/>
      <c r="M81" s="62"/>
      <c r="N81" s="62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H81" s="65"/>
      <c r="AI81" s="65"/>
      <c r="AJ81" s="65"/>
      <c r="AK81" s="65"/>
      <c r="AL81" s="65"/>
      <c r="AM81" s="65"/>
      <c r="AN81" s="65"/>
      <c r="AO81" s="65"/>
      <c r="AP81" s="65"/>
      <c r="AQ81" s="65"/>
      <c r="AR81" s="65"/>
      <c r="AS81" s="65"/>
      <c r="AT81" s="65"/>
      <c r="AU81" s="65"/>
      <c r="AV81" s="65"/>
      <c r="AW81" s="65"/>
      <c r="AX81" s="65"/>
      <c r="AY81" s="65"/>
      <c r="AZ81" s="65"/>
      <c r="BA81" s="65"/>
      <c r="BB81" s="65"/>
      <c r="BC81" s="65"/>
      <c r="BD81" s="65"/>
      <c r="BE81" s="65"/>
      <c r="BF81" s="65"/>
      <c r="BG81" s="65"/>
      <c r="BH81" s="65"/>
      <c r="BI81" s="65"/>
      <c r="BJ81" s="65"/>
      <c r="BK81" s="65"/>
      <c r="BL81" s="65"/>
      <c r="BM81" s="65"/>
      <c r="BN81" s="65"/>
      <c r="BO81" s="65"/>
      <c r="BP81" s="65"/>
      <c r="BQ81" s="65"/>
      <c r="BR81" s="65"/>
      <c r="BS81" s="65"/>
      <c r="BT81" s="65"/>
      <c r="BU81" s="65"/>
      <c r="BV81" s="65"/>
      <c r="BW81" s="65"/>
      <c r="BX81" s="65"/>
      <c r="BY81" s="65"/>
      <c r="BZ81" s="65"/>
    </row>
    <row r="82" spans="1:78" x14ac:dyDescent="0.3">
      <c r="A82" s="61"/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2"/>
      <c r="N82" s="62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H82" s="65"/>
      <c r="AI82" s="65"/>
      <c r="AJ82" s="65"/>
      <c r="AK82" s="65"/>
      <c r="AL82" s="65"/>
      <c r="AM82" s="65"/>
      <c r="AN82" s="65"/>
      <c r="AO82" s="65"/>
      <c r="AP82" s="65"/>
      <c r="AQ82" s="65"/>
      <c r="AR82" s="65"/>
      <c r="AS82" s="65"/>
      <c r="AT82" s="65"/>
      <c r="AU82" s="65"/>
      <c r="AV82" s="65"/>
      <c r="AW82" s="65"/>
      <c r="AX82" s="65"/>
      <c r="AY82" s="65"/>
      <c r="AZ82" s="65"/>
      <c r="BA82" s="65"/>
      <c r="BB82" s="65"/>
      <c r="BC82" s="65"/>
      <c r="BD82" s="65"/>
      <c r="BE82" s="65"/>
      <c r="BF82" s="65"/>
      <c r="BG82" s="65"/>
      <c r="BH82" s="65"/>
      <c r="BI82" s="65"/>
      <c r="BJ82" s="65"/>
      <c r="BK82" s="65"/>
      <c r="BL82" s="65"/>
      <c r="BM82" s="65"/>
      <c r="BN82" s="65"/>
      <c r="BO82" s="65"/>
      <c r="BP82" s="65"/>
      <c r="BQ82" s="65"/>
      <c r="BR82" s="65"/>
      <c r="BS82" s="65"/>
      <c r="BT82" s="65"/>
      <c r="BU82" s="65"/>
      <c r="BV82" s="65"/>
      <c r="BW82" s="65"/>
      <c r="BX82" s="65"/>
      <c r="BY82" s="65"/>
      <c r="BZ82" s="65"/>
    </row>
    <row r="83" spans="1:78" x14ac:dyDescent="0.3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2"/>
      <c r="N83" s="62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H83" s="65"/>
      <c r="AI83" s="65"/>
      <c r="AJ83" s="65"/>
      <c r="AK83" s="65"/>
      <c r="AL83" s="65"/>
      <c r="AM83" s="65"/>
      <c r="AN83" s="65"/>
      <c r="AO83" s="65"/>
      <c r="AP83" s="65"/>
      <c r="AQ83" s="65"/>
      <c r="AR83" s="65"/>
      <c r="AS83" s="65"/>
      <c r="AT83" s="65"/>
      <c r="AU83" s="65"/>
      <c r="AV83" s="65"/>
      <c r="AW83" s="65"/>
      <c r="AX83" s="65"/>
      <c r="AY83" s="65"/>
      <c r="AZ83" s="65"/>
      <c r="BA83" s="65"/>
      <c r="BB83" s="65"/>
      <c r="BC83" s="65"/>
      <c r="BD83" s="65"/>
      <c r="BE83" s="65"/>
      <c r="BF83" s="65"/>
      <c r="BG83" s="65"/>
      <c r="BH83" s="65"/>
      <c r="BI83" s="65"/>
      <c r="BJ83" s="65"/>
      <c r="BK83" s="65"/>
      <c r="BL83" s="65"/>
      <c r="BM83" s="65"/>
      <c r="BN83" s="65"/>
      <c r="BO83" s="65"/>
      <c r="BP83" s="65"/>
      <c r="BQ83" s="65"/>
      <c r="BR83" s="65"/>
      <c r="BS83" s="65"/>
      <c r="BT83" s="65"/>
      <c r="BU83" s="65"/>
      <c r="BV83" s="65"/>
      <c r="BW83" s="65"/>
      <c r="BX83" s="65"/>
      <c r="BY83" s="65"/>
      <c r="BZ83" s="65"/>
    </row>
    <row r="84" spans="1:78" x14ac:dyDescent="0.3">
      <c r="A84" s="61"/>
      <c r="B84" s="61"/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2"/>
      <c r="N84" s="62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H84" s="65"/>
      <c r="AI84" s="65"/>
      <c r="AJ84" s="65"/>
      <c r="AK84" s="65"/>
      <c r="AL84" s="65"/>
      <c r="AM84" s="65"/>
      <c r="AN84" s="65"/>
      <c r="AO84" s="65"/>
      <c r="AP84" s="65"/>
      <c r="AQ84" s="65"/>
      <c r="AR84" s="65"/>
      <c r="AS84" s="65"/>
      <c r="AT84" s="65"/>
      <c r="AU84" s="65"/>
      <c r="AV84" s="65"/>
      <c r="AW84" s="65"/>
      <c r="AX84" s="65"/>
      <c r="AY84" s="65"/>
      <c r="AZ84" s="65"/>
      <c r="BA84" s="65"/>
      <c r="BB84" s="65"/>
      <c r="BC84" s="65"/>
      <c r="BD84" s="65"/>
      <c r="BE84" s="65"/>
      <c r="BF84" s="65"/>
      <c r="BG84" s="65"/>
      <c r="BH84" s="65"/>
      <c r="BI84" s="65"/>
      <c r="BJ84" s="65"/>
      <c r="BK84" s="65"/>
      <c r="BL84" s="65"/>
      <c r="BM84" s="65"/>
      <c r="BN84" s="65"/>
      <c r="BO84" s="65"/>
      <c r="BP84" s="65"/>
      <c r="BQ84" s="65"/>
      <c r="BR84" s="65"/>
      <c r="BS84" s="65"/>
      <c r="BT84" s="65"/>
      <c r="BU84" s="65"/>
      <c r="BV84" s="65"/>
      <c r="BW84" s="65"/>
      <c r="BX84" s="65"/>
      <c r="BY84" s="65"/>
      <c r="BZ84" s="65"/>
    </row>
    <row r="85" spans="1:78" x14ac:dyDescent="0.3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2"/>
      <c r="N85" s="62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H85" s="65"/>
      <c r="AI85" s="65"/>
      <c r="AJ85" s="65"/>
      <c r="AK85" s="65"/>
      <c r="AL85" s="65"/>
      <c r="AM85" s="65"/>
      <c r="AN85" s="65"/>
      <c r="AO85" s="65"/>
      <c r="AP85" s="65"/>
      <c r="AQ85" s="65"/>
      <c r="AR85" s="65"/>
      <c r="AS85" s="65"/>
      <c r="AT85" s="65"/>
      <c r="AU85" s="65"/>
      <c r="AV85" s="65"/>
      <c r="AW85" s="65"/>
      <c r="AX85" s="65"/>
      <c r="AY85" s="65"/>
      <c r="AZ85" s="65"/>
      <c r="BA85" s="65"/>
      <c r="BB85" s="65"/>
      <c r="BC85" s="65"/>
      <c r="BD85" s="65"/>
      <c r="BE85" s="65"/>
      <c r="BF85" s="65"/>
      <c r="BG85" s="65"/>
      <c r="BH85" s="65"/>
      <c r="BI85" s="65"/>
      <c r="BJ85" s="65"/>
      <c r="BK85" s="65"/>
      <c r="BL85" s="65"/>
      <c r="BM85" s="65"/>
      <c r="BN85" s="65"/>
      <c r="BO85" s="65"/>
      <c r="BP85" s="65"/>
      <c r="BQ85" s="65"/>
      <c r="BR85" s="65"/>
      <c r="BS85" s="65"/>
      <c r="BT85" s="65"/>
      <c r="BU85" s="65"/>
      <c r="BV85" s="65"/>
      <c r="BW85" s="65"/>
      <c r="BX85" s="65"/>
      <c r="BY85" s="65"/>
      <c r="BZ85" s="65"/>
    </row>
    <row r="86" spans="1:78" x14ac:dyDescent="0.3">
      <c r="A86" s="61"/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2"/>
      <c r="N86" s="62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H86" s="65"/>
      <c r="AI86" s="65"/>
      <c r="AJ86" s="65"/>
      <c r="AK86" s="65"/>
      <c r="AL86" s="65"/>
      <c r="AM86" s="65"/>
      <c r="AN86" s="65"/>
      <c r="AO86" s="65"/>
      <c r="AP86" s="65"/>
      <c r="AQ86" s="65"/>
      <c r="AR86" s="65"/>
      <c r="AS86" s="65"/>
      <c r="AT86" s="65"/>
      <c r="AU86" s="65"/>
      <c r="AV86" s="65"/>
      <c r="AW86" s="65"/>
      <c r="AX86" s="65"/>
      <c r="AY86" s="65"/>
      <c r="AZ86" s="65"/>
      <c r="BA86" s="65"/>
      <c r="BB86" s="65"/>
      <c r="BC86" s="65"/>
      <c r="BD86" s="65"/>
      <c r="BE86" s="65"/>
      <c r="BF86" s="65"/>
      <c r="BG86" s="65"/>
      <c r="BH86" s="65"/>
      <c r="BI86" s="65"/>
      <c r="BJ86" s="65"/>
      <c r="BK86" s="65"/>
      <c r="BL86" s="65"/>
      <c r="BM86" s="65"/>
      <c r="BN86" s="65"/>
      <c r="BO86" s="65"/>
      <c r="BP86" s="65"/>
      <c r="BQ86" s="65"/>
      <c r="BR86" s="65"/>
      <c r="BS86" s="65"/>
      <c r="BT86" s="65"/>
      <c r="BU86" s="65"/>
      <c r="BV86" s="65"/>
      <c r="BW86" s="65"/>
      <c r="BX86" s="65"/>
      <c r="BY86" s="65"/>
      <c r="BZ86" s="65"/>
    </row>
    <row r="87" spans="1:78" x14ac:dyDescent="0.3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2"/>
      <c r="N87" s="62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H87" s="65"/>
      <c r="AI87" s="65"/>
      <c r="AJ87" s="65"/>
      <c r="AK87" s="65"/>
      <c r="AL87" s="65"/>
      <c r="AM87" s="65"/>
      <c r="AN87" s="65"/>
      <c r="AO87" s="65"/>
      <c r="AP87" s="65"/>
      <c r="AQ87" s="65"/>
      <c r="AR87" s="65"/>
      <c r="AS87" s="65"/>
      <c r="AT87" s="65"/>
      <c r="AU87" s="65"/>
      <c r="AV87" s="65"/>
      <c r="AW87" s="65"/>
      <c r="AX87" s="65"/>
      <c r="AY87" s="65"/>
      <c r="AZ87" s="65"/>
      <c r="BA87" s="65"/>
      <c r="BB87" s="65"/>
      <c r="BC87" s="65"/>
      <c r="BD87" s="65"/>
      <c r="BE87" s="65"/>
      <c r="BF87" s="65"/>
      <c r="BG87" s="65"/>
      <c r="BH87" s="65"/>
      <c r="BI87" s="65"/>
      <c r="BJ87" s="65"/>
      <c r="BK87" s="65"/>
      <c r="BL87" s="65"/>
      <c r="BM87" s="65"/>
      <c r="BN87" s="65"/>
      <c r="BO87" s="65"/>
      <c r="BP87" s="65"/>
      <c r="BQ87" s="65"/>
      <c r="BR87" s="65"/>
      <c r="BS87" s="65"/>
      <c r="BT87" s="65"/>
      <c r="BU87" s="65"/>
      <c r="BV87" s="65"/>
      <c r="BW87" s="65"/>
      <c r="BX87" s="65"/>
      <c r="BY87" s="65"/>
      <c r="BZ87" s="65"/>
    </row>
    <row r="88" spans="1:78" x14ac:dyDescent="0.3">
      <c r="A88" s="61"/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2"/>
      <c r="N88" s="62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H88" s="65"/>
      <c r="AI88" s="65"/>
      <c r="AJ88" s="65"/>
      <c r="AK88" s="65"/>
      <c r="AL88" s="65"/>
      <c r="AM88" s="65"/>
      <c r="AN88" s="65"/>
      <c r="AO88" s="65"/>
      <c r="AP88" s="65"/>
      <c r="AQ88" s="65"/>
      <c r="AR88" s="65"/>
      <c r="AS88" s="65"/>
      <c r="AT88" s="65"/>
      <c r="AU88" s="65"/>
      <c r="AV88" s="65"/>
      <c r="AW88" s="65"/>
      <c r="AX88" s="65"/>
      <c r="AY88" s="65"/>
      <c r="AZ88" s="65"/>
      <c r="BA88" s="65"/>
      <c r="BB88" s="65"/>
      <c r="BC88" s="65"/>
      <c r="BD88" s="65"/>
      <c r="BE88" s="65"/>
      <c r="BF88" s="65"/>
      <c r="BG88" s="65"/>
      <c r="BH88" s="65"/>
      <c r="BI88" s="65"/>
      <c r="BJ88" s="65"/>
      <c r="BK88" s="65"/>
      <c r="BL88" s="65"/>
      <c r="BM88" s="65"/>
      <c r="BN88" s="65"/>
      <c r="BO88" s="65"/>
      <c r="BP88" s="65"/>
      <c r="BQ88" s="65"/>
      <c r="BR88" s="65"/>
      <c r="BS88" s="65"/>
      <c r="BT88" s="65"/>
      <c r="BU88" s="65"/>
      <c r="BV88" s="65"/>
      <c r="BW88" s="65"/>
      <c r="BX88" s="65"/>
      <c r="BY88" s="65"/>
      <c r="BZ88" s="65"/>
    </row>
    <row r="89" spans="1:78" x14ac:dyDescent="0.3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2"/>
      <c r="N89" s="62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H89" s="65"/>
      <c r="AI89" s="65"/>
      <c r="AJ89" s="65"/>
      <c r="AK89" s="65"/>
      <c r="AL89" s="65"/>
      <c r="AM89" s="65"/>
      <c r="AN89" s="65"/>
      <c r="AO89" s="65"/>
      <c r="AP89" s="65"/>
      <c r="AQ89" s="65"/>
      <c r="AR89" s="65"/>
      <c r="AS89" s="65"/>
      <c r="AT89" s="65"/>
      <c r="AU89" s="65"/>
      <c r="AV89" s="65"/>
      <c r="AW89" s="65"/>
      <c r="AX89" s="65"/>
      <c r="AY89" s="65"/>
      <c r="AZ89" s="65"/>
      <c r="BA89" s="65"/>
      <c r="BB89" s="65"/>
      <c r="BC89" s="65"/>
      <c r="BD89" s="65"/>
      <c r="BE89" s="65"/>
      <c r="BF89" s="65"/>
      <c r="BG89" s="65"/>
      <c r="BH89" s="65"/>
      <c r="BI89" s="65"/>
      <c r="BJ89" s="65"/>
      <c r="BK89" s="65"/>
      <c r="BL89" s="65"/>
      <c r="BM89" s="65"/>
      <c r="BN89" s="65"/>
      <c r="BO89" s="65"/>
      <c r="BP89" s="65"/>
      <c r="BQ89" s="65"/>
      <c r="BR89" s="65"/>
      <c r="BS89" s="65"/>
      <c r="BT89" s="65"/>
      <c r="BU89" s="65"/>
      <c r="BV89" s="65"/>
      <c r="BW89" s="65"/>
      <c r="BX89" s="65"/>
      <c r="BY89" s="65"/>
      <c r="BZ89" s="65"/>
    </row>
    <row r="90" spans="1:78" x14ac:dyDescent="0.3">
      <c r="A90" s="61"/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2"/>
      <c r="N90" s="62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H90" s="65"/>
      <c r="AI90" s="65"/>
      <c r="AJ90" s="65"/>
      <c r="AK90" s="65"/>
      <c r="AL90" s="65"/>
      <c r="AM90" s="65"/>
      <c r="AN90" s="65"/>
      <c r="AO90" s="65"/>
      <c r="AP90" s="65"/>
      <c r="AQ90" s="65"/>
      <c r="AR90" s="65"/>
      <c r="AS90" s="65"/>
      <c r="AT90" s="65"/>
      <c r="AU90" s="65"/>
      <c r="AV90" s="65"/>
      <c r="AW90" s="65"/>
      <c r="AX90" s="65"/>
      <c r="AY90" s="65"/>
      <c r="AZ90" s="65"/>
      <c r="BA90" s="65"/>
      <c r="BB90" s="65"/>
      <c r="BC90" s="65"/>
      <c r="BD90" s="65"/>
      <c r="BE90" s="65"/>
      <c r="BF90" s="65"/>
      <c r="BG90" s="65"/>
      <c r="BH90" s="65"/>
      <c r="BI90" s="65"/>
      <c r="BJ90" s="65"/>
      <c r="BK90" s="65"/>
      <c r="BL90" s="65"/>
      <c r="BM90" s="65"/>
      <c r="BN90" s="65"/>
      <c r="BO90" s="65"/>
      <c r="BP90" s="65"/>
      <c r="BQ90" s="65"/>
      <c r="BR90" s="65"/>
      <c r="BS90" s="65"/>
      <c r="BT90" s="65"/>
      <c r="BU90" s="65"/>
      <c r="BV90" s="65"/>
      <c r="BW90" s="65"/>
      <c r="BX90" s="65"/>
      <c r="BY90" s="65"/>
      <c r="BZ90" s="65"/>
    </row>
    <row r="91" spans="1:78" x14ac:dyDescent="0.3">
      <c r="A91" s="6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2"/>
      <c r="N91" s="62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H91" s="65"/>
      <c r="AI91" s="65"/>
      <c r="AJ91" s="65"/>
      <c r="AK91" s="65"/>
      <c r="AL91" s="65"/>
      <c r="AM91" s="65"/>
      <c r="AN91" s="65"/>
      <c r="AO91" s="65"/>
      <c r="AP91" s="65"/>
      <c r="AQ91" s="65"/>
      <c r="AR91" s="65"/>
      <c r="AS91" s="65"/>
      <c r="AT91" s="65"/>
      <c r="AU91" s="65"/>
      <c r="AV91" s="65"/>
      <c r="AW91" s="65"/>
      <c r="AX91" s="65"/>
      <c r="AY91" s="65"/>
      <c r="AZ91" s="65"/>
      <c r="BA91" s="65"/>
      <c r="BB91" s="65"/>
      <c r="BC91" s="65"/>
      <c r="BD91" s="65"/>
      <c r="BE91" s="65"/>
      <c r="BF91" s="65"/>
      <c r="BG91" s="65"/>
      <c r="BH91" s="65"/>
      <c r="BI91" s="65"/>
      <c r="BJ91" s="65"/>
      <c r="BK91" s="65"/>
      <c r="BL91" s="65"/>
      <c r="BM91" s="65"/>
      <c r="BN91" s="65"/>
      <c r="BO91" s="65"/>
      <c r="BP91" s="65"/>
      <c r="BQ91" s="65"/>
      <c r="BR91" s="65"/>
      <c r="BS91" s="65"/>
      <c r="BT91" s="65"/>
      <c r="BU91" s="65"/>
      <c r="BV91" s="65"/>
      <c r="BW91" s="65"/>
      <c r="BX91" s="65"/>
      <c r="BY91" s="65"/>
      <c r="BZ91" s="65"/>
    </row>
    <row r="92" spans="1:78" x14ac:dyDescent="0.3">
      <c r="A92" s="61"/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2"/>
      <c r="N92" s="62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  <c r="AL92" s="66"/>
      <c r="AM92" s="66"/>
      <c r="AN92" s="66"/>
      <c r="AO92" s="66"/>
      <c r="AP92" s="66"/>
      <c r="AQ92" s="66"/>
      <c r="AR92" s="66"/>
      <c r="AS92" s="66"/>
      <c r="AT92" s="66"/>
      <c r="AU92" s="66"/>
      <c r="AV92" s="66"/>
      <c r="AW92" s="66"/>
      <c r="AX92" s="66"/>
      <c r="AY92" s="66"/>
      <c r="AZ92" s="66"/>
      <c r="BA92" s="66"/>
      <c r="BB92" s="66"/>
      <c r="BC92" s="66"/>
      <c r="BD92" s="66"/>
      <c r="BE92" s="66"/>
      <c r="BF92" s="66"/>
      <c r="BG92" s="66"/>
      <c r="BH92" s="66"/>
      <c r="BI92" s="66"/>
      <c r="BJ92" s="66"/>
      <c r="BK92" s="66"/>
      <c r="BL92" s="66"/>
      <c r="BM92" s="66"/>
      <c r="BN92" s="66"/>
      <c r="BO92" s="66"/>
      <c r="BP92" s="66"/>
      <c r="BQ92" s="66"/>
      <c r="BR92" s="66"/>
      <c r="BS92" s="66"/>
      <c r="BT92" s="66"/>
      <c r="BU92" s="66"/>
      <c r="BV92" s="66"/>
      <c r="BW92" s="66"/>
      <c r="BX92" s="66"/>
      <c r="BY92" s="66"/>
      <c r="BZ92" s="66"/>
    </row>
    <row r="93" spans="1:78" x14ac:dyDescent="0.3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2"/>
      <c r="N93" s="62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H93" s="65"/>
      <c r="AI93" s="65"/>
      <c r="AJ93" s="65"/>
      <c r="AK93" s="65"/>
      <c r="AL93" s="65"/>
      <c r="AM93" s="65"/>
      <c r="AN93" s="65"/>
      <c r="AO93" s="65"/>
      <c r="AP93" s="65"/>
      <c r="AQ93" s="65"/>
      <c r="AR93" s="65"/>
      <c r="AS93" s="65"/>
      <c r="AT93" s="65"/>
      <c r="AU93" s="65"/>
      <c r="AV93" s="65"/>
      <c r="AW93" s="65"/>
      <c r="AX93" s="65"/>
      <c r="AY93" s="65"/>
      <c r="AZ93" s="65"/>
      <c r="BA93" s="65"/>
      <c r="BB93" s="65"/>
      <c r="BC93" s="65"/>
      <c r="BD93" s="65"/>
      <c r="BE93" s="65"/>
      <c r="BF93" s="65"/>
      <c r="BG93" s="65"/>
      <c r="BH93" s="65"/>
      <c r="BI93" s="65"/>
      <c r="BJ93" s="65"/>
      <c r="BK93" s="65"/>
      <c r="BL93" s="65"/>
      <c r="BM93" s="65"/>
      <c r="BN93" s="65"/>
      <c r="BO93" s="65"/>
      <c r="BP93" s="65"/>
      <c r="BQ93" s="65"/>
      <c r="BR93" s="65"/>
      <c r="BS93" s="65"/>
      <c r="BT93" s="65"/>
      <c r="BU93" s="65"/>
      <c r="BV93" s="65"/>
      <c r="BW93" s="65"/>
      <c r="BX93" s="65"/>
      <c r="BY93" s="65"/>
      <c r="BZ93" s="65"/>
    </row>
    <row r="94" spans="1:78" x14ac:dyDescent="0.3">
      <c r="A94" s="61"/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61"/>
      <c r="M94" s="62"/>
      <c r="N94" s="62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H94" s="65"/>
      <c r="AI94" s="65"/>
      <c r="AJ94" s="65"/>
      <c r="AK94" s="65"/>
      <c r="AL94" s="65"/>
      <c r="AM94" s="65"/>
      <c r="AN94" s="65"/>
      <c r="AO94" s="65"/>
      <c r="AP94" s="65"/>
      <c r="AQ94" s="65"/>
      <c r="AR94" s="65"/>
      <c r="AS94" s="65"/>
      <c r="AT94" s="65"/>
      <c r="AU94" s="65"/>
      <c r="AV94" s="65"/>
      <c r="AW94" s="65"/>
      <c r="AX94" s="65"/>
      <c r="AY94" s="65"/>
      <c r="AZ94" s="65"/>
      <c r="BA94" s="65"/>
      <c r="BB94" s="65"/>
      <c r="BC94" s="65"/>
      <c r="BD94" s="65"/>
      <c r="BE94" s="65"/>
      <c r="BF94" s="65"/>
      <c r="BG94" s="65"/>
      <c r="BH94" s="65"/>
      <c r="BI94" s="65"/>
      <c r="BJ94" s="65"/>
      <c r="BK94" s="65"/>
      <c r="BL94" s="65"/>
      <c r="BM94" s="65"/>
      <c r="BN94" s="65"/>
      <c r="BO94" s="65"/>
      <c r="BP94" s="65"/>
      <c r="BQ94" s="65"/>
      <c r="BR94" s="65"/>
      <c r="BS94" s="65"/>
      <c r="BT94" s="65"/>
      <c r="BU94" s="65"/>
      <c r="BV94" s="65"/>
      <c r="BW94" s="65"/>
      <c r="BX94" s="65"/>
      <c r="BY94" s="65"/>
      <c r="BZ94" s="65"/>
    </row>
    <row r="95" spans="1:78" x14ac:dyDescent="0.3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2"/>
      <c r="N95" s="62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H95" s="65"/>
      <c r="AI95" s="65"/>
      <c r="AJ95" s="65"/>
      <c r="AK95" s="65"/>
      <c r="AL95" s="65"/>
      <c r="AM95" s="65"/>
      <c r="AN95" s="65"/>
      <c r="AO95" s="65"/>
      <c r="AP95" s="65"/>
      <c r="AQ95" s="65"/>
      <c r="AR95" s="65"/>
      <c r="AS95" s="65"/>
      <c r="AT95" s="65"/>
      <c r="AU95" s="65"/>
      <c r="AV95" s="65"/>
      <c r="AW95" s="65"/>
      <c r="AX95" s="65"/>
      <c r="AY95" s="65"/>
      <c r="AZ95" s="65"/>
      <c r="BA95" s="65"/>
      <c r="BB95" s="65"/>
      <c r="BC95" s="65"/>
      <c r="BD95" s="65"/>
      <c r="BE95" s="65"/>
      <c r="BF95" s="65"/>
      <c r="BG95" s="65"/>
      <c r="BH95" s="65"/>
      <c r="BI95" s="65"/>
      <c r="BJ95" s="65"/>
      <c r="BK95" s="65"/>
      <c r="BL95" s="65"/>
      <c r="BM95" s="65"/>
      <c r="BN95" s="65"/>
      <c r="BO95" s="65"/>
      <c r="BP95" s="65"/>
      <c r="BQ95" s="65"/>
      <c r="BR95" s="65"/>
      <c r="BS95" s="65"/>
      <c r="BT95" s="65"/>
      <c r="BU95" s="65"/>
      <c r="BV95" s="65"/>
      <c r="BW95" s="65"/>
      <c r="BX95" s="65"/>
      <c r="BY95" s="65"/>
      <c r="BZ95" s="65"/>
    </row>
    <row r="96" spans="1:78" x14ac:dyDescent="0.3">
      <c r="A96" s="61"/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2"/>
      <c r="N96" s="62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H96" s="65"/>
      <c r="AI96" s="65"/>
      <c r="AJ96" s="65"/>
      <c r="AK96" s="65"/>
      <c r="AL96" s="65"/>
      <c r="AM96" s="65"/>
      <c r="AN96" s="65"/>
      <c r="AO96" s="65"/>
      <c r="AP96" s="65"/>
      <c r="AQ96" s="65"/>
      <c r="AR96" s="65"/>
      <c r="AS96" s="65"/>
      <c r="AT96" s="65"/>
      <c r="AU96" s="65"/>
      <c r="AV96" s="65"/>
      <c r="AW96" s="65"/>
      <c r="AX96" s="65"/>
      <c r="AY96" s="65"/>
      <c r="AZ96" s="65"/>
      <c r="BA96" s="65"/>
      <c r="BB96" s="65"/>
      <c r="BC96" s="65"/>
      <c r="BD96" s="65"/>
      <c r="BE96" s="65"/>
      <c r="BF96" s="65"/>
      <c r="BG96" s="65"/>
      <c r="BH96" s="65"/>
      <c r="BI96" s="65"/>
      <c r="BJ96" s="65"/>
      <c r="BK96" s="65"/>
      <c r="BL96" s="65"/>
      <c r="BM96" s="65"/>
      <c r="BN96" s="65"/>
      <c r="BO96" s="65"/>
      <c r="BP96" s="65"/>
      <c r="BQ96" s="65"/>
      <c r="BR96" s="65"/>
      <c r="BS96" s="65"/>
      <c r="BT96" s="65"/>
      <c r="BU96" s="65"/>
      <c r="BV96" s="65"/>
      <c r="BW96" s="65"/>
      <c r="BX96" s="65"/>
      <c r="BY96" s="65"/>
      <c r="BZ96" s="65"/>
    </row>
    <row r="97" spans="1:78" x14ac:dyDescent="0.3">
      <c r="A97" s="6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2"/>
      <c r="N97" s="62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H97" s="65"/>
      <c r="AI97" s="65"/>
      <c r="AJ97" s="65"/>
      <c r="AK97" s="65"/>
      <c r="AL97" s="65"/>
      <c r="AM97" s="65"/>
      <c r="AN97" s="65"/>
      <c r="AO97" s="65"/>
      <c r="AP97" s="65"/>
      <c r="AQ97" s="65"/>
      <c r="AR97" s="65"/>
      <c r="AS97" s="65"/>
      <c r="AT97" s="65"/>
      <c r="AU97" s="65"/>
      <c r="AV97" s="65"/>
      <c r="AW97" s="65"/>
      <c r="AX97" s="65"/>
      <c r="AY97" s="65"/>
      <c r="AZ97" s="65"/>
      <c r="BA97" s="65"/>
      <c r="BB97" s="65"/>
      <c r="BC97" s="65"/>
      <c r="BD97" s="65"/>
      <c r="BE97" s="65"/>
      <c r="BF97" s="65"/>
      <c r="BG97" s="65"/>
      <c r="BH97" s="65"/>
      <c r="BI97" s="65"/>
      <c r="BJ97" s="65"/>
      <c r="BK97" s="65"/>
      <c r="BL97" s="65"/>
      <c r="BM97" s="65"/>
      <c r="BN97" s="65"/>
      <c r="BO97" s="65"/>
      <c r="BP97" s="65"/>
      <c r="BQ97" s="65"/>
      <c r="BR97" s="65"/>
      <c r="BS97" s="65"/>
      <c r="BT97" s="65"/>
      <c r="BU97" s="65"/>
      <c r="BV97" s="65"/>
      <c r="BW97" s="65"/>
      <c r="BX97" s="65"/>
      <c r="BY97" s="65"/>
      <c r="BZ97" s="65"/>
    </row>
    <row r="98" spans="1:78" x14ac:dyDescent="0.3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2"/>
      <c r="N98" s="62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AH98" s="66"/>
      <c r="AI98" s="66"/>
      <c r="AJ98" s="66"/>
      <c r="AK98" s="66"/>
      <c r="AL98" s="66"/>
      <c r="AM98" s="66"/>
      <c r="AN98" s="66"/>
      <c r="AO98" s="66"/>
      <c r="AP98" s="66"/>
      <c r="AQ98" s="66"/>
      <c r="AR98" s="66"/>
      <c r="AS98" s="66"/>
      <c r="AT98" s="66"/>
      <c r="AU98" s="66"/>
      <c r="AV98" s="66"/>
      <c r="AW98" s="66"/>
      <c r="AX98" s="66"/>
      <c r="AY98" s="66"/>
      <c r="AZ98" s="66"/>
      <c r="BA98" s="66"/>
      <c r="BB98" s="66"/>
      <c r="BC98" s="66"/>
      <c r="BD98" s="66"/>
      <c r="BE98" s="66"/>
      <c r="BF98" s="66"/>
      <c r="BG98" s="66"/>
      <c r="BH98" s="66"/>
      <c r="BI98" s="66"/>
      <c r="BJ98" s="66"/>
      <c r="BK98" s="66"/>
      <c r="BL98" s="66"/>
      <c r="BM98" s="66"/>
      <c r="BN98" s="66"/>
      <c r="BO98" s="66"/>
      <c r="BP98" s="66"/>
      <c r="BQ98" s="66"/>
      <c r="BR98" s="66"/>
      <c r="BS98" s="66"/>
      <c r="BT98" s="66"/>
      <c r="BU98" s="66"/>
      <c r="BV98" s="66"/>
      <c r="BW98" s="66"/>
      <c r="BX98" s="66"/>
      <c r="BY98" s="66"/>
      <c r="BZ98" s="66"/>
    </row>
    <row r="99" spans="1:78" x14ac:dyDescent="0.3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2"/>
      <c r="N99" s="62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H99" s="65"/>
      <c r="AI99" s="65"/>
      <c r="AJ99" s="65"/>
      <c r="AK99" s="65"/>
      <c r="AL99" s="65"/>
      <c r="AM99" s="65"/>
      <c r="AN99" s="65"/>
      <c r="AO99" s="65"/>
      <c r="AP99" s="65"/>
      <c r="AQ99" s="65"/>
      <c r="AR99" s="65"/>
      <c r="AS99" s="65"/>
      <c r="AT99" s="65"/>
      <c r="AU99" s="65"/>
      <c r="AV99" s="65"/>
      <c r="AW99" s="65"/>
      <c r="AX99" s="65"/>
      <c r="AY99" s="65"/>
      <c r="AZ99" s="65"/>
      <c r="BA99" s="65"/>
      <c r="BB99" s="65"/>
      <c r="BC99" s="65"/>
      <c r="BD99" s="65"/>
      <c r="BE99" s="65"/>
      <c r="BF99" s="65"/>
      <c r="BG99" s="65"/>
      <c r="BH99" s="65"/>
      <c r="BI99" s="65"/>
      <c r="BJ99" s="65"/>
      <c r="BK99" s="65"/>
      <c r="BL99" s="65"/>
      <c r="BM99" s="65"/>
      <c r="BN99" s="65"/>
      <c r="BO99" s="65"/>
      <c r="BP99" s="65"/>
      <c r="BQ99" s="65"/>
      <c r="BR99" s="65"/>
      <c r="BS99" s="65"/>
      <c r="BT99" s="65"/>
      <c r="BU99" s="65"/>
      <c r="BV99" s="65"/>
      <c r="BW99" s="65"/>
      <c r="BX99" s="65"/>
      <c r="BY99" s="65"/>
      <c r="BZ99" s="65"/>
    </row>
    <row r="100" spans="1:78" x14ac:dyDescent="0.3"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H100" s="65"/>
      <c r="AI100" s="65"/>
      <c r="AJ100" s="65"/>
      <c r="AK100" s="65"/>
      <c r="AL100" s="65"/>
      <c r="AM100" s="65"/>
      <c r="AN100" s="65"/>
      <c r="AO100" s="65"/>
      <c r="AP100" s="65"/>
      <c r="AQ100" s="65"/>
      <c r="AR100" s="65"/>
      <c r="AS100" s="65"/>
      <c r="AT100" s="65"/>
      <c r="AU100" s="65"/>
      <c r="AV100" s="65"/>
      <c r="AW100" s="65"/>
      <c r="AX100" s="65"/>
      <c r="AY100" s="65"/>
      <c r="AZ100" s="65"/>
      <c r="BA100" s="65"/>
      <c r="BB100" s="65"/>
      <c r="BC100" s="65"/>
      <c r="BD100" s="65"/>
      <c r="BE100" s="65"/>
      <c r="BF100" s="65"/>
      <c r="BG100" s="65"/>
      <c r="BH100" s="65"/>
      <c r="BI100" s="65"/>
      <c r="BJ100" s="65"/>
      <c r="BK100" s="65"/>
      <c r="BL100" s="65"/>
      <c r="BM100" s="65"/>
      <c r="BN100" s="65"/>
      <c r="BO100" s="65"/>
      <c r="BP100" s="65"/>
      <c r="BQ100" s="65"/>
      <c r="BR100" s="65"/>
      <c r="BS100" s="65"/>
      <c r="BT100" s="65"/>
      <c r="BU100" s="65"/>
      <c r="BV100" s="65"/>
      <c r="BW100" s="65"/>
      <c r="BX100" s="65"/>
      <c r="BY100" s="65"/>
      <c r="BZ100" s="65"/>
    </row>
    <row r="101" spans="1:78" x14ac:dyDescent="0.3"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H101" s="65"/>
      <c r="AI101" s="65"/>
      <c r="AJ101" s="65"/>
      <c r="AK101" s="65"/>
      <c r="AL101" s="65"/>
      <c r="AM101" s="65"/>
      <c r="AN101" s="65"/>
      <c r="AO101" s="65"/>
      <c r="AP101" s="65"/>
      <c r="AQ101" s="65"/>
      <c r="AR101" s="65"/>
      <c r="AS101" s="65"/>
      <c r="AT101" s="65"/>
      <c r="AU101" s="65"/>
      <c r="AV101" s="65"/>
      <c r="AW101" s="65"/>
      <c r="AX101" s="65"/>
      <c r="AY101" s="65"/>
      <c r="AZ101" s="65"/>
      <c r="BA101" s="65"/>
      <c r="BB101" s="65"/>
      <c r="BC101" s="65"/>
      <c r="BD101" s="65"/>
      <c r="BE101" s="65"/>
      <c r="BF101" s="65"/>
      <c r="BG101" s="65"/>
      <c r="BH101" s="65"/>
      <c r="BI101" s="65"/>
      <c r="BJ101" s="65"/>
      <c r="BK101" s="65"/>
      <c r="BL101" s="65"/>
      <c r="BM101" s="65"/>
      <c r="BN101" s="65"/>
      <c r="BO101" s="65"/>
      <c r="BP101" s="65"/>
      <c r="BQ101" s="65"/>
      <c r="BR101" s="65"/>
      <c r="BS101" s="65"/>
      <c r="BT101" s="65"/>
      <c r="BU101" s="65"/>
      <c r="BV101" s="65"/>
      <c r="BW101" s="65"/>
      <c r="BX101" s="65"/>
      <c r="BY101" s="65"/>
      <c r="BZ101" s="6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7EB46-E800-4161-9BDD-6B0BC24553D5}">
  <sheetPr codeName="Sheet10"/>
  <dimension ref="A1:M2"/>
  <sheetViews>
    <sheetView workbookViewId="0">
      <selection activeCell="E14" sqref="E14"/>
    </sheetView>
  </sheetViews>
  <sheetFormatPr defaultRowHeight="14.4" x14ac:dyDescent="0.3"/>
  <cols>
    <col min="1" max="1" width="14.33203125" bestFit="1" customWidth="1"/>
    <col min="2" max="2" width="13" bestFit="1" customWidth="1"/>
    <col min="3" max="3" width="6.109375" bestFit="1" customWidth="1"/>
    <col min="4" max="4" width="9.6640625" bestFit="1" customWidth="1"/>
    <col min="5" max="5" width="7.88671875" bestFit="1" customWidth="1"/>
    <col min="6" max="7" width="6.88671875" bestFit="1" customWidth="1"/>
    <col min="8" max="8" width="8.77734375" bestFit="1" customWidth="1"/>
    <col min="9" max="9" width="8" bestFit="1" customWidth="1"/>
    <col min="10" max="10" width="7.21875" bestFit="1" customWidth="1"/>
    <col min="11" max="11" width="10.88671875" bestFit="1" customWidth="1"/>
    <col min="12" max="12" width="7.109375" bestFit="1" customWidth="1"/>
    <col min="13" max="13" width="9" bestFit="1" customWidth="1"/>
  </cols>
  <sheetData>
    <row r="1" spans="1:13" x14ac:dyDescent="0.3">
      <c r="A1" t="s">
        <v>132</v>
      </c>
      <c r="B1" t="s">
        <v>133</v>
      </c>
      <c r="C1" t="s">
        <v>84</v>
      </c>
      <c r="D1" t="s">
        <v>134</v>
      </c>
      <c r="E1" t="s">
        <v>87</v>
      </c>
      <c r="F1" t="s">
        <v>53</v>
      </c>
      <c r="G1" t="s">
        <v>88</v>
      </c>
      <c r="H1" t="s">
        <v>135</v>
      </c>
      <c r="I1" t="s">
        <v>136</v>
      </c>
      <c r="J1" t="s">
        <v>122</v>
      </c>
      <c r="K1" t="s">
        <v>91</v>
      </c>
      <c r="L1" t="s">
        <v>25</v>
      </c>
      <c r="M1" t="s">
        <v>137</v>
      </c>
    </row>
    <row r="2" spans="1:13" x14ac:dyDescent="0.3">
      <c r="A2" s="1"/>
      <c r="B2" s="1"/>
      <c r="D2" s="1"/>
      <c r="E2" s="1"/>
      <c r="F2" s="1"/>
      <c r="G2" s="1"/>
      <c r="H2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3B695-6C4C-4BB5-91C3-356B4C80C680}">
  <sheetPr codeName="Sheet6"/>
  <dimension ref="A1:BZ3"/>
  <sheetViews>
    <sheetView workbookViewId="0">
      <selection activeCell="A2" sqref="A2:XFD2"/>
    </sheetView>
  </sheetViews>
  <sheetFormatPr defaultRowHeight="14.4" x14ac:dyDescent="0.3"/>
  <cols>
    <col min="1" max="1" width="13.33203125" customWidth="1"/>
    <col min="2" max="2" width="12.109375" customWidth="1"/>
    <col min="4" max="4" width="9.33203125" customWidth="1"/>
    <col min="11" max="11" width="9.6640625" customWidth="1"/>
  </cols>
  <sheetData>
    <row r="1" spans="1:78" ht="15" thickBot="1" x14ac:dyDescent="0.35">
      <c r="A1" s="33" t="s">
        <v>132</v>
      </c>
      <c r="B1" s="33" t="s">
        <v>133</v>
      </c>
      <c r="C1" s="33" t="s">
        <v>84</v>
      </c>
      <c r="D1" s="33" t="s">
        <v>134</v>
      </c>
      <c r="E1" s="33" t="s">
        <v>87</v>
      </c>
      <c r="F1" s="33" t="s">
        <v>53</v>
      </c>
      <c r="G1" s="33" t="s">
        <v>88</v>
      </c>
      <c r="H1" s="33" t="s">
        <v>135</v>
      </c>
      <c r="I1" s="33" t="s">
        <v>136</v>
      </c>
      <c r="J1" s="33" t="s">
        <v>122</v>
      </c>
      <c r="K1" s="33" t="s">
        <v>91</v>
      </c>
      <c r="L1" s="33" t="s">
        <v>25</v>
      </c>
      <c r="M1" s="33" t="s">
        <v>137</v>
      </c>
    </row>
    <row r="2" spans="1:78" ht="15.6" thickTop="1" thickBot="1" x14ac:dyDescent="0.35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3"/>
      <c r="AH2" s="3"/>
      <c r="AT2" s="3"/>
      <c r="BB2" s="3"/>
      <c r="BD2" s="3"/>
      <c r="BJ2" s="3"/>
      <c r="BN2" s="3"/>
      <c r="BU2" s="3"/>
      <c r="BX2" s="60"/>
      <c r="BY2" s="60"/>
      <c r="BZ2" s="60"/>
    </row>
    <row r="3" spans="1:78" ht="15" thickTop="1" x14ac:dyDescent="0.3"/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B2323-A7AE-4BAD-918E-316B633E82D5}">
  <sheetPr codeName="Sheet9"/>
  <dimension ref="A1:BZ2"/>
  <sheetViews>
    <sheetView workbookViewId="0">
      <selection activeCell="G18" sqref="G18"/>
    </sheetView>
  </sheetViews>
  <sheetFormatPr defaultRowHeight="14.4" x14ac:dyDescent="0.3"/>
  <cols>
    <col min="4" max="4" width="10.109375" customWidth="1"/>
    <col min="5" max="5" width="15" customWidth="1"/>
    <col min="6" max="6" width="10" customWidth="1"/>
    <col min="8" max="8" width="12.109375" customWidth="1"/>
    <col min="13" max="13" width="9.88671875" customWidth="1"/>
    <col min="14" max="14" width="12.6640625" customWidth="1"/>
    <col min="29" max="29" width="10.88671875" customWidth="1"/>
    <col min="30" max="30" width="13.33203125" customWidth="1"/>
    <col min="31" max="31" width="9.5546875" customWidth="1"/>
    <col min="37" max="37" width="11.109375" customWidth="1"/>
    <col min="38" max="38" width="33.109375" bestFit="1" customWidth="1"/>
    <col min="39" max="39" width="15.33203125" customWidth="1"/>
    <col min="40" max="40" width="11" customWidth="1"/>
    <col min="41" max="41" width="12" customWidth="1"/>
    <col min="45" max="45" width="9" customWidth="1"/>
    <col min="46" max="46" width="11" customWidth="1"/>
    <col min="47" max="47" width="10.109375" customWidth="1"/>
    <col min="49" max="49" width="16.6640625" customWidth="1"/>
    <col min="52" max="52" width="17.109375" customWidth="1"/>
    <col min="53" max="53" width="15.109375" customWidth="1"/>
    <col min="54" max="54" width="11.6640625" customWidth="1"/>
    <col min="59" max="59" width="12.88671875" customWidth="1"/>
    <col min="64" max="64" width="15.33203125" customWidth="1"/>
    <col min="65" max="65" width="9.5546875" customWidth="1"/>
    <col min="66" max="66" width="9" customWidth="1"/>
    <col min="67" max="67" width="9.6640625" customWidth="1"/>
    <col min="68" max="68" width="14.6640625" customWidth="1"/>
    <col min="70" max="70" width="16.109375" customWidth="1"/>
    <col min="71" max="71" width="12.6640625" customWidth="1"/>
    <col min="72" max="72" width="9.5546875" customWidth="1"/>
    <col min="73" max="73" width="10" customWidth="1"/>
    <col min="74" max="74" width="10.6640625" customWidth="1"/>
    <col min="77" max="77" width="11.44140625" customWidth="1"/>
    <col min="78" max="78" width="14.88671875" customWidth="1"/>
  </cols>
  <sheetData>
    <row r="1" spans="1:78" ht="15.6" thickTop="1" thickBot="1" x14ac:dyDescent="0.35">
      <c r="A1" s="2" t="s">
        <v>6</v>
      </c>
      <c r="B1" s="2" t="s">
        <v>0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2" t="s">
        <v>20</v>
      </c>
      <c r="Q1" s="2" t="s">
        <v>21</v>
      </c>
      <c r="R1" s="2" t="s">
        <v>22</v>
      </c>
      <c r="S1" s="2" t="s">
        <v>23</v>
      </c>
      <c r="T1" s="2" t="s">
        <v>24</v>
      </c>
      <c r="U1" s="2" t="s">
        <v>25</v>
      </c>
      <c r="V1" s="2" t="s">
        <v>26</v>
      </c>
      <c r="W1" s="2" t="s">
        <v>27</v>
      </c>
      <c r="X1" s="2" t="s">
        <v>28</v>
      </c>
      <c r="Y1" s="2" t="s">
        <v>29</v>
      </c>
      <c r="Z1" s="2" t="s">
        <v>30</v>
      </c>
      <c r="AA1" s="2" t="s">
        <v>31</v>
      </c>
      <c r="AB1" s="2" t="s">
        <v>32</v>
      </c>
      <c r="AC1" s="2" t="s">
        <v>33</v>
      </c>
      <c r="AD1" s="2" t="s">
        <v>34</v>
      </c>
      <c r="AE1" s="3" t="s">
        <v>35</v>
      </c>
      <c r="AF1" s="3" t="s">
        <v>36</v>
      </c>
      <c r="AG1" s="3" t="s">
        <v>37</v>
      </c>
      <c r="AH1" s="3" t="s">
        <v>38</v>
      </c>
      <c r="AI1" s="3" t="s">
        <v>39</v>
      </c>
      <c r="AJ1" s="3" t="s">
        <v>40</v>
      </c>
      <c r="AK1" s="3" t="s">
        <v>41</v>
      </c>
      <c r="AL1" s="3" t="s">
        <v>42</v>
      </c>
      <c r="AM1" s="3" t="s">
        <v>43</v>
      </c>
      <c r="AN1" s="3" t="s">
        <v>44</v>
      </c>
      <c r="AO1" s="3" t="s">
        <v>45</v>
      </c>
      <c r="AP1" s="3" t="s">
        <v>1</v>
      </c>
      <c r="AQ1" s="3" t="s">
        <v>46</v>
      </c>
      <c r="AR1" s="3" t="s">
        <v>47</v>
      </c>
      <c r="AS1" s="3" t="s">
        <v>48</v>
      </c>
      <c r="AT1" s="3" t="s">
        <v>49</v>
      </c>
      <c r="AU1" s="3" t="s">
        <v>50</v>
      </c>
      <c r="AV1" s="3" t="s">
        <v>2</v>
      </c>
      <c r="AW1" s="3" t="s">
        <v>51</v>
      </c>
      <c r="AX1" s="3" t="s">
        <v>52</v>
      </c>
      <c r="AY1" s="3" t="s">
        <v>53</v>
      </c>
      <c r="AZ1" s="3" t="s">
        <v>54</v>
      </c>
      <c r="BA1" s="3" t="s">
        <v>55</v>
      </c>
      <c r="BB1" s="3" t="s">
        <v>56</v>
      </c>
      <c r="BC1" s="3" t="s">
        <v>5</v>
      </c>
      <c r="BD1" s="3" t="s">
        <v>57</v>
      </c>
      <c r="BE1" s="3" t="s">
        <v>58</v>
      </c>
      <c r="BF1" s="3" t="s">
        <v>59</v>
      </c>
      <c r="BG1" s="3" t="s">
        <v>60</v>
      </c>
      <c r="BH1" s="3" t="s">
        <v>70</v>
      </c>
      <c r="BI1" s="3" t="s">
        <v>61</v>
      </c>
      <c r="BJ1" s="3" t="s">
        <v>62</v>
      </c>
      <c r="BK1" s="3" t="s">
        <v>63</v>
      </c>
      <c r="BL1" s="3" t="s">
        <v>64</v>
      </c>
      <c r="BM1" s="3" t="s">
        <v>71</v>
      </c>
      <c r="BN1" s="3" t="s">
        <v>72</v>
      </c>
      <c r="BO1" s="3" t="s">
        <v>73</v>
      </c>
      <c r="BP1" s="3" t="s">
        <v>65</v>
      </c>
      <c r="BQ1" s="3" t="s">
        <v>74</v>
      </c>
      <c r="BR1" s="3" t="s">
        <v>75</v>
      </c>
      <c r="BS1" s="3" t="s">
        <v>76</v>
      </c>
      <c r="BT1" s="3" t="s">
        <v>77</v>
      </c>
      <c r="BU1" s="3" t="s">
        <v>78</v>
      </c>
      <c r="BV1" s="3" t="s">
        <v>79</v>
      </c>
      <c r="BW1" s="3" t="s">
        <v>66</v>
      </c>
      <c r="BX1" s="2" t="s">
        <v>67</v>
      </c>
      <c r="BY1" s="2" t="s">
        <v>68</v>
      </c>
      <c r="BZ1" s="2" t="s">
        <v>69</v>
      </c>
    </row>
    <row r="2" spans="1:78" ht="15" thickTop="1" x14ac:dyDescent="0.3"/>
  </sheetData>
  <conditionalFormatting sqref="B42">
    <cfRule type="duplicateValues" dxfId="10" priority="6"/>
  </conditionalFormatting>
  <conditionalFormatting sqref="B43">
    <cfRule type="duplicateValues" dxfId="9" priority="5"/>
  </conditionalFormatting>
  <conditionalFormatting sqref="B44">
    <cfRule type="duplicateValues" dxfId="8" priority="4"/>
  </conditionalFormatting>
  <conditionalFormatting sqref="B45">
    <cfRule type="duplicateValues" dxfId="7" priority="3"/>
  </conditionalFormatting>
  <conditionalFormatting sqref="B46">
    <cfRule type="duplicateValues" dxfId="6" priority="2"/>
  </conditionalFormatting>
  <conditionalFormatting sqref="B47:B49">
    <cfRule type="duplicateValues" dxfId="5" priority="1"/>
  </conditionalFormatting>
  <conditionalFormatting sqref="C27:D57">
    <cfRule type="duplicateValues" dxfId="4" priority="7"/>
  </conditionalFormatting>
  <conditionalFormatting sqref="F86:G91">
    <cfRule type="duplicateValues" dxfId="3" priority="8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0C4E2-F151-4CFA-BE2B-0FD8D6916903}">
  <sheetPr codeName="Sheet3"/>
  <dimension ref="A1:K1"/>
  <sheetViews>
    <sheetView workbookViewId="0">
      <selection activeCell="A2" sqref="A2:K38"/>
    </sheetView>
  </sheetViews>
  <sheetFormatPr defaultRowHeight="14.4" x14ac:dyDescent="0.3"/>
  <cols>
    <col min="1" max="3" width="13.6640625" bestFit="1" customWidth="1"/>
    <col min="4" max="4" width="7.88671875" bestFit="1" customWidth="1"/>
    <col min="5" max="6" width="6.88671875" bestFit="1" customWidth="1"/>
    <col min="7" max="7" width="16.109375" bestFit="1" customWidth="1"/>
    <col min="8" max="9" width="10.88671875" bestFit="1" customWidth="1"/>
    <col min="10" max="10" width="7.109375" bestFit="1" customWidth="1"/>
    <col min="11" max="11" width="12" bestFit="1" customWidth="1"/>
  </cols>
  <sheetData>
    <row r="1" spans="1:11" x14ac:dyDescent="0.3">
      <c r="A1" t="s">
        <v>82</v>
      </c>
      <c r="B1" t="s">
        <v>85</v>
      </c>
      <c r="C1" t="s">
        <v>86</v>
      </c>
      <c r="D1" t="s">
        <v>87</v>
      </c>
      <c r="E1" t="s">
        <v>53</v>
      </c>
      <c r="F1" t="s">
        <v>88</v>
      </c>
      <c r="G1" t="s">
        <v>89</v>
      </c>
      <c r="H1" t="s">
        <v>90</v>
      </c>
      <c r="I1" t="s">
        <v>91</v>
      </c>
      <c r="J1" t="s">
        <v>25</v>
      </c>
      <c r="K1" t="s">
        <v>92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D289B-4AE8-4501-B6AD-9F068950BBC2}">
  <sheetPr codeName="Sheet4"/>
  <dimension ref="A1:H2"/>
  <sheetViews>
    <sheetView topLeftCell="A40" workbookViewId="0">
      <selection activeCell="A45" sqref="A45:XFD65"/>
    </sheetView>
  </sheetViews>
  <sheetFormatPr defaultRowHeight="14.4" x14ac:dyDescent="0.3"/>
  <cols>
    <col min="1" max="1" width="9.44140625" bestFit="1" customWidth="1"/>
    <col min="2" max="2" width="5.44140625" bestFit="1" customWidth="1"/>
    <col min="3" max="3" width="4.21875" bestFit="1" customWidth="1"/>
    <col min="4" max="4" width="7.109375" bestFit="1" customWidth="1"/>
    <col min="5" max="5" width="6" bestFit="1" customWidth="1"/>
    <col min="6" max="6" width="11.88671875" bestFit="1" customWidth="1"/>
    <col min="7" max="7" width="6.88671875" bestFit="1" customWidth="1"/>
    <col min="8" max="8" width="6.44140625" bestFit="1" customWidth="1"/>
    <col min="9" max="9" width="5.5546875" bestFit="1" customWidth="1"/>
    <col min="10" max="10" width="6" bestFit="1" customWidth="1"/>
    <col min="11" max="11" width="7" bestFit="1" customWidth="1"/>
    <col min="12" max="12" width="6.44140625" bestFit="1" customWidth="1"/>
    <col min="13" max="13" width="6.44140625" customWidth="1"/>
    <col min="14" max="14" width="6.88671875" bestFit="1" customWidth="1"/>
    <col min="15" max="15" width="16.33203125" bestFit="1" customWidth="1"/>
    <col min="16" max="16" width="6.88671875" bestFit="1" customWidth="1"/>
  </cols>
  <sheetData>
    <row r="1" spans="1:8" x14ac:dyDescent="0.3">
      <c r="A1" t="s">
        <v>0</v>
      </c>
      <c r="B1" t="s">
        <v>20</v>
      </c>
      <c r="C1" t="s">
        <v>22</v>
      </c>
      <c r="D1" t="s">
        <v>25</v>
      </c>
      <c r="E1" t="s">
        <v>1</v>
      </c>
      <c r="F1" t="s">
        <v>49</v>
      </c>
      <c r="G1" t="s">
        <v>53</v>
      </c>
      <c r="H1" t="s">
        <v>5</v>
      </c>
    </row>
    <row r="2" spans="1:8" x14ac:dyDescent="0.3">
      <c r="A2" s="1"/>
      <c r="E2" s="1"/>
      <c r="H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2CA9E-9FFC-40B1-B58A-4D69B4A01677}">
  <sheetPr codeName="Sheet7"/>
  <dimension ref="A1:O17"/>
  <sheetViews>
    <sheetView workbookViewId="0">
      <selection activeCell="G15" sqref="G15"/>
    </sheetView>
  </sheetViews>
  <sheetFormatPr defaultRowHeight="14.4" x14ac:dyDescent="0.3"/>
  <cols>
    <col min="1" max="1" width="18.44140625" bestFit="1" customWidth="1"/>
    <col min="2" max="2" width="16.44140625" customWidth="1"/>
    <col min="3" max="3" width="13.5546875" bestFit="1" customWidth="1"/>
    <col min="4" max="4" width="22.6640625" bestFit="1" customWidth="1"/>
    <col min="5" max="5" width="23.33203125" bestFit="1" customWidth="1"/>
    <col min="6" max="6" width="16" bestFit="1" customWidth="1"/>
    <col min="7" max="7" width="20.6640625" bestFit="1" customWidth="1"/>
    <col min="8" max="8" width="12.6640625" bestFit="1" customWidth="1"/>
    <col min="9" max="9" width="13.109375" bestFit="1" customWidth="1"/>
    <col min="10" max="11" width="23.6640625" customWidth="1"/>
    <col min="12" max="12" width="12.5546875" bestFit="1" customWidth="1"/>
    <col min="13" max="13" width="11.5546875" bestFit="1" customWidth="1"/>
    <col min="15" max="15" width="12.5546875" bestFit="1" customWidth="1"/>
    <col min="16" max="16" width="24.44140625" bestFit="1" customWidth="1"/>
    <col min="18" max="18" width="12.6640625" bestFit="1" customWidth="1"/>
    <col min="24" max="24" width="12.6640625" bestFit="1" customWidth="1"/>
    <col min="41" max="41" width="11.33203125" bestFit="1" customWidth="1"/>
  </cols>
  <sheetData>
    <row r="1" spans="1:15" x14ac:dyDescent="0.3">
      <c r="A1" s="34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6"/>
    </row>
    <row r="2" spans="1:15" x14ac:dyDescent="0.3">
      <c r="A2" s="37"/>
      <c r="B2" s="5" t="s">
        <v>3</v>
      </c>
      <c r="C2" s="5" t="s">
        <v>4</v>
      </c>
      <c r="D2" s="5" t="s">
        <v>114</v>
      </c>
      <c r="E2" s="5" t="s">
        <v>115</v>
      </c>
      <c r="F2" s="5" t="s">
        <v>116</v>
      </c>
      <c r="G2" s="5" t="s">
        <v>81</v>
      </c>
      <c r="H2" s="5" t="s">
        <v>80</v>
      </c>
      <c r="I2" s="5" t="s">
        <v>101</v>
      </c>
      <c r="J2" s="5" t="s">
        <v>117</v>
      </c>
      <c r="K2" s="5" t="s">
        <v>118</v>
      </c>
      <c r="L2" s="5" t="s">
        <v>102</v>
      </c>
      <c r="M2" s="5" t="s">
        <v>25</v>
      </c>
      <c r="N2" s="5" t="s">
        <v>87</v>
      </c>
      <c r="O2" s="38" t="s">
        <v>144</v>
      </c>
    </row>
    <row r="3" spans="1:15" x14ac:dyDescent="0.3">
      <c r="A3" s="37"/>
      <c r="B3" s="5" cm="1">
        <f t="array" ref="B3">IF(COUNTA(Lara_Cargo[Ref]) &gt; COUNTA(NapierLL_2[Booking Nbr]),COUNTA(Lara_Cargo[Ref]),NapierLL_2[Booking Nbr])</f>
        <v>0</v>
      </c>
      <c r="C3" s="5">
        <f>B3-COUNTA(Merge1[Booking Check])-COUNTIF(Merge2[CMA bookings],"=")</f>
        <v>-1</v>
      </c>
      <c r="D3" s="5">
        <f>COUNTIFS(Merge1[Port Containers],"&lt;&gt;",Merge1[Container check],"=MIS")</f>
        <v>0</v>
      </c>
      <c r="E3" s="5">
        <f>COUNTIFS(Merge1[LARA Containers],"&lt;&gt;",Merge1[Container check],"=MIS")</f>
        <v>0</v>
      </c>
      <c r="F3" s="5">
        <f>COUNTIFS(Merge1[Container check],"=OK",Merge1[Booking Check],"=MIS",Merge1[Port Booking],"&lt;&gt;",Merge1[LARA Booking],"&lt;&gt;")</f>
        <v>0</v>
      </c>
      <c r="G3" s="5">
        <f>COUNTIFS(Merge1[Container check],"=OK",Merge1[Booking Check],"=OK",Merge1[Temp chek],"=MIS")</f>
        <v>0</v>
      </c>
      <c r="H3" s="5">
        <f>COUNTIFS(Merge1[Container check],"=OK",Merge1[POD check],"=MIS",Merge1[Booking Check],"=OK")</f>
        <v>0</v>
      </c>
      <c r="I3" s="5">
        <f>COUNTIFS(Merge1[Container check],"=OK",Merge1[FPD check],"=MIS",Merge1[Booking Check],"=OK")</f>
        <v>0</v>
      </c>
      <c r="J3" s="5">
        <f>COUNTIF(Merge1[Vent],"&lt;&gt;")</f>
        <v>0</v>
      </c>
      <c r="K3" s="5">
        <f>COUNTIF(Merge1[Hum],"&lt;&gt;")</f>
        <v>0</v>
      </c>
      <c r="L3" s="5">
        <f>COUNTIFS(Merge1[HAZ],"=Y")</f>
        <v>0</v>
      </c>
      <c r="M3" s="5">
        <f>COUNTIFS(Merge1[OOG],"=Y")</f>
        <v>0</v>
      </c>
      <c r="N3" s="5">
        <f>COUNTIF(Merge1[CEDO check],"=MIS")</f>
        <v>0</v>
      </c>
      <c r="O3" s="38">
        <f>COUNTIFS(Merge1[LARA Containers],"=",Merge1[LARA Booking],"&lt;&gt;")</f>
        <v>0</v>
      </c>
    </row>
    <row r="4" spans="1:15" x14ac:dyDescent="0.3">
      <c r="A4" s="37"/>
      <c r="B4" s="5"/>
      <c r="C4" s="5"/>
      <c r="D4" s="5"/>
      <c r="E4" s="39" t="e">
        <f>(D3+E3+F3)/B3</f>
        <v>#DIV/0!</v>
      </c>
      <c r="F4" s="5"/>
      <c r="G4" s="5"/>
      <c r="H4" s="39" t="e">
        <f>(G3+H3+I3)/B3</f>
        <v>#DIV/0!</v>
      </c>
      <c r="I4" s="5"/>
      <c r="J4" s="5"/>
      <c r="K4" s="5"/>
      <c r="L4" s="5"/>
      <c r="M4" s="5"/>
      <c r="N4" s="39" t="e">
        <f>N3/B3</f>
        <v>#DIV/0!</v>
      </c>
      <c r="O4" s="38"/>
    </row>
    <row r="5" spans="1:15" x14ac:dyDescent="0.3">
      <c r="A5" s="3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38"/>
    </row>
    <row r="6" spans="1:15" x14ac:dyDescent="0.3">
      <c r="A6" s="3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38"/>
    </row>
    <row r="7" spans="1:15" x14ac:dyDescent="0.3">
      <c r="A7" s="37" t="str">
        <f>O2</f>
        <v>EMPTY BOOKINGS ANL</v>
      </c>
      <c r="B7" s="5" t="s">
        <v>110</v>
      </c>
      <c r="C7" s="5" t="s">
        <v>111</v>
      </c>
      <c r="D7" s="5" t="s">
        <v>112</v>
      </c>
      <c r="E7" s="5" t="s">
        <v>113</v>
      </c>
      <c r="F7" s="5"/>
      <c r="G7" s="5"/>
      <c r="H7" s="5"/>
      <c r="I7" s="5"/>
      <c r="J7" s="5"/>
      <c r="K7" s="5"/>
      <c r="L7" s="5"/>
      <c r="M7" s="5"/>
      <c r="N7" s="5"/>
      <c r="O7" s="38"/>
    </row>
    <row r="8" spans="1:15" x14ac:dyDescent="0.3">
      <c r="A8" s="37">
        <f>O3</f>
        <v>0</v>
      </c>
      <c r="B8" s="5">
        <f>C3</f>
        <v>-1</v>
      </c>
      <c r="C8" s="5">
        <f>COUNTA(Merge1[Booking Check])</f>
        <v>0</v>
      </c>
      <c r="D8" s="5">
        <f>COUNTIF(Merge2[CMA Container],"=")</f>
        <v>1</v>
      </c>
      <c r="E8" s="39" t="e">
        <f>C3/B3</f>
        <v>#DIV/0!</v>
      </c>
      <c r="F8" s="5"/>
      <c r="G8" s="5"/>
      <c r="H8" s="5"/>
      <c r="I8" s="5"/>
      <c r="J8" s="5"/>
      <c r="K8" s="5"/>
      <c r="L8" s="5"/>
      <c r="M8" s="5"/>
      <c r="N8" s="5"/>
      <c r="O8" s="38"/>
    </row>
    <row r="9" spans="1:15" x14ac:dyDescent="0.3">
      <c r="A9" s="3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38"/>
    </row>
    <row r="10" spans="1:15" x14ac:dyDescent="0.3">
      <c r="A10" s="37"/>
      <c r="B10" s="5" t="s">
        <v>119</v>
      </c>
      <c r="C10" s="5" t="s">
        <v>120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38"/>
    </row>
    <row r="11" spans="1:15" x14ac:dyDescent="0.3">
      <c r="A11" s="37"/>
      <c r="B11" s="5">
        <f>COUNTIF(Lara_Cargo[POD],"&lt;&gt;NZTRG")-N3</f>
        <v>1</v>
      </c>
      <c r="C11" s="5">
        <f>COUNTIF(Merge1[CEDO check],"=MIS")</f>
        <v>0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38"/>
    </row>
    <row r="12" spans="1:15" ht="15" thickBot="1" x14ac:dyDescent="0.35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2"/>
    </row>
    <row r="14" spans="1:15" ht="15" thickBot="1" x14ac:dyDescent="0.35"/>
    <row r="15" spans="1:15" x14ac:dyDescent="0.3">
      <c r="A15" t="str">
        <f>C7</f>
        <v>NOT COMPLETED ANL</v>
      </c>
      <c r="B15" s="5" t="str">
        <f>D7</f>
        <v>NOT COMPLETED CMA</v>
      </c>
      <c r="C15" s="44" t="s">
        <v>145</v>
      </c>
      <c r="D15" s="35" t="s">
        <v>114</v>
      </c>
      <c r="E15" s="35" t="s">
        <v>115</v>
      </c>
      <c r="F15" s="36" t="s">
        <v>116</v>
      </c>
      <c r="G15" s="34" t="s">
        <v>81</v>
      </c>
      <c r="H15" s="35" t="s">
        <v>80</v>
      </c>
      <c r="I15" s="36" t="s">
        <v>101</v>
      </c>
      <c r="J15" s="34" t="s">
        <v>117</v>
      </c>
      <c r="K15" s="35" t="s">
        <v>118</v>
      </c>
      <c r="L15" s="35" t="s">
        <v>102</v>
      </c>
      <c r="M15" s="36" t="s">
        <v>25</v>
      </c>
      <c r="N15" s="5"/>
    </row>
    <row r="16" spans="1:15" ht="15" thickBot="1" x14ac:dyDescent="0.35">
      <c r="A16">
        <f>C8</f>
        <v>0</v>
      </c>
      <c r="B16" s="5">
        <f>D8</f>
        <v>1</v>
      </c>
      <c r="C16" s="45">
        <f>COUNTIFS(Merge2[CMA Container],"=",Merge2[CMA bookings],"&lt;&gt;")</f>
        <v>0</v>
      </c>
      <c r="D16" s="41">
        <f>COUNTIFS(Merge2[Port Containers],"&lt;&gt;",Merge2[Container check],"=MIS")</f>
        <v>0</v>
      </c>
      <c r="E16" s="41">
        <f>COUNTIFS(Merge2[CMA Container],"&lt;&gt;",Merge2[Container check],"=MIS")</f>
        <v>0</v>
      </c>
      <c r="F16" s="42">
        <f>COUNTIFS(Merge2[Container check],"=OK",Merge2[Booking Check],"=MIS",Merge2[Port Booking],"&lt;&gt;",Merge2[CMA bookings],"&lt;&gt;")</f>
        <v>0</v>
      </c>
      <c r="G16" s="40">
        <f>COUNTIFS(Merge2[Container check],"=OK",Merge2[Booking Check],"=OK",Merge2[Temp chek],"=MIS")</f>
        <v>0</v>
      </c>
      <c r="H16" s="41">
        <f>COUNTIFS(Merge2[Container check],"=OK",Merge2[POD check],"=MIS",Merge2[Booking Check],"=OK")</f>
        <v>0</v>
      </c>
      <c r="I16" s="42">
        <f>COUNTIFS(Merge2[Container check],"=OK",Merge2[FPD check],"=MIS",Merge2[Booking Check],"=OK")</f>
        <v>0</v>
      </c>
      <c r="J16" s="40">
        <f>COUNTIF(Merge2[Vent],"&lt;&gt;")</f>
        <v>0</v>
      </c>
      <c r="K16" s="41">
        <f>COUNTIF(Merge2[Hum],"&lt;&gt;")</f>
        <v>0</v>
      </c>
      <c r="L16" s="41">
        <f>COUNTIFS(Merge2[HZ],"=Y")</f>
        <v>0</v>
      </c>
      <c r="M16" s="42">
        <f>COUNTIFS(Merge2[OOG],"=Y")</f>
        <v>0</v>
      </c>
      <c r="N16" s="5"/>
    </row>
    <row r="17" spans="2:15" x14ac:dyDescent="0.3">
      <c r="B17" s="5"/>
      <c r="C17" s="5"/>
      <c r="D17" s="5"/>
      <c r="E17" s="39"/>
      <c r="F17" s="5"/>
      <c r="G17" s="5"/>
      <c r="H17" s="39"/>
      <c r="I17" s="5"/>
      <c r="J17" s="5"/>
      <c r="K17" s="5"/>
      <c r="L17" s="5"/>
      <c r="M17" s="5"/>
      <c r="N17" s="39"/>
      <c r="O17" s="38"/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Props1.xml><?xml version="1.0" encoding="utf-8"?>
<ds:datastoreItem xmlns:ds="http://schemas.openxmlformats.org/officeDocument/2006/customXml" ds:itemID="{E4942918-932D-4F29-8DC5-F58BD6CCF5D6}">
  <ds:schemaRefs/>
</ds:datastoreItem>
</file>

<file path=customXml/itemProps2.xml><?xml version="1.0" encoding="utf-8"?>
<ds:datastoreItem xmlns:ds="http://schemas.openxmlformats.org/officeDocument/2006/customXml" ds:itemID="{BA3C9238-EA4E-4A1D-A0E5-F6D5BE5B9526}">
  <ds:schemaRefs/>
</ds:datastoreItem>
</file>

<file path=customXml/itemProps3.xml><?xml version="1.0" encoding="utf-8"?>
<ds:datastoreItem xmlns:ds="http://schemas.openxmlformats.org/officeDocument/2006/customXml" ds:itemID="{CD4729DE-BCEA-4DF2-A9CB-038E54E3A3C1}">
  <ds:schemaRefs/>
</ds:datastoreItem>
</file>

<file path=customXml/itemProps4.xml><?xml version="1.0" encoding="utf-8"?>
<ds:datastoreItem xmlns:ds="http://schemas.openxmlformats.org/officeDocument/2006/customXml" ds:itemID="{73174C68-CB75-4000-9D53-62E84777D984}">
  <ds:schemaRefs/>
</ds:datastoreItem>
</file>

<file path=customXml/itemProps5.xml><?xml version="1.0" encoding="utf-8"?>
<ds:datastoreItem xmlns:ds="http://schemas.openxmlformats.org/officeDocument/2006/customXml" ds:itemID="{A76FECBA-0EB0-4916-8851-DB4D955CA963}">
  <ds:schemaRefs/>
</ds:datastoreItem>
</file>

<file path=customXml/itemProps6.xml><?xml version="1.0" encoding="utf-8"?>
<ds:datastoreItem xmlns:ds="http://schemas.openxmlformats.org/officeDocument/2006/customXml" ds:itemID="{C2585CC6-41A9-436A-908A-AD08E04C5AED}">
  <ds:schemaRefs/>
</ds:datastoreItem>
</file>

<file path=customXml/itemProps7.xml><?xml version="1.0" encoding="utf-8"?>
<ds:datastoreItem xmlns:ds="http://schemas.openxmlformats.org/officeDocument/2006/customXml" ds:itemID="{87D33D0D-ADD7-439D-B489-F3CCEB929B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Dashboard</vt:lpstr>
      <vt:lpstr>CMADS</vt:lpstr>
      <vt:lpstr>NapierRAW</vt:lpstr>
      <vt:lpstr>CMANapier</vt:lpstr>
      <vt:lpstr>NapierCMARAW</vt:lpstr>
      <vt:lpstr>LaraRAW</vt:lpstr>
      <vt:lpstr>Napier</vt:lpstr>
      <vt:lpstr>Lara</vt:lpstr>
      <vt:lpstr>Calculation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PLYUSNIN Vladislav</dc:creator>
  <cp:lastModifiedBy>PLYUSNIN Vladislav</cp:lastModifiedBy>
  <dcterms:created xsi:type="dcterms:W3CDTF">2015-06-05T18:17:20Z</dcterms:created>
  <dcterms:modified xsi:type="dcterms:W3CDTF">2023-12-06T22:59:29Z</dcterms:modified>
</cp:coreProperties>
</file>