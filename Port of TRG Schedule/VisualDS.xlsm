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0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macgmgroup-my.sharepoint.com/personal/akd_vplyusnin_cma-cgm_com/Documents/Desktop/project/For GitHub/"/>
    </mc:Choice>
  </mc:AlternateContent>
  <xr:revisionPtr revIDLastSave="1774" documentId="6_{726B645B-A3FD-4969-8D87-74B68FE79F69}" xr6:coauthVersionLast="47" xr6:coauthVersionMax="47" xr10:uidLastSave="{438CD35A-408E-4FFF-A018-4F51ADD9479D}"/>
  <bookViews>
    <workbookView xWindow="-120" yWindow="-120" windowWidth="29040" windowHeight="15720" activeTab="6" xr2:uid="{A6837745-884A-4F81-8572-9545A86A79A7}"/>
  </bookViews>
  <sheets>
    <sheet name="Dashboard" sheetId="8" r:id="rId1"/>
    <sheet name="Wellington Data" sheetId="15" r:id="rId2"/>
    <sheet name="Tauranga" sheetId="2" r:id="rId3"/>
    <sheet name="Auckland" sheetId="11" r:id="rId4"/>
    <sheet name="Lyttelton" sheetId="12" r:id="rId5"/>
    <sheet name="Napier" sheetId="13" r:id="rId6"/>
    <sheet name="Nelson" sheetId="14" r:id="rId7"/>
    <sheet name="Services" sheetId="7" r:id="rId8"/>
    <sheet name="FullData" sheetId="9" r:id="rId9"/>
    <sheet name="Instructions" sheetId="10" r:id="rId10"/>
    <sheet name="Calculation" sheetId="4" state="veryHidden" r:id="rId11"/>
  </sheets>
  <functionGroups builtInGroupCount="19"/>
  <externalReferences>
    <externalReference r:id="rId12"/>
  </externalReferences>
  <definedNames>
    <definedName name="COMBRESULT">Calculation!$D$2:$D$4</definedName>
    <definedName name="ETAFORCHART">INDEX(Tauranga_Container_Terminal_Cargo_Schedule__Thursday_21_July_2022_11_13__Export[[#All],[Current ETA]],Calculation!$AU$9):INDEX(Tauranga_Container_Terminal_Cargo_Schedule__Thursday_21_July_2022_11_13__Export[[#All],[Current ETA]],Calculation!$AU$19)-Calculation!A1048571</definedName>
    <definedName name="ETDFORCHART">INDEX(Tauranga_Container_Terminal_Cargo_Schedule__Thursday_21_July_2022_11_13__Export[[#All],[Current ETD]],Calculation!$AU$9):INDEX(Tauranga_Container_Terminal_Cargo_Schedule__Thursday_21_July_2022_11_13__Export[[#All],[Current ETD]],Calculation!$AU$19)-Calculation!XFD1048571</definedName>
    <definedName name="ExternalData_1" localSheetId="3" hidden="1">Auckland!$A$1:$J$148</definedName>
    <definedName name="ExternalData_1" localSheetId="8" hidden="1">FullData!$A$1:$P$453</definedName>
    <definedName name="ExternalData_1" localSheetId="4" hidden="1">Lyttelton!$A$1:$H$21</definedName>
    <definedName name="ExternalData_1" localSheetId="5" hidden="1">Napier!$A$1:$H$76</definedName>
    <definedName name="ExternalData_1" localSheetId="7" hidden="1">Services!$A$1:$B$11</definedName>
    <definedName name="ExternalData_1" localSheetId="2" hidden="1">Tauranga!$A$1:$Q$35</definedName>
    <definedName name="ExternalData_2" localSheetId="6" hidden="1">Nelson!$A$1:$H$6</definedName>
    <definedName name="ExternalData_2" localSheetId="1" hidden="1">'Wellington Data'!$A$1:$C$4</definedName>
    <definedName name="MTCUTOFFFORCHART">INDEX(Tauranga_Container_Terminal_Cargo_Schedule__Thursday_21_July_2022_11_13__Export[[#All],[MetroPort Cut-Off]],Calculation!$AU$9):INDEX(Tauranga_Container_Terminal_Cargo_Schedule__Thursday_21_July_2022_11_13__Export[[#All],[MetroPort Cut-Off]],Calculation!$AU$19)-Calculation!XFB1048571</definedName>
    <definedName name="ScrollInfo">Calculation!$AP$8:$AP$11</definedName>
    <definedName name="Service">Calculation!$B$8:INDEX(Calculation!$B$8:$B$31,MATCH("ZZZZZZZZZ",Calculation!$B$8:$B$31,1))</definedName>
    <definedName name="TRGCUTOFFFORCHART">INDEX(Tauranga_Container_Terminal_Cargo_Schedule__Thursday_21_July_2022_11_13__Export[[#All],[Tauranga Cut-Off]],Calculation!$AU$9):INDEX(Tauranga_Container_Terminal_Cargo_Schedule__Thursday_21_July_2022_11_13__Export[[#All],[Tauranga Cut-Off]],Calculation!$AU$19)-Calculation!XFC1048571</definedName>
    <definedName name="Vessel">Calculation!$D$8:INDEX(Calculation!$D$8:$D$17,MATCH("ZZZZZZZZZ",Calculation!$D$8:$D$17,1))</definedName>
    <definedName name="VesselList">OFFSET([1]Calculation!$C$11,0,0,COUNTA([1]Calculation!$C$11:$C$30),1)</definedName>
    <definedName name="Voyage">Calculation!$F$8:INDEX(Calculation!$F$8:$F$13,MATCH("ZZZZZZZZZ",Calculation!$F$8:$F$13,1))</definedName>
    <definedName name="VoyageList">OFFSET([1]Calculation!$E$11,0,0,COUNTA([1]Calculation!$E$11:$E$21),1)</definedName>
    <definedName name="VSLFORCHART">INDEX(Tauranga_Container_Terminal_Cargo_Schedule__Thursday_21_July_2022_11_13__Export[Vessel],Calculation!$AU$9):INDEX(Tauranga_Container_Terminal_Cargo_Schedule__Thursday_21_July_2022_11_13__Export[Vessel],Calculation!$AU$19)&amp;" "&amp;INDEX(Tauranga_Container_Terminal_Cargo_Schedule__Thursday_21_July_2022_11_13__Export[Outbound Voyage '#],Calculation!$AU$9):INDEX(Tauranga_Container_Terminal_Cargo_Schedule__Thursday_21_July_2022_11_13__Export[Outbound Voyage '#],Calculation!$AU$19)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15" i="4" l="1"/>
  <c r="AU16" i="4" s="1"/>
  <c r="AU17" i="4" s="1"/>
  <c r="AU18" i="4" s="1"/>
  <c r="AU19" i="4" s="1"/>
  <c r="AP16" i="4"/>
  <c r="Y54" i="4"/>
  <c r="AU13" i="4" l="1"/>
  <c r="AU12" i="4" s="1"/>
  <c r="AU11" i="4" s="1"/>
  <c r="AU10" i="4" s="1"/>
  <c r="AU9" i="4" s="1"/>
  <c r="AZ9" i="4" l="1" a="1"/>
  <c r="AZ9" i="4" s="1"/>
  <c r="AY9" i="4" a="1"/>
  <c r="AY9" i="4" s="1"/>
  <c r="AV27" i="4" a="1"/>
  <c r="AV27" i="4" s="1"/>
  <c r="AX9" i="4" a="1"/>
  <c r="AX9" i="4" s="1"/>
  <c r="AW9" i="4" a="1"/>
  <c r="AW9" i="4" s="1"/>
  <c r="AV9" i="4" a="1"/>
  <c r="AV9" i="4" s="1"/>
  <c r="AA26" i="4"/>
  <c r="AW22" i="4" l="1"/>
  <c r="B8" i="4" a="1"/>
  <c r="AZ27" i="4" l="1" a="1"/>
  <c r="AZ27" i="4" s="1"/>
  <c r="AY27" i="4" a="1"/>
  <c r="AY27" i="4" s="1"/>
  <c r="AW27" i="4" a="1"/>
  <c r="AW27" i="4" s="1"/>
  <c r="AX27" i="4" a="1"/>
  <c r="AX27" i="4" s="1"/>
  <c r="B8" i="4"/>
  <c r="K8" i="4" a="1"/>
  <c r="K8" i="4" l="1"/>
  <c r="D8" i="4" s="1" a="1"/>
  <c r="D8" i="4" s="1"/>
  <c r="AD8" i="4" a="1"/>
  <c r="AD8" i="4" s="1"/>
  <c r="K30" i="4" l="1" a="1"/>
  <c r="K30" i="4" s="1"/>
  <c r="F8" i="4" l="1" a="1"/>
  <c r="F8" i="4" s="1"/>
  <c r="A63" i="4" s="1" a="1"/>
  <c r="M5" i="8" s="1"/>
  <c r="V64" i="4" l="1"/>
  <c r="S65" i="4"/>
  <c r="W65" i="4"/>
  <c r="V65" i="4"/>
  <c r="T64" i="4"/>
  <c r="Y65" i="4"/>
  <c r="S64" i="4"/>
  <c r="T65" i="4"/>
  <c r="Y64" i="4"/>
  <c r="W64" i="4"/>
  <c r="R5" i="8"/>
  <c r="R6" i="8"/>
  <c r="R4" i="8"/>
  <c r="Q5" i="8"/>
  <c r="Q6" i="8"/>
  <c r="Q4" i="8"/>
  <c r="M6" i="8"/>
  <c r="N6" i="8"/>
  <c r="P6" i="8"/>
  <c r="O6" i="8"/>
  <c r="A63" i="4"/>
  <c r="P4" i="8"/>
  <c r="O4" i="8"/>
  <c r="P5" i="8"/>
  <c r="O5" i="8"/>
  <c r="N5" i="8"/>
  <c r="N4" i="8"/>
  <c r="K45" i="4" a="1"/>
  <c r="L54" i="4" l="1"/>
  <c r="AA57" i="4" s="1"/>
  <c r="M2" i="8"/>
  <c r="M4" i="8"/>
  <c r="M57" i="4"/>
  <c r="T57" i="4"/>
  <c r="O57" i="4"/>
  <c r="P57" i="4"/>
  <c r="K45" i="4"/>
  <c r="K57" i="4" s="1"/>
  <c r="L57" i="4"/>
  <c r="AG8" i="4" a="1"/>
  <c r="AG8" i="4" s="1"/>
  <c r="N57" i="4"/>
  <c r="AE8" i="4"/>
  <c r="AF8" i="4" s="1" a="1"/>
  <c r="AF8" i="4" s="1"/>
  <c r="BD9" i="4" s="1" a="1"/>
  <c r="BD9" i="4" s="1"/>
  <c r="AP11" i="4"/>
  <c r="BD18" i="4" s="1" a="1"/>
  <c r="BD18" i="4" s="1"/>
  <c r="BG18" i="4" s="1"/>
  <c r="AP9" i="4" l="1"/>
  <c r="S57" i="4"/>
  <c r="Q57" i="4"/>
  <c r="U57" i="4"/>
  <c r="Z57" i="4"/>
  <c r="R57" i="4"/>
  <c r="V57" i="4"/>
  <c r="Y57" i="4"/>
  <c r="X57" i="4"/>
  <c r="W57" i="4"/>
  <c r="AK8" i="4" a="1"/>
  <c r="AK8" i="4" s="1"/>
  <c r="BD16" i="4" a="1"/>
  <c r="BD16" i="4" s="1"/>
  <c r="BG16" i="4" s="1"/>
  <c r="BF9" i="4" a="1"/>
  <c r="BF9" i="4" s="1"/>
  <c r="BE11" i="4" a="1"/>
  <c r="BE11" i="4" s="1"/>
  <c r="BE18" i="4" s="1"/>
  <c r="BF11" i="4" a="1"/>
  <c r="BF11" i="4" s="1"/>
  <c r="BF18" i="4" s="1"/>
  <c r="BD11" i="4" a="1"/>
  <c r="BD11" i="4" s="1"/>
  <c r="BD10" i="4" a="1"/>
  <c r="BD10" i="4" s="1"/>
  <c r="BE16" i="4" a="1"/>
  <c r="BE16" i="4" s="1"/>
  <c r="AJ8" i="4" a="1"/>
  <c r="AJ8" i="4" s="1"/>
  <c r="AI8" i="4" a="1"/>
  <c r="AI8" i="4" s="1"/>
  <c r="BF10" i="4" a="1"/>
  <c r="BF10" i="4" s="1"/>
  <c r="BF16" i="4" a="1"/>
  <c r="BF16" i="4" s="1"/>
  <c r="BD17" i="4" a="1"/>
  <c r="BD17" i="4" s="1"/>
  <c r="BG17" i="4" s="1"/>
  <c r="BE10" i="4" a="1"/>
  <c r="BE10" i="4" s="1"/>
  <c r="BE17" i="4" a="1"/>
  <c r="BE17" i="4" s="1"/>
  <c r="BF17" i="4" a="1"/>
  <c r="BF17" i="4" s="1"/>
  <c r="AP8" i="4"/>
  <c r="AH8" i="4" a="1"/>
  <c r="AH8" i="4" s="1"/>
  <c r="BE9" i="4" a="1"/>
  <c r="BE9" i="4" s="1"/>
  <c r="AL8" i="4" a="1"/>
  <c r="AL8" i="4" s="1"/>
  <c r="BI18" i="4" l="1"/>
  <c r="BI17" i="4"/>
  <c r="BI16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4F43C6-5984-4B9C-9BAD-5B4478A54FD9}" keepAlive="1" interval="30" name="Query - Aucland Data" description="Connection to the 'Aucland Data' query in the workbook." type="5" refreshedVersion="8" background="1" saveData="1">
    <dbPr connection="Provider=Microsoft.Mashup.OleDb.1;Data Source=$Workbook$;Location=&quot;Aucland Data&quot;;Extended Properties=&quot;&quot;" command="SELECT * FROM [Aucland Data]"/>
  </connection>
  <connection id="2" xr16:uid="{DDB7717C-2EF9-4718-89EE-CFFD3D7D889B}" keepAlive="1" interval="60" name="Query - Condition" description="Connection to the 'Condition' query in the workbook." type="5" refreshedVersion="6" background="1" refreshOnLoad="1" saveData="1">
    <dbPr connection="Provider=Microsoft.Mashup.OleDb.1;Data Source=$Workbook$;Location=Condition;Extended Properties=&quot;&quot;" command="SELECT * FROM [Condition]"/>
  </connection>
  <connection id="3" xr16:uid="{B5C221C3-BFA2-43FF-AC6E-2E96D486C84D}" keepAlive="1" interval="30" name="Query - FullData" description="Connection to the 'FullData' query in the workbook." type="5" refreshedVersion="8" background="1" saveData="1">
    <dbPr connection="Provider=Microsoft.Mashup.OleDb.1;Data Source=$Workbook$;Location=FullData;Extended Properties=&quot;&quot;" command="SELECT * FROM [FullData]"/>
  </connection>
  <connection id="4" xr16:uid="{ADD0E909-D582-486A-884A-D61DB04A6BCC}" keepAlive="1" name="Query - HistoricalData" description="Connection to the 'HistoricalData' query in the workbook." type="5" refreshedVersion="0" background="1">
    <dbPr connection="Provider=Microsoft.Mashup.OleDb.1;Data Source=$Workbook$;Location=HistoricalData;Extended Properties=&quot;&quot;" command="SELECT * FROM [HistoricalData]"/>
  </connection>
  <connection id="5" xr16:uid="{A85A5141-F60E-46DD-B1B4-FE9AB7267038}" keepAlive="1" interval="30" name="Query - Lyt Data" description="Connection to the 'Lyt Data' query in the workbook." type="5" refreshedVersion="8" background="1" saveData="1">
    <dbPr connection="Provider=Microsoft.Mashup.OleDb.1;Data Source=$Workbook$;Location=&quot;Lyt Data&quot;;Extended Properties=&quot;&quot;" command="SELECT * FROM [Lyt Data]"/>
  </connection>
  <connection id="6" xr16:uid="{AA428EEE-59E2-4AEA-8626-546F602EC159}" keepAlive="1" name="Query - Metroport Container Terminal Cargo Schedule (Thursday 02 March 2023 13:59) Expor" description="Connection to the 'Metroport Container Terminal Cargo Schedule (Thursday 02 March 2023 13:59) Expor' query in the workbook." type="5" refreshedVersion="6" background="1" saveData="1">
    <dbPr connection="Provider=Microsoft.Mashup.OleDb.1;Data Source=$Workbook$;Location=&quot;Metroport Container Terminal Cargo Schedule (Thursday 02 March 2023 13:59) Expor&quot;;Extended Properties=&quot;&quot;" command="SELECT * FROM [Metroport Container Terminal Cargo Schedule (Thursday 02 March 2023 13:59) Expor]"/>
  </connection>
  <connection id="7" xr16:uid="{D3B26962-8B7C-4AA2-9D41-61FBA174DF8F}" keepAlive="1" interval="30" name="Query - Napier Data" description="Connection to the 'Napier Data' query in the workbook." type="5" refreshedVersion="8" background="1" saveData="1">
    <dbPr connection="Provider=Microsoft.Mashup.OleDb.1;Data Source=$Workbook$;Location=&quot;Napier Data&quot;;Extended Properties=&quot;&quot;" command="SELECT * FROM [Napier Data]"/>
  </connection>
  <connection id="8" xr16:uid="{89ADD3A6-BC41-4A4B-B1BC-6A105997FBC0}" keepAlive="1" name="Query - Services" description="Connection to the 'Services' query in the workbook." type="5" refreshedVersion="6" background="1" saveData="1">
    <dbPr connection="Provider=Microsoft.Mashup.OleDb.1;Data Source=$Workbook$;Location=Services;Extended Properties=&quot;&quot;" command="SELECT * FROM [Services]"/>
  </connection>
  <connection id="9" xr16:uid="{B031B32F-C495-4162-8EAB-C1A1EE67C1FA}" keepAlive="1" interval="30" name="Query - Table001 (Page 1-5)" description="Connection to the 'Table001 (Page 1-5)' query in the workbook." type="5" refreshedVersion="8" background="1" saveData="1">
    <dbPr connection="Provider=Microsoft.Mashup.OleDb.1;Data Source=$Workbook$;Location=&quot;Table001 (Page 1-5)&quot;;Extended Properties=&quot;&quot;" command="SELECT * FROM [Table001 (Page 1-5)]"/>
  </connection>
  <connection id="10" xr16:uid="{6B0D4FAE-FDF9-4E36-B77F-5F3A844F2146}" keepAlive="1" interval="30" name="Query - Tauranga Container Terminal Cargo Schedule (Thursday 21 July 2022 11:13) Export" description="Connection to the 'Tauranga Container Terminal Cargo Schedule (Thursday 21 July 2022 11:13) Export' query in the workbook." type="5" refreshedVersion="8" background="1" refreshOnLoad="1" saveData="1">
    <dbPr connection="Provider=Microsoft.Mashup.OleDb.1;Data Source=$Workbook$;Location=&quot;Tauranga Container Terminal Cargo Schedule (Thursday 21 July 2022 11:13) Export&quot;;Extended Properties=&quot;&quot;" command="SELECT * FROM [Tauranga Container Terminal Cargo Schedule (Thursday 21 July 2022 11:13) Export]"/>
  </connection>
  <connection id="11" xr16:uid="{D4582F79-140D-42BF-B848-6FDAAC82B7B5}" keepAlive="1" name="Query - Wellington Data" description="Connection to the 'Wellington Data' query in the workbook." type="5" refreshedVersion="8" background="1" saveData="1">
    <dbPr connection="Provider=Microsoft.Mashup.OleDb.1;Data Source=$Workbook$;Location=&quot;Wellington Data&quot;;Extended Properties=&quot;&quot;" command="SELECT * FROM [Wellington 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<sst xmlns="http://schemas.openxmlformats.org/spreadsheetml/2006/main" count="4679" uniqueCount="960">
  <si>
    <t>Vessel</t>
  </si>
  <si>
    <t>Inbound Voyage #</t>
  </si>
  <si>
    <t>Outbound Voyage #</t>
  </si>
  <si>
    <t>Service</t>
  </si>
  <si>
    <t>Last Port</t>
  </si>
  <si>
    <t>Pro-Forma ETA</t>
  </si>
  <si>
    <t>Current ETA</t>
  </si>
  <si>
    <t>Current ETD</t>
  </si>
  <si>
    <t>Next Port</t>
  </si>
  <si>
    <t>Tauranga Receiving</t>
  </si>
  <si>
    <t>Tauranga Receiving (Hazardous)</t>
  </si>
  <si>
    <t>Tauranga Receiving (Reefer)</t>
  </si>
  <si>
    <t>Tauranga Cut-Off</t>
  </si>
  <si>
    <t>Sydney</t>
  </si>
  <si>
    <t>Napier</t>
  </si>
  <si>
    <t>NZS</t>
  </si>
  <si>
    <t>Brisbane</t>
  </si>
  <si>
    <t>Hong Kong</t>
  </si>
  <si>
    <t>PAD</t>
  </si>
  <si>
    <t>Melbourne</t>
  </si>
  <si>
    <t>CFD</t>
  </si>
  <si>
    <t>Auckland</t>
  </si>
  <si>
    <t>TTAZ</t>
  </si>
  <si>
    <t>Lyttelton</t>
  </si>
  <si>
    <t>AANZ</t>
  </si>
  <si>
    <t>NEP</t>
  </si>
  <si>
    <t>PSW</t>
  </si>
  <si>
    <t>Oakland</t>
  </si>
  <si>
    <t>Papeete</t>
  </si>
  <si>
    <t>ANZ</t>
  </si>
  <si>
    <t>Noumea</t>
  </si>
  <si>
    <t>Select Service</t>
  </si>
  <si>
    <t>Select Vessel</t>
  </si>
  <si>
    <t>Select Voyge</t>
  </si>
  <si>
    <t xml:space="preserve">    Vessel Name</t>
  </si>
  <si>
    <t xml:space="preserve">    Voyage № </t>
  </si>
  <si>
    <t>Index</t>
  </si>
  <si>
    <t>CFD2</t>
  </si>
  <si>
    <t>MetroPort Cut-Off</t>
  </si>
  <si>
    <t>Column1</t>
  </si>
  <si>
    <t xml:space="preserve">From </t>
  </si>
  <si>
    <t>To</t>
  </si>
  <si>
    <t>ANZEX</t>
  </si>
  <si>
    <t>TRANSTAZ</t>
  </si>
  <si>
    <t>ANZ SUTTLE</t>
  </si>
  <si>
    <t>KIX</t>
  </si>
  <si>
    <t>PCX</t>
  </si>
  <si>
    <t>FIJI</t>
  </si>
  <si>
    <t>TRG Service</t>
  </si>
  <si>
    <t>PACIFIC</t>
  </si>
  <si>
    <t>ANL/CMA Services</t>
  </si>
  <si>
    <t>MetroPort Receiving</t>
  </si>
  <si>
    <t>PACIFIC2</t>
  </si>
  <si>
    <t>MAXves</t>
  </si>
  <si>
    <t>MinVes</t>
  </si>
  <si>
    <t>VSLIN</t>
  </si>
  <si>
    <t>Vessel B4</t>
  </si>
  <si>
    <t>VSL AFTER</t>
  </si>
  <si>
    <t>ETA</t>
  </si>
  <si>
    <t>ETD</t>
  </si>
  <si>
    <t>IndInACD</t>
  </si>
  <si>
    <t>TRG CUT OFF</t>
  </si>
  <si>
    <t>MT CUT OFF</t>
  </si>
  <si>
    <t>CMA CGM SEMARANG</t>
  </si>
  <si>
    <t>TAKUTAI CHIEF</t>
  </si>
  <si>
    <t>CONTSHIP WIN</t>
  </si>
  <si>
    <t>Min</t>
  </si>
  <si>
    <t>Max</t>
  </si>
  <si>
    <t>MinChange</t>
  </si>
  <si>
    <t>St. Value</t>
  </si>
  <si>
    <t>VSL</t>
  </si>
  <si>
    <t>VLS beetween</t>
  </si>
  <si>
    <t>ETD BT</t>
  </si>
  <si>
    <t>ETA BT</t>
  </si>
  <si>
    <t>Caption</t>
  </si>
  <si>
    <t>Balboa</t>
  </si>
  <si>
    <t>Tokyo, Tokyo</t>
  </si>
  <si>
    <t>ANZL</t>
  </si>
  <si>
    <t>SSTR</t>
  </si>
  <si>
    <t>MSC</t>
  </si>
  <si>
    <t>Manzanillo Panama</t>
  </si>
  <si>
    <t>Time of Update</t>
  </si>
  <si>
    <t xml:space="preserve">ETA </t>
  </si>
  <si>
    <t xml:space="preserve">     Vessel Name</t>
  </si>
  <si>
    <t>Tim of Update</t>
  </si>
  <si>
    <t xml:space="preserve">TRG Receiving </t>
  </si>
  <si>
    <t xml:space="preserve">  Refresh</t>
  </si>
  <si>
    <t xml:space="preserve">     Data</t>
  </si>
  <si>
    <t>MaxIndex</t>
  </si>
  <si>
    <t>https://www.port-tauranga.co.nz/operations/tauranga-container-terminal/cargo-availability/</t>
  </si>
  <si>
    <t>https://www.port-tauranga.co.nz/operations/metroport-auckland/cargo-availability/</t>
  </si>
  <si>
    <t>Dashboard contains 5 sheets:</t>
  </si>
  <si>
    <t>The "Dashboard" sheet presents graphical information about the port schedule.</t>
  </si>
  <si>
    <t>The "Tauranga" sheet provides the port schedule in text format.</t>
  </si>
  <si>
    <t>The "Service" sheet is used for adding or removing vessels under CMA CGM/ANL control.</t>
  </si>
  <si>
    <t>The "FullData" sheet contains complete data from both the Tauranga and Metroport cargo availability websites.</t>
  </si>
  <si>
    <t>The "Instructions" sheet contains descriptions of how to use this dashboard.</t>
  </si>
  <si>
    <t>The main control section allows you to select the appropriate service, vessel, and voyage number using dropdown lists.</t>
  </si>
  <si>
    <t>The checkbox can filter the list of all vessels in the dashboard.</t>
  </si>
  <si>
    <t xml:space="preserve">If it is in the inactive position, all vessels are displayed (the same list as on the TRG website). </t>
  </si>
  <si>
    <t>If it is in the active position, only ANL/CMA vessels are shown.</t>
  </si>
  <si>
    <t>To update the list of vessels belonging to CMA/ANL, please follow these steps:</t>
  </si>
  <si>
    <t>Go to the "Service" sheet.</t>
  </si>
  <si>
    <t>Add or remove service abbreviations according to the TRG website in the "From" column.</t>
  </si>
  <si>
    <t>Add or remove service abbreviations according to the ANL/CMA website in the "To" column.</t>
  </si>
  <si>
    <t>Click on "Refresh Data" in the "Dashboard" sheet.</t>
  </si>
  <si>
    <t>This section displays updates in the vessel schedule for the last five days.</t>
  </si>
  <si>
    <t xml:space="preserve">Please note that the time of update reflects when the dashboard was last updated, </t>
  </si>
  <si>
    <t>and there may be a time difference between the dashboard data and the actual update time.</t>
  </si>
  <si>
    <t>This section provides graphical information about vessels.</t>
  </si>
  <si>
    <t>Dates on the right side indicate ETDs.</t>
  </si>
  <si>
    <t>The next/previous vessel in service is highlighted  in dark blue.</t>
  </si>
  <si>
    <t>Dates in red indicate the TRG cutoff.</t>
  </si>
  <si>
    <t>Dates on the left side of the rectangles indicate ETAs.</t>
  </si>
  <si>
    <t>The selected vessel is highlighted  in red.</t>
  </si>
  <si>
    <t>This section displays full port information for the chosen vessel.</t>
  </si>
  <si>
    <t>The blue bar represents the current date and time.</t>
  </si>
  <si>
    <t>Developer: Vladislav Plyusnin</t>
  </si>
  <si>
    <t xml:space="preserve">Dashboard Ver: 1.0.0 </t>
  </si>
  <si>
    <t xml:space="preserve">All data used in this dashboard was obtained from open sources: </t>
  </si>
  <si>
    <t>Suva</t>
  </si>
  <si>
    <t>ANZPAC</t>
  </si>
  <si>
    <t>Tongatapu-Nuku'alofa</t>
  </si>
  <si>
    <t>Receival</t>
  </si>
  <si>
    <t>TRG Cut Off</t>
  </si>
  <si>
    <t>Port Chalmers (Dunedin Harbour)</t>
  </si>
  <si>
    <t>CONTSHIP QUO</t>
  </si>
  <si>
    <t>CONTSHIP YEN</t>
  </si>
  <si>
    <t>ANL TASMAN TRADER</t>
  </si>
  <si>
    <t>ANE</t>
  </si>
  <si>
    <t>GSL KITHIRA</t>
  </si>
  <si>
    <t>MAERSK WELLINGTON</t>
  </si>
  <si>
    <t>XIN ZHANG ZHOU</t>
  </si>
  <si>
    <t>KOTA LEMBAH</t>
  </si>
  <si>
    <t>Timaru</t>
  </si>
  <si>
    <t>PALAWAN</t>
  </si>
  <si>
    <t>KETA</t>
  </si>
  <si>
    <t>NORFOLK</t>
  </si>
  <si>
    <t>AC3</t>
  </si>
  <si>
    <t>San Antonio</t>
  </si>
  <si>
    <t>COSCO FELIXSTOWE</t>
  </si>
  <si>
    <t>AS SIMONE</t>
  </si>
  <si>
    <t>NAVIOS MIAMI</t>
  </si>
  <si>
    <t>NORDMAAS</t>
  </si>
  <si>
    <t>CAP JACKSON</t>
  </si>
  <si>
    <t>COSCO HAMBURG</t>
  </si>
  <si>
    <t>SEATTLE EXPRESS</t>
  </si>
  <si>
    <t>GSL SYROS</t>
  </si>
  <si>
    <t>PFL MATAI</t>
  </si>
  <si>
    <t>TIANJIN BRIDGE</t>
  </si>
  <si>
    <t>2407</t>
  </si>
  <si>
    <t>NYK FUSHIMI</t>
  </si>
  <si>
    <t>OOCL BUSAN</t>
  </si>
  <si>
    <t>CMA CGM SEATTLE</t>
  </si>
  <si>
    <t>NYK FUTAGO</t>
  </si>
  <si>
    <t>CAPITAINE TUPAIA</t>
  </si>
  <si>
    <t>2409</t>
  </si>
  <si>
    <t>2410</t>
  </si>
  <si>
    <t>MSC ZONDA III</t>
  </si>
  <si>
    <t>Vessel Ref</t>
  </si>
  <si>
    <t>Voyage In</t>
  </si>
  <si>
    <t>Voyage Out</t>
  </si>
  <si>
    <t>RCV Comm</t>
  </si>
  <si>
    <t>RCV Cutoff</t>
  </si>
  <si>
    <t>Arrival</t>
  </si>
  <si>
    <t>Departs</t>
  </si>
  <si>
    <t>Previous Port</t>
  </si>
  <si>
    <t>Singapore</t>
  </si>
  <si>
    <t/>
  </si>
  <si>
    <t>Tauranga</t>
  </si>
  <si>
    <t>Marsden Point</t>
  </si>
  <si>
    <t>MOANA CHIEF</t>
  </si>
  <si>
    <t>Nelson</t>
  </si>
  <si>
    <t>Wellington</t>
  </si>
  <si>
    <t>Yokohama</t>
  </si>
  <si>
    <t>OLOMANA</t>
  </si>
  <si>
    <t>Nukualofa</t>
  </si>
  <si>
    <t>Los Angeles</t>
  </si>
  <si>
    <t>Port Chalmers</t>
  </si>
  <si>
    <t>MATE</t>
  </si>
  <si>
    <t>Kaohsiung</t>
  </si>
  <si>
    <t>Busan</t>
  </si>
  <si>
    <t>Manzanillo</t>
  </si>
  <si>
    <t>MAERSK RUBICON</t>
  </si>
  <si>
    <t>CAPITAINE TASMAN</t>
  </si>
  <si>
    <t>004N</t>
  </si>
  <si>
    <t>231</t>
  </si>
  <si>
    <t>NPDL TAHITI</t>
  </si>
  <si>
    <t>KAKARIKI</t>
  </si>
  <si>
    <t>WIDE INDIA</t>
  </si>
  <si>
    <t>LILOA II</t>
  </si>
  <si>
    <t>KOTA LUMBA</t>
  </si>
  <si>
    <t>SEASPAN RIO DE JANEIRO</t>
  </si>
  <si>
    <t>MSC NIMISHA III</t>
  </si>
  <si>
    <t>ANL WARRNAMBOOL</t>
  </si>
  <si>
    <t>CAP JERVIS</t>
  </si>
  <si>
    <t>Visit Number</t>
  </si>
  <si>
    <t>O/B Voyage</t>
  </si>
  <si>
    <t>Begin Rcv DRY</t>
  </si>
  <si>
    <t>Begin Rcv REEF</t>
  </si>
  <si>
    <t>Begin Rcv MT</t>
  </si>
  <si>
    <t>Cut Off</t>
  </si>
  <si>
    <t>VESSEL</t>
  </si>
  <si>
    <t>VOY</t>
  </si>
  <si>
    <t>ETA.1</t>
  </si>
  <si>
    <t>Container Receival Cutoff</t>
  </si>
  <si>
    <t>FROM</t>
  </si>
  <si>
    <t>TO</t>
  </si>
  <si>
    <t>ORIGIN/DEST</t>
  </si>
  <si>
    <t>Navios Miami</t>
  </si>
  <si>
    <t>Japan/Korea/China</t>
  </si>
  <si>
    <t>Xin Zhang Zhou</t>
  </si>
  <si>
    <t>South East Asia</t>
  </si>
  <si>
    <t>North Asia</t>
  </si>
  <si>
    <t>Palawan</t>
  </si>
  <si>
    <t>Australia</t>
  </si>
  <si>
    <t>COSCO Hamburg</t>
  </si>
  <si>
    <t>Bluff</t>
  </si>
  <si>
    <t>Australia/S.E. Asia</t>
  </si>
  <si>
    <t>Keta</t>
  </si>
  <si>
    <t>CMA CGM Fiordland</t>
  </si>
  <si>
    <t>Tianjin Bridge</t>
  </si>
  <si>
    <t>TBC</t>
  </si>
  <si>
    <t>NYK Fushimi</t>
  </si>
  <si>
    <t>OOCL Busan</t>
  </si>
  <si>
    <t>Norfolk</t>
  </si>
  <si>
    <t>CMA CGM Semarang</t>
  </si>
  <si>
    <t>SFL Maui</t>
  </si>
  <si>
    <t>Derby D.</t>
  </si>
  <si>
    <t>Kota Lembah</t>
  </si>
  <si>
    <t>COSCO Felixstowe</t>
  </si>
  <si>
    <t>Kota Lumba</t>
  </si>
  <si>
    <t>Taiwan</t>
  </si>
  <si>
    <t>CMA CGM Perth</t>
  </si>
  <si>
    <t>Rio Madeira</t>
  </si>
  <si>
    <t>Maersk Rio India</t>
  </si>
  <si>
    <t>Vessel Name</t>
  </si>
  <si>
    <t>Departure</t>
  </si>
  <si>
    <t>Prenote Cut Off</t>
  </si>
  <si>
    <t>Cargo Cut off</t>
  </si>
  <si>
    <t>CEDO Cut Off</t>
  </si>
  <si>
    <t>Port To</t>
  </si>
  <si>
    <t>Oper.</t>
  </si>
  <si>
    <t>ANL</t>
  </si>
  <si>
    <t>233</t>
  </si>
  <si>
    <t>CMA CGM PERTH</t>
  </si>
  <si>
    <t>ZEC</t>
  </si>
  <si>
    <t>462N</t>
  </si>
  <si>
    <t>Jonathan Swift</t>
  </si>
  <si>
    <t>WHERO</t>
  </si>
  <si>
    <t>DEBUSSY</t>
  </si>
  <si>
    <t>NORFOLK (LCT)</t>
  </si>
  <si>
    <t>Norfolk Island</t>
  </si>
  <si>
    <t>JONATHAN SWIFT</t>
  </si>
  <si>
    <t>Debussy</t>
  </si>
  <si>
    <t>236</t>
  </si>
  <si>
    <t>691N</t>
  </si>
  <si>
    <t>500N</t>
  </si>
  <si>
    <t>776</t>
  </si>
  <si>
    <t>02032</t>
  </si>
  <si>
    <t>26-Jul 05:30</t>
  </si>
  <si>
    <t>27-Jul 07:00</t>
  </si>
  <si>
    <t>09-Aug 05:30</t>
  </si>
  <si>
    <t>10-Aug 07:00</t>
  </si>
  <si>
    <t>16-Aug 05:30</t>
  </si>
  <si>
    <t>17-Aug 07:00</t>
  </si>
  <si>
    <t>CMA CGM MARLIN</t>
  </si>
  <si>
    <t>JACK LONDON</t>
  </si>
  <si>
    <t>MSC Star R</t>
  </si>
  <si>
    <t>Cali</t>
  </si>
  <si>
    <t>Jack London</t>
  </si>
  <si>
    <t>MSC Santa Maria</t>
  </si>
  <si>
    <t>CMA CGM Quelimane</t>
  </si>
  <si>
    <t>OC1N</t>
  </si>
  <si>
    <t>CALI</t>
  </si>
  <si>
    <t>NORTHERN DEXTERITY</t>
  </si>
  <si>
    <t>24-05</t>
  </si>
  <si>
    <t>CMA CGM QUELIMANE</t>
  </si>
  <si>
    <t>DUGONG ACE</t>
  </si>
  <si>
    <t>COSCO AUCKLAND</t>
  </si>
  <si>
    <t>070</t>
  </si>
  <si>
    <t>071</t>
  </si>
  <si>
    <t>417S</t>
  </si>
  <si>
    <t>461S</t>
  </si>
  <si>
    <t>235</t>
  </si>
  <si>
    <t>125S</t>
  </si>
  <si>
    <t>125N</t>
  </si>
  <si>
    <t>423W</t>
  </si>
  <si>
    <t>419S</t>
  </si>
  <si>
    <t>423N</t>
  </si>
  <si>
    <t>690S</t>
  </si>
  <si>
    <t>NKF9022</t>
  </si>
  <si>
    <t>094S</t>
  </si>
  <si>
    <t>094N</t>
  </si>
  <si>
    <t>Singapore Container Terminal</t>
  </si>
  <si>
    <t>007S</t>
  </si>
  <si>
    <t>Northern Dexterity</t>
  </si>
  <si>
    <t>FC426</t>
  </si>
  <si>
    <t>FC428</t>
  </si>
  <si>
    <t>28-Jul 11:11</t>
  </si>
  <si>
    <t>29-Jul</t>
  </si>
  <si>
    <t>AWANUIA</t>
  </si>
  <si>
    <t>275N</t>
  </si>
  <si>
    <t>192</t>
  </si>
  <si>
    <t>499S</t>
  </si>
  <si>
    <t>CPT9304</t>
  </si>
  <si>
    <t>775</t>
  </si>
  <si>
    <t>APL Scotland</t>
  </si>
  <si>
    <t>CAPITAINE MAGELLAN</t>
  </si>
  <si>
    <t>057W</t>
  </si>
  <si>
    <t>MAERSK RIO INDIA</t>
  </si>
  <si>
    <t>MSC REBECCA III</t>
  </si>
  <si>
    <t>PLN9297</t>
  </si>
  <si>
    <t>2411</t>
  </si>
  <si>
    <t>2412</t>
  </si>
  <si>
    <t>420S</t>
  </si>
  <si>
    <t>TBA</t>
  </si>
  <si>
    <t>COG9306</t>
  </si>
  <si>
    <t>275S</t>
  </si>
  <si>
    <t>Maersk Rio Negro</t>
  </si>
  <si>
    <t>422N</t>
  </si>
  <si>
    <t>GSL Kithira</t>
  </si>
  <si>
    <t>424N</t>
  </si>
  <si>
    <t>464N</t>
  </si>
  <si>
    <t>12-Jul 05:30</t>
  </si>
  <si>
    <t>13-Jul 07:00</t>
  </si>
  <si>
    <t>APL SCOTLAND</t>
  </si>
  <si>
    <t>10-Jul 15:30</t>
  </si>
  <si>
    <t>11-Jul 23:00</t>
  </si>
  <si>
    <t>0181</t>
  </si>
  <si>
    <t>0182</t>
  </si>
  <si>
    <t>MCH9315</t>
  </si>
  <si>
    <t>4601</t>
  </si>
  <si>
    <t>4602</t>
  </si>
  <si>
    <t>KET9299</t>
  </si>
  <si>
    <t>MSC ELENI</t>
  </si>
  <si>
    <t>FC418A</t>
  </si>
  <si>
    <t>FC421R</t>
  </si>
  <si>
    <t>KLA9336</t>
  </si>
  <si>
    <t>LUM163</t>
  </si>
  <si>
    <t>LUM164</t>
  </si>
  <si>
    <t>EXP9329</t>
  </si>
  <si>
    <t>421S</t>
  </si>
  <si>
    <t>TJB9307</t>
  </si>
  <si>
    <t>191</t>
  </si>
  <si>
    <t>MORNING LUCY</t>
  </si>
  <si>
    <t>MLC9209</t>
  </si>
  <si>
    <t>EF407</t>
  </si>
  <si>
    <t>KOWHAI</t>
  </si>
  <si>
    <t>TRANS FUTURE 5</t>
  </si>
  <si>
    <t>DREAM JASMINE</t>
  </si>
  <si>
    <t>HOEGH TARGET</t>
  </si>
  <si>
    <t>HTG9587</t>
  </si>
  <si>
    <t>52</t>
  </si>
  <si>
    <t>RUBY ACE</t>
  </si>
  <si>
    <t>RBY9588</t>
  </si>
  <si>
    <t>BALDUR</t>
  </si>
  <si>
    <t>ANTWERP BRIDGE</t>
  </si>
  <si>
    <t>425W</t>
  </si>
  <si>
    <t>426E</t>
  </si>
  <si>
    <t>428W</t>
  </si>
  <si>
    <t>ANM9598</t>
  </si>
  <si>
    <t>2423</t>
  </si>
  <si>
    <t>2424</t>
  </si>
  <si>
    <t>COQ9320</t>
  </si>
  <si>
    <t>023E</t>
  </si>
  <si>
    <t>024W</t>
  </si>
  <si>
    <t>TAK9343</t>
  </si>
  <si>
    <t>0183</t>
  </si>
  <si>
    <t>0184</t>
  </si>
  <si>
    <t>425E</t>
  </si>
  <si>
    <t>427W</t>
  </si>
  <si>
    <t>Antwerp Bridge</t>
  </si>
  <si>
    <t>13-Jul 10:00</t>
  </si>
  <si>
    <t>14-Jul 03:00</t>
  </si>
  <si>
    <t>MCH9316</t>
  </si>
  <si>
    <t>4603</t>
  </si>
  <si>
    <t>4604</t>
  </si>
  <si>
    <t>TORINO</t>
  </si>
  <si>
    <t>TNO9527</t>
  </si>
  <si>
    <t>EF408</t>
  </si>
  <si>
    <t>COF9023</t>
  </si>
  <si>
    <t>188S</t>
  </si>
  <si>
    <t>188N</t>
  </si>
  <si>
    <t>DEB9337</t>
  </si>
  <si>
    <t>463S</t>
  </si>
  <si>
    <t>422S</t>
  </si>
  <si>
    <t>063N</t>
  </si>
  <si>
    <t>461N</t>
  </si>
  <si>
    <t>463N</t>
  </si>
  <si>
    <t>02-Aug 04:30</t>
  </si>
  <si>
    <t>03-Aug 06:00</t>
  </si>
  <si>
    <t>692N</t>
  </si>
  <si>
    <t>501N</t>
  </si>
  <si>
    <t>23-Aug 05:30</t>
  </si>
  <si>
    <t>24-Aug 07:00</t>
  </si>
  <si>
    <t>465N</t>
  </si>
  <si>
    <t>30-Aug 05:30</t>
  </si>
  <si>
    <t>31-Aug 07:00</t>
  </si>
  <si>
    <t>064N</t>
  </si>
  <si>
    <t>13-Sep 05:30</t>
  </si>
  <si>
    <t>14-Sep 07:00</t>
  </si>
  <si>
    <t>20-Sep 04:30</t>
  </si>
  <si>
    <t>21-Sep 06:00</t>
  </si>
  <si>
    <t>693N</t>
  </si>
  <si>
    <t>27-Sep 05:30</t>
  </si>
  <si>
    <t>28-Sep 07:00</t>
  </si>
  <si>
    <t>502N</t>
  </si>
  <si>
    <t>04-Oct 05:30</t>
  </si>
  <si>
    <t>166N</t>
  </si>
  <si>
    <t>11-Oct 05:30</t>
  </si>
  <si>
    <t>12-Oct 07:00</t>
  </si>
  <si>
    <t>466N</t>
  </si>
  <si>
    <t>18-Oct 05:30</t>
  </si>
  <si>
    <t>19-Oct 07:00</t>
  </si>
  <si>
    <t>065N</t>
  </si>
  <si>
    <t>25-Oct 05:30</t>
  </si>
  <si>
    <t>26-Oct 07:00</t>
  </si>
  <si>
    <t>01-Nov 05:30</t>
  </si>
  <si>
    <t>02-Nov 07:00</t>
  </si>
  <si>
    <t>06052</t>
  </si>
  <si>
    <t>08-Nov 04:30</t>
  </si>
  <si>
    <t>MSC CORCOVADO III</t>
  </si>
  <si>
    <t>120</t>
  </si>
  <si>
    <t>21-Jul 03:00</t>
  </si>
  <si>
    <t>238</t>
  </si>
  <si>
    <t>778</t>
  </si>
  <si>
    <t>10-Aug 10:00</t>
  </si>
  <si>
    <t>11-Aug 03:00</t>
  </si>
  <si>
    <t>276N</t>
  </si>
  <si>
    <t>17-Aug 10:00</t>
  </si>
  <si>
    <t>18-Aug 03:00</t>
  </si>
  <si>
    <t>194</t>
  </si>
  <si>
    <t>24-Aug 10:00</t>
  </si>
  <si>
    <t>25-Aug 03:00</t>
  </si>
  <si>
    <t>MAERSK INVERNESS</t>
  </si>
  <si>
    <t>OC1S</t>
  </si>
  <si>
    <t>IMUA</t>
  </si>
  <si>
    <t>NTA9644</t>
  </si>
  <si>
    <t>009S</t>
  </si>
  <si>
    <t>010N</t>
  </si>
  <si>
    <t>CMI9628</t>
  </si>
  <si>
    <t>PACIFIC EXPLORER</t>
  </si>
  <si>
    <t>COZ9323</t>
  </si>
  <si>
    <t>057E</t>
  </si>
  <si>
    <t>058W</t>
  </si>
  <si>
    <t>240</t>
  </si>
  <si>
    <t>NOA9606</t>
  </si>
  <si>
    <t>AS CALIFORNIA</t>
  </si>
  <si>
    <t>FC420A</t>
  </si>
  <si>
    <t>FC423R</t>
  </si>
  <si>
    <t>MSC STAR R</t>
  </si>
  <si>
    <t>FC419A</t>
  </si>
  <si>
    <t>FC422R</t>
  </si>
  <si>
    <t>MSC CAPE III</t>
  </si>
  <si>
    <t>FC421A</t>
  </si>
  <si>
    <t>FC424R</t>
  </si>
  <si>
    <t>MCH9317</t>
  </si>
  <si>
    <t>4605</t>
  </si>
  <si>
    <t>4606</t>
  </si>
  <si>
    <t>ANM9599</t>
  </si>
  <si>
    <t>2425</t>
  </si>
  <si>
    <t>2426</t>
  </si>
  <si>
    <t>CMC9296</t>
  </si>
  <si>
    <t>XZZ9338</t>
  </si>
  <si>
    <t>063S</t>
  </si>
  <si>
    <t>CSE9331</t>
  </si>
  <si>
    <t>423S</t>
  </si>
  <si>
    <t>NOF9308</t>
  </si>
  <si>
    <t>119</t>
  </si>
  <si>
    <t>Maersk Rio Delta</t>
  </si>
  <si>
    <t>425N</t>
  </si>
  <si>
    <t>426N</t>
  </si>
  <si>
    <t>NYK Futago</t>
  </si>
  <si>
    <t>427N</t>
  </si>
  <si>
    <t>10-Jul 05:00</t>
  </si>
  <si>
    <t>17-Jul 15:30</t>
  </si>
  <si>
    <t>18-Jul 23:00</t>
  </si>
  <si>
    <t>MAERSK INNOSHIMA</t>
  </si>
  <si>
    <t>AS SABINE</t>
  </si>
  <si>
    <t>ASB9614</t>
  </si>
  <si>
    <t>427E</t>
  </si>
  <si>
    <t>429W</t>
  </si>
  <si>
    <t>Davao</t>
  </si>
  <si>
    <t>MCH9318</t>
  </si>
  <si>
    <t>4607</t>
  </si>
  <si>
    <t>4608</t>
  </si>
  <si>
    <t>CMZ9497</t>
  </si>
  <si>
    <t>230</t>
  </si>
  <si>
    <t>MAERSK WILLEMSTADT</t>
  </si>
  <si>
    <t>MAERSK RIO DELTA</t>
  </si>
  <si>
    <t>020S</t>
  </si>
  <si>
    <t>020N</t>
  </si>
  <si>
    <t>JPV13</t>
  </si>
  <si>
    <t>FC422A</t>
  </si>
  <si>
    <t>FC425R</t>
  </si>
  <si>
    <t>AOTEAROA CHIEF</t>
  </si>
  <si>
    <t>Portland Nz</t>
  </si>
  <si>
    <t>SOUTHERN PEARL</t>
  </si>
  <si>
    <t>PETKUM</t>
  </si>
  <si>
    <t>NEW CENTURY 1</t>
  </si>
  <si>
    <t>NEC9702</t>
  </si>
  <si>
    <t>29/06</t>
  </si>
  <si>
    <t>NEW CENTURY 2</t>
  </si>
  <si>
    <t>NC29701</t>
  </si>
  <si>
    <t>03/07</t>
  </si>
  <si>
    <t>BDU9709</t>
  </si>
  <si>
    <t>003N</t>
  </si>
  <si>
    <t>TRANS FUTURE 6</t>
  </si>
  <si>
    <t>TF69703</t>
  </si>
  <si>
    <t>12/07</t>
  </si>
  <si>
    <t>2407S</t>
  </si>
  <si>
    <t>JSW9339</t>
  </si>
  <si>
    <t>OLO9634</t>
  </si>
  <si>
    <t>160</t>
  </si>
  <si>
    <t>ANIARA</t>
  </si>
  <si>
    <t>ANI9273</t>
  </si>
  <si>
    <t>MTE9332</t>
  </si>
  <si>
    <t>424S</t>
  </si>
  <si>
    <t>ABG9602</t>
  </si>
  <si>
    <t>237</t>
  </si>
  <si>
    <t>MLL9712</t>
  </si>
  <si>
    <t>045S</t>
  </si>
  <si>
    <t>046N</t>
  </si>
  <si>
    <t>NOO9221</t>
  </si>
  <si>
    <t>008E</t>
  </si>
  <si>
    <t>009W</t>
  </si>
  <si>
    <t>PAGANELLA</t>
  </si>
  <si>
    <t>PAG9654</t>
  </si>
  <si>
    <t>PTK9715</t>
  </si>
  <si>
    <t>MCH9319</t>
  </si>
  <si>
    <t>4609</t>
  </si>
  <si>
    <t>4610</t>
  </si>
  <si>
    <t>PLN9298</t>
  </si>
  <si>
    <t>2413</t>
  </si>
  <si>
    <t>2414</t>
  </si>
  <si>
    <t>STP9694</t>
  </si>
  <si>
    <t>1527S</t>
  </si>
  <si>
    <t>1528N</t>
  </si>
  <si>
    <t>NTA9645</t>
  </si>
  <si>
    <t>010S</t>
  </si>
  <si>
    <t>011N</t>
  </si>
  <si>
    <t>RUB9334</t>
  </si>
  <si>
    <t>425S</t>
  </si>
  <si>
    <t>ATW0022</t>
  </si>
  <si>
    <t>NORDPACIFIC</t>
  </si>
  <si>
    <t>4517</t>
  </si>
  <si>
    <t>09-Jul 06:00</t>
  </si>
  <si>
    <t>428N</t>
  </si>
  <si>
    <t>16-Jul 06:00</t>
  </si>
  <si>
    <t>17-Jul 05:00</t>
  </si>
  <si>
    <t>17-Jul 07:00</t>
  </si>
  <si>
    <t>18-Jul 05:00</t>
  </si>
  <si>
    <t>429N</t>
  </si>
  <si>
    <t>23-Jul 06:00</t>
  </si>
  <si>
    <t>24-Jul 05:00</t>
  </si>
  <si>
    <t>177N</t>
  </si>
  <si>
    <t>24-Jul 07:00</t>
  </si>
  <si>
    <t>25-Jul 05:00</t>
  </si>
  <si>
    <t>430N</t>
  </si>
  <si>
    <t>30-Jul 06:00</t>
  </si>
  <si>
    <t>31-Jul 05:00</t>
  </si>
  <si>
    <t>31-Jul 07:00</t>
  </si>
  <si>
    <t>01-Aug 05:00</t>
  </si>
  <si>
    <t>CLIFFORD MAERSK</t>
  </si>
  <si>
    <t>KLM9303</t>
  </si>
  <si>
    <t>LEM232</t>
  </si>
  <si>
    <t>LEM233</t>
  </si>
  <si>
    <t>006N</t>
  </si>
  <si>
    <t>SPIRIT OF AUCKLAND</t>
  </si>
  <si>
    <t>CUP9727</t>
  </si>
  <si>
    <t>019S</t>
  </si>
  <si>
    <t>PMA9731</t>
  </si>
  <si>
    <t>006S</t>
  </si>
  <si>
    <t>CTA9729</t>
  </si>
  <si>
    <t>095N</t>
  </si>
  <si>
    <t>NMI9751</t>
  </si>
  <si>
    <t>177S</t>
  </si>
  <si>
    <t>GSI9747</t>
  </si>
  <si>
    <t>TAK9783</t>
  </si>
  <si>
    <t>0185</t>
  </si>
  <si>
    <t>0186</t>
  </si>
  <si>
    <t>TAK9784</t>
  </si>
  <si>
    <t>0187</t>
  </si>
  <si>
    <t>0188</t>
  </si>
  <si>
    <t>TAK9785</t>
  </si>
  <si>
    <t>0189</t>
  </si>
  <si>
    <t>0190</t>
  </si>
  <si>
    <t>TAK9786</t>
  </si>
  <si>
    <t>0191</t>
  </si>
  <si>
    <t>0192</t>
  </si>
  <si>
    <t>ANM9802</t>
  </si>
  <si>
    <t>2427</t>
  </si>
  <si>
    <t>2428</t>
  </si>
  <si>
    <t>6S</t>
  </si>
  <si>
    <t>6N</t>
  </si>
  <si>
    <t>OSLO TRADER</t>
  </si>
  <si>
    <t>OSL9780</t>
  </si>
  <si>
    <t>429E</t>
  </si>
  <si>
    <t>MORNING LISA</t>
  </si>
  <si>
    <t>MOZ9646</t>
  </si>
  <si>
    <t>EF410</t>
  </si>
  <si>
    <t>431W</t>
  </si>
  <si>
    <t>COQ9809</t>
  </si>
  <si>
    <t>024E</t>
  </si>
  <si>
    <t>025W</t>
  </si>
  <si>
    <t>COZ9814</t>
  </si>
  <si>
    <t>058E</t>
  </si>
  <si>
    <t>059W</t>
  </si>
  <si>
    <t>CAPITAINE KUPE</t>
  </si>
  <si>
    <t>CKP9819</t>
  </si>
  <si>
    <t>039S</t>
  </si>
  <si>
    <t>040N</t>
  </si>
  <si>
    <t>MSC LIDIA</t>
  </si>
  <si>
    <t>MSW9823</t>
  </si>
  <si>
    <t>KE421A</t>
  </si>
  <si>
    <t>KE422A</t>
  </si>
  <si>
    <t>MSC NURYA G</t>
  </si>
  <si>
    <t>MNY9826</t>
  </si>
  <si>
    <t>KE423A</t>
  </si>
  <si>
    <t>OSL9828</t>
  </si>
  <si>
    <t>KKI9820</t>
  </si>
  <si>
    <t>24-06</t>
  </si>
  <si>
    <t>APS9824</t>
  </si>
  <si>
    <t>WILD COSMOS</t>
  </si>
  <si>
    <t>EUV11</t>
  </si>
  <si>
    <t>KWH9830</t>
  </si>
  <si>
    <t>CUP9728</t>
  </si>
  <si>
    <t>021N</t>
  </si>
  <si>
    <t>MCH9763</t>
  </si>
  <si>
    <t>4611</t>
  </si>
  <si>
    <t>4612</t>
  </si>
  <si>
    <t>COV0002</t>
  </si>
  <si>
    <t>KE426R</t>
  </si>
  <si>
    <t>RIO MADEIRA</t>
  </si>
  <si>
    <t>KET9300</t>
  </si>
  <si>
    <t>GSY9749</t>
  </si>
  <si>
    <t>426S</t>
  </si>
  <si>
    <t>KLB0041</t>
  </si>
  <si>
    <t>24-Jul 15:30</t>
  </si>
  <si>
    <t>25-Jul 23:00</t>
  </si>
  <si>
    <t>31-Jul 15:30</t>
  </si>
  <si>
    <t>SEATRADE RED</t>
  </si>
  <si>
    <t>4518</t>
  </si>
  <si>
    <t>AC1</t>
  </si>
  <si>
    <t>OBU9333</t>
  </si>
  <si>
    <t>692S</t>
  </si>
  <si>
    <t>WAR9772</t>
  </si>
  <si>
    <t>LADY ROSEBAY</t>
  </si>
  <si>
    <t>JPV14</t>
  </si>
  <si>
    <t>CMZ9737</t>
  </si>
  <si>
    <t>GRANDE BALTIMORA</t>
  </si>
  <si>
    <t>GRT9891</t>
  </si>
  <si>
    <t>0324</t>
  </si>
  <si>
    <t>HOEGH BERLIN</t>
  </si>
  <si>
    <t>HBN9890</t>
  </si>
  <si>
    <t>126</t>
  </si>
  <si>
    <t>LEO SPIRIT</t>
  </si>
  <si>
    <t>LEO9893</t>
  </si>
  <si>
    <t>69A</t>
  </si>
  <si>
    <t>COMET ACE</t>
  </si>
  <si>
    <t>COA9894</t>
  </si>
  <si>
    <t>DUG9895</t>
  </si>
  <si>
    <t>47A</t>
  </si>
  <si>
    <t>DRJ9889</t>
  </si>
  <si>
    <t>36</t>
  </si>
  <si>
    <t>TF59888</t>
  </si>
  <si>
    <t>155</t>
  </si>
  <si>
    <t>GRANDE MIRAFIORI</t>
  </si>
  <si>
    <t>GRY9892</t>
  </si>
  <si>
    <t>0224</t>
  </si>
  <si>
    <t>FC425</t>
  </si>
  <si>
    <t>20-Jul 11:30</t>
  </si>
  <si>
    <t>01-Aug 23:00</t>
  </si>
  <si>
    <t>MRB9904</t>
  </si>
  <si>
    <t>MZA9905</t>
  </si>
  <si>
    <t>KE425A</t>
  </si>
  <si>
    <t>MNA9906</t>
  </si>
  <si>
    <t>KE426A</t>
  </si>
  <si>
    <t>TAK9787</t>
  </si>
  <si>
    <t>0193</t>
  </si>
  <si>
    <t>0194</t>
  </si>
  <si>
    <t>COQ9810</t>
  </si>
  <si>
    <t>025E</t>
  </si>
  <si>
    <t>026W</t>
  </si>
  <si>
    <t>NOA9781</t>
  </si>
  <si>
    <t>430E</t>
  </si>
  <si>
    <t>432W</t>
  </si>
  <si>
    <t>OLGA MAERSK</t>
  </si>
  <si>
    <t>095S</t>
  </si>
  <si>
    <t>24-Jun-24 1700</t>
  </si>
  <si>
    <t>163S</t>
  </si>
  <si>
    <t>164N</t>
  </si>
  <si>
    <t>BDU9710</t>
  </si>
  <si>
    <t>FSH9753</t>
  </si>
  <si>
    <t>126S</t>
  </si>
  <si>
    <t>126N</t>
  </si>
  <si>
    <t>CMC9740</t>
  </si>
  <si>
    <t>MCH9764</t>
  </si>
  <si>
    <t>4613</t>
  </si>
  <si>
    <t>4614</t>
  </si>
  <si>
    <t>JAK9795</t>
  </si>
  <si>
    <t>501S</t>
  </si>
  <si>
    <t>ANM9803</t>
  </si>
  <si>
    <t>2429</t>
  </si>
  <si>
    <t>2430</t>
  </si>
  <si>
    <t>IUA9915</t>
  </si>
  <si>
    <t>138</t>
  </si>
  <si>
    <t>WID9773</t>
  </si>
  <si>
    <t>427S</t>
  </si>
  <si>
    <t>PORT VILA CHIEF</t>
  </si>
  <si>
    <t>PVC9920</t>
  </si>
  <si>
    <t>TKC0086</t>
  </si>
  <si>
    <t>MANDALAY</t>
  </si>
  <si>
    <t>4519</t>
  </si>
  <si>
    <t>PMA9732</t>
  </si>
  <si>
    <t>007N</t>
  </si>
  <si>
    <t>COG9757</t>
  </si>
  <si>
    <t>276S</t>
  </si>
  <si>
    <t>FC423A</t>
  </si>
  <si>
    <t>FC426R</t>
  </si>
  <si>
    <t>CCQ0002</t>
  </si>
  <si>
    <t>FC429</t>
  </si>
  <si>
    <t>RIL0050</t>
  </si>
  <si>
    <t>25-Jun-24 1700</t>
  </si>
  <si>
    <t>CSAV RIO NEVADO</t>
  </si>
  <si>
    <t>CSO9929</t>
  </si>
  <si>
    <t>24RN04</t>
  </si>
  <si>
    <t>LOA9928</t>
  </si>
  <si>
    <t>090</t>
  </si>
  <si>
    <t>IUA9927</t>
  </si>
  <si>
    <t>139</t>
  </si>
  <si>
    <t>POL</t>
  </si>
  <si>
    <t>CS TRUST</t>
  </si>
  <si>
    <t>TRU9933</t>
  </si>
  <si>
    <t>24-04</t>
  </si>
  <si>
    <t>ABG9934</t>
  </si>
  <si>
    <t>TAK9788</t>
  </si>
  <si>
    <t>0195</t>
  </si>
  <si>
    <t>0196</t>
  </si>
  <si>
    <t>COZ9815</t>
  </si>
  <si>
    <t>059E</t>
  </si>
  <si>
    <t>060W</t>
  </si>
  <si>
    <t>OLIVIA MAERSK</t>
  </si>
  <si>
    <t>MHE0879</t>
  </si>
  <si>
    <t>OTAGO HARBOUR</t>
  </si>
  <si>
    <t>OHA9939</t>
  </si>
  <si>
    <t>78</t>
  </si>
  <si>
    <t>Mystery Island</t>
  </si>
  <si>
    <t>Dravuni</t>
  </si>
  <si>
    <t>021S</t>
  </si>
  <si>
    <t>ASB9829</t>
  </si>
  <si>
    <t>431E</t>
  </si>
  <si>
    <t>NYF0066</t>
  </si>
  <si>
    <t>Port Kelang</t>
  </si>
  <si>
    <t>KOB0005</t>
  </si>
  <si>
    <t>AW709</t>
  </si>
  <si>
    <t>MCH9765</t>
  </si>
  <si>
    <t>4615</t>
  </si>
  <si>
    <t>4616</t>
  </si>
  <si>
    <t>CMZ9738</t>
  </si>
  <si>
    <t>2415</t>
  </si>
  <si>
    <t>2416</t>
  </si>
  <si>
    <t>CORAL PRINCESS</t>
  </si>
  <si>
    <t>Moorea</t>
  </si>
  <si>
    <t>Bay Of Islands</t>
  </si>
  <si>
    <t>NKF9755</t>
  </si>
  <si>
    <t>KLA9797</t>
  </si>
  <si>
    <t>LUM165</t>
  </si>
  <si>
    <t>07-Aug 15:30</t>
  </si>
  <si>
    <t>08-Aug 23:00</t>
  </si>
  <si>
    <t>14-Aug 15:30</t>
  </si>
  <si>
    <t>15-Aug 23:00</t>
  </si>
  <si>
    <t>MAERSK MONTE LASCAR</t>
  </si>
  <si>
    <t>STP9695</t>
  </si>
  <si>
    <t>1528S</t>
  </si>
  <si>
    <t>1529N</t>
  </si>
  <si>
    <t>SEP9774</t>
  </si>
  <si>
    <t>428S</t>
  </si>
  <si>
    <t>DBU0005</t>
  </si>
  <si>
    <t>07-Jul 23:59</t>
  </si>
  <si>
    <t>08-Jul 23:59</t>
  </si>
  <si>
    <t>MSC Nimisha III</t>
  </si>
  <si>
    <t>21-Jul 11:11</t>
  </si>
  <si>
    <t>21-Jul</t>
  </si>
  <si>
    <t>Maersk Fortaleza</t>
  </si>
  <si>
    <t>431N</t>
  </si>
  <si>
    <t>TKC0087</t>
  </si>
  <si>
    <t>SKAGEN MAERSK</t>
  </si>
  <si>
    <t>SEATRADE ORANGE</t>
  </si>
  <si>
    <t>4520</t>
  </si>
  <si>
    <t>27-Jun-24 1700</t>
  </si>
  <si>
    <t>21-Jul 05:30</t>
  </si>
  <si>
    <t>22-Jul 07:00</t>
  </si>
  <si>
    <t>12-Aug 05:30</t>
  </si>
  <si>
    <t>13-Aug 07:00</t>
  </si>
  <si>
    <t>31-Aug 10:00</t>
  </si>
  <si>
    <t>01-Sep 03:00</t>
  </si>
  <si>
    <t>122</t>
  </si>
  <si>
    <t>07-Sep 10:00</t>
  </si>
  <si>
    <t>08-Sep 03:00</t>
  </si>
  <si>
    <t>14-Sep 10:00</t>
  </si>
  <si>
    <t>15-Sep 03:00</t>
  </si>
  <si>
    <t>21-Sep 10:00</t>
  </si>
  <si>
    <t>22-Sep 03:00</t>
  </si>
  <si>
    <t>780</t>
  </si>
  <si>
    <t>28-Sep 10:00</t>
  </si>
  <si>
    <t>29-Sep 04:00</t>
  </si>
  <si>
    <t>05-Oct 07:00</t>
  </si>
  <si>
    <t>277N</t>
  </si>
  <si>
    <t>05-Oct 10:00</t>
  </si>
  <si>
    <t>06-Oct 03:00</t>
  </si>
  <si>
    <t>09-Nov 06:00</t>
  </si>
  <si>
    <t>694N</t>
  </si>
  <si>
    <t>15-Nov 05:30</t>
  </si>
  <si>
    <t>16-Nov 07:00</t>
  </si>
  <si>
    <t>503N</t>
  </si>
  <si>
    <t>22-Nov 05:30</t>
  </si>
  <si>
    <t>23-Nov 07:00</t>
  </si>
  <si>
    <t>167N</t>
  </si>
  <si>
    <t>29-Nov 05:30</t>
  </si>
  <si>
    <t>30-Nov 07:00</t>
  </si>
  <si>
    <t>467N</t>
  </si>
  <si>
    <t>06-Dec 05:30</t>
  </si>
  <si>
    <t>07-Dec 07:00</t>
  </si>
  <si>
    <t>066N</t>
  </si>
  <si>
    <t>13-Dec 05:30</t>
  </si>
  <si>
    <t>14-Dec 07:00</t>
  </si>
  <si>
    <t>CTA9730</t>
  </si>
  <si>
    <t>096N</t>
  </si>
  <si>
    <t>VIKING PAGLIA</t>
  </si>
  <si>
    <t>PAI9913</t>
  </si>
  <si>
    <t>2408</t>
  </si>
  <si>
    <t>MLL9713</t>
  </si>
  <si>
    <t>046S</t>
  </si>
  <si>
    <t>047N</t>
  </si>
  <si>
    <t>MORNING CAPO</t>
  </si>
  <si>
    <t>MOV9735</t>
  </si>
  <si>
    <t>EF411</t>
  </si>
  <si>
    <t>KIRIBATI CHIEF</t>
  </si>
  <si>
    <t>KBC9225</t>
  </si>
  <si>
    <t>2408S</t>
  </si>
  <si>
    <t>TJB9761</t>
  </si>
  <si>
    <t>193</t>
  </si>
  <si>
    <t>PAL0007</t>
  </si>
  <si>
    <t>HMNZS YOKOHAMA FENDERS</t>
  </si>
  <si>
    <t>.</t>
  </si>
  <si>
    <t>MSC SANTA MARIA</t>
  </si>
  <si>
    <t>FC425A</t>
  </si>
  <si>
    <t>FC428R</t>
  </si>
  <si>
    <t>Maersk Monte Lascar</t>
  </si>
  <si>
    <t>06-Aug 06:00</t>
  </si>
  <si>
    <t>07-Aug 05:00</t>
  </si>
  <si>
    <t>GSL Syros</t>
  </si>
  <si>
    <t>07-Aug 07:00</t>
  </si>
  <si>
    <t>08-Aug 05:00</t>
  </si>
  <si>
    <t>432N</t>
  </si>
  <si>
    <t>13-Aug 06:00</t>
  </si>
  <si>
    <t>14-Aug 05:00</t>
  </si>
  <si>
    <t>14-Aug 07:00</t>
  </si>
  <si>
    <t>15-Aug 05:00</t>
  </si>
  <si>
    <t>433N</t>
  </si>
  <si>
    <t>20-Aug 06:00</t>
  </si>
  <si>
    <t>21-Aug 05:00</t>
  </si>
  <si>
    <t>21-Aug 07:00</t>
  </si>
  <si>
    <t>22-Aug 05:00</t>
  </si>
  <si>
    <t>434N</t>
  </si>
  <si>
    <t>27-Aug 06:00</t>
  </si>
  <si>
    <t>28-Aug 05:00</t>
  </si>
  <si>
    <t>RIM0053</t>
  </si>
  <si>
    <t>MHE0880</t>
  </si>
  <si>
    <t>005S</t>
  </si>
  <si>
    <t>426</t>
  </si>
  <si>
    <t>436</t>
  </si>
  <si>
    <t>121</t>
  </si>
  <si>
    <t>BUFFALO</t>
  </si>
  <si>
    <t>Muroran</t>
  </si>
  <si>
    <t>COQ9811</t>
  </si>
  <si>
    <t>026E</t>
  </si>
  <si>
    <t>027W</t>
  </si>
  <si>
    <t>TAK9789</t>
  </si>
  <si>
    <t>0197</t>
  </si>
  <si>
    <t>0198</t>
  </si>
  <si>
    <t>OSL9691</t>
  </si>
  <si>
    <t>433E</t>
  </si>
  <si>
    <t>434W</t>
  </si>
  <si>
    <t>05-Jul-24 1700</t>
  </si>
  <si>
    <t>MAERSK BUTON</t>
  </si>
  <si>
    <t>JPO AQUARIUS</t>
  </si>
  <si>
    <t>JPO0052</t>
  </si>
  <si>
    <t>MAERSK RIO NEGRO</t>
  </si>
  <si>
    <t>FC426A</t>
  </si>
  <si>
    <t>FC429R</t>
  </si>
  <si>
    <t>AO10004</t>
  </si>
  <si>
    <t>MC10019</t>
  </si>
  <si>
    <t>KE427R</t>
  </si>
  <si>
    <t>MNG0002</t>
  </si>
  <si>
    <t>KE428R</t>
  </si>
  <si>
    <t>MCH9766</t>
  </si>
  <si>
    <t>4617</t>
  </si>
  <si>
    <t>4618</t>
  </si>
  <si>
    <t>ANM9804</t>
  </si>
  <si>
    <t>2431</t>
  </si>
  <si>
    <t>2432</t>
  </si>
  <si>
    <t>PLN9742</t>
  </si>
  <si>
    <t>CPT9305</t>
  </si>
  <si>
    <t>465S</t>
  </si>
  <si>
    <t>08-Jul 01:00</t>
  </si>
  <si>
    <t>05-Aug 10:00</t>
  </si>
  <si>
    <t>COH0004</t>
  </si>
  <si>
    <t>29-Jun 15:30</t>
  </si>
  <si>
    <t>04-Jul-24 1700</t>
  </si>
  <si>
    <t>08-Jul-24 1700</t>
  </si>
  <si>
    <t>09-Jul 01:00</t>
  </si>
  <si>
    <t>09-Jul 23:59</t>
  </si>
  <si>
    <t>10-Jul 01:00</t>
  </si>
  <si>
    <t>10-Jul 23:59</t>
  </si>
  <si>
    <t>11-Jul 01:00</t>
  </si>
  <si>
    <t>11-Jul 23:59</t>
  </si>
  <si>
    <t>30-Jun 13:30</t>
  </si>
  <si>
    <t>30-Jun 14:30</t>
  </si>
  <si>
    <t>01-Jul 19:00</t>
  </si>
  <si>
    <t>01-Jul 20:00</t>
  </si>
  <si>
    <t>05-Jul 13:00</t>
  </si>
  <si>
    <t>05-Jul 14:00</t>
  </si>
  <si>
    <t>06-Jul 09:00</t>
  </si>
  <si>
    <t>06-Jul 10:00</t>
  </si>
  <si>
    <t>07-Jul 07:00</t>
  </si>
  <si>
    <t>07-Jul 08:00</t>
  </si>
  <si>
    <t>TKC0088</t>
  </si>
  <si>
    <t>CAPE SPENCER</t>
  </si>
  <si>
    <t>4521</t>
  </si>
  <si>
    <t>SAN VICENTE</t>
  </si>
  <si>
    <t>426W</t>
  </si>
  <si>
    <t>NOF9760</t>
  </si>
  <si>
    <t>02-Jul 23:00</t>
  </si>
  <si>
    <t>03-Jul 00:01</t>
  </si>
  <si>
    <t>04-Jul 06:00</t>
  </si>
  <si>
    <t>04-Jul 07:00</t>
  </si>
  <si>
    <t>16-Jul 10:00</t>
  </si>
  <si>
    <t>17-Jul 03:00</t>
  </si>
  <si>
    <t>05-Aug 18:00</t>
  </si>
  <si>
    <t>28-Aug 15:30</t>
  </si>
  <si>
    <t>29-Aug 23:00</t>
  </si>
  <si>
    <t>06-Sep 05:30</t>
  </si>
  <si>
    <t>07-Sep 07:00</t>
  </si>
  <si>
    <t>KT20038</t>
  </si>
  <si>
    <t>NZPAC</t>
  </si>
  <si>
    <t>19-Jul 06:00</t>
  </si>
  <si>
    <t>Optional</t>
  </si>
  <si>
    <t>MARIUS</t>
  </si>
  <si>
    <t>4522</t>
  </si>
  <si>
    <t>MSC Corcovado III</t>
  </si>
  <si>
    <t>426A</t>
  </si>
  <si>
    <t>1/07/2024 8:23 am</t>
  </si>
  <si>
    <t>426R</t>
  </si>
  <si>
    <t>2/07/2024 1:00 am</t>
  </si>
  <si>
    <t>7/07/2024 1:31 am</t>
  </si>
  <si>
    <t>Column6</t>
  </si>
  <si>
    <t>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</si>
</sst>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/mm\ h:mm"/>
  </numFmts>
  <fonts count="1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FF0000"/>
      <name val="Arial Black"/>
      <family val="2"/>
    </font>
    <font>
      <sz val="14"/>
      <color theme="3" tint="-0.499984740745262"/>
      <name val="Calibri"/>
      <family val="2"/>
      <scheme val="minor"/>
    </font>
    <font>
      <sz val="12"/>
      <color theme="3" tint="-0.499984740745262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theme="6"/>
      </patternFill>
    </fill>
    <fill>
      <patternFill patternType="solid">
        <fgColor rgb="FF10224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E1E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rgb="FF102240"/>
      </left>
      <right style="thin">
        <color rgb="FF102240"/>
      </right>
      <top style="thin">
        <color rgb="FF102240"/>
      </top>
      <bottom/>
      <diagonal/>
    </border>
    <border>
      <left style="thin">
        <color rgb="FF102240"/>
      </left>
      <right style="thin">
        <color indexed="64"/>
      </right>
      <top style="thin">
        <color rgb="FF102240"/>
      </top>
      <bottom/>
      <diagonal/>
    </border>
    <border>
      <left style="thin">
        <color rgb="FF102240"/>
      </left>
      <right style="thin">
        <color rgb="FF102240"/>
      </right>
      <top style="thin">
        <color rgb="FF102240"/>
      </top>
      <bottom style="thin">
        <color indexed="64"/>
      </bottom>
      <diagonal/>
    </border>
    <border>
      <left/>
      <right style="thin">
        <color rgb="FF102240"/>
      </right>
      <top style="thin">
        <color rgb="FF102240"/>
      </top>
      <bottom/>
      <diagonal/>
    </border>
    <border>
      <left/>
      <right style="thin">
        <color rgb="FF102240"/>
      </right>
      <top style="thin">
        <color rgb="FF102240"/>
      </top>
      <bottom style="thin">
        <color indexed="64"/>
      </bottom>
      <diagonal/>
    </border>
    <border>
      <left style="thin">
        <color indexed="64"/>
      </left>
      <right style="thin">
        <color rgb="FF102240"/>
      </right>
      <top style="thin">
        <color indexed="64"/>
      </top>
      <bottom style="thin">
        <color rgb="FF102240"/>
      </bottom>
      <diagonal/>
    </border>
    <border>
      <left style="thin">
        <color rgb="FF102240"/>
      </left>
      <right style="thin">
        <color rgb="FF102240"/>
      </right>
      <top style="thin">
        <color indexed="64"/>
      </top>
      <bottom style="thin">
        <color rgb="FF102240"/>
      </bottom>
      <diagonal/>
    </border>
    <border>
      <left/>
      <right/>
      <top style="thin">
        <color indexed="64"/>
      </top>
      <bottom style="thin">
        <color rgb="FF102240"/>
      </bottom>
      <diagonal/>
    </border>
    <border>
      <left style="thin">
        <color rgb="FF102240"/>
      </left>
      <right style="thin">
        <color indexed="64"/>
      </right>
      <top style="thin">
        <color indexed="64"/>
      </top>
      <bottom style="thin">
        <color rgb="FF102240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6">
    <xf numFmtId="0" fontId="0" fillId="0" borderId="0" xfId="0"/>
    <xf numFmtId="22" fontId="0" fillId="0" borderId="0" xfId="0" applyNumberFormat="1"/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22" fontId="0" fillId="2" borderId="0" xfId="0" applyNumberForma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2" xfId="0" applyFill="1" applyBorder="1"/>
    <xf numFmtId="0" fontId="0" fillId="5" borderId="5" xfId="0" applyFill="1" applyBorder="1"/>
    <xf numFmtId="0" fontId="4" fillId="6" borderId="9" xfId="0" applyFont="1" applyFill="1" applyBorder="1"/>
    <xf numFmtId="0" fontId="4" fillId="6" borderId="10" xfId="0" applyFont="1" applyFill="1" applyBorder="1"/>
    <xf numFmtId="164" fontId="0" fillId="0" borderId="0" xfId="0" applyNumberFormat="1"/>
    <xf numFmtId="2" fontId="0" fillId="0" borderId="0" xfId="0" applyNumberFormat="1"/>
    <xf numFmtId="22" fontId="4" fillId="6" borderId="11" xfId="0" applyNumberFormat="1" applyFont="1" applyFill="1" applyBorder="1"/>
    <xf numFmtId="22" fontId="0" fillId="0" borderId="2" xfId="0" applyNumberFormat="1" applyBorder="1"/>
    <xf numFmtId="0" fontId="0" fillId="7" borderId="0" xfId="0" applyFill="1"/>
    <xf numFmtId="0" fontId="0" fillId="9" borderId="0" xfId="0" applyFill="1"/>
    <xf numFmtId="0" fontId="9" fillId="8" borderId="0" xfId="0" applyFont="1" applyFill="1"/>
    <xf numFmtId="0" fontId="9" fillId="8" borderId="4" xfId="0" applyFont="1" applyFill="1" applyBorder="1"/>
    <xf numFmtId="0" fontId="9" fillId="8" borderId="5" xfId="0" applyFont="1" applyFill="1" applyBorder="1"/>
    <xf numFmtId="0" fontId="9" fillId="0" borderId="0" xfId="0" applyFont="1"/>
    <xf numFmtId="0" fontId="7" fillId="8" borderId="17" xfId="0" applyFont="1" applyFill="1" applyBorder="1" applyAlignment="1">
      <alignment horizontal="center" vertical="center"/>
    </xf>
    <xf numFmtId="0" fontId="7" fillId="8" borderId="18" xfId="0" applyFont="1" applyFill="1" applyBorder="1" applyAlignment="1">
      <alignment horizontal="center" vertical="center"/>
    </xf>
    <xf numFmtId="0" fontId="7" fillId="8" borderId="19" xfId="0" applyFont="1" applyFill="1" applyBorder="1" applyAlignment="1">
      <alignment horizontal="center" vertical="center"/>
    </xf>
    <xf numFmtId="0" fontId="7" fillId="8" borderId="20" xfId="0" applyFont="1" applyFill="1" applyBorder="1" applyAlignment="1">
      <alignment horizontal="center" vertical="center"/>
    </xf>
    <xf numFmtId="22" fontId="8" fillId="8" borderId="15" xfId="0" applyNumberFormat="1" applyFont="1" applyFill="1" applyBorder="1" applyAlignment="1">
      <alignment horizontal="center"/>
    </xf>
    <xf numFmtId="22" fontId="8" fillId="8" borderId="12" xfId="0" applyNumberFormat="1" applyFont="1" applyFill="1" applyBorder="1" applyAlignment="1">
      <alignment horizontal="center"/>
    </xf>
    <xf numFmtId="22" fontId="8" fillId="8" borderId="13" xfId="0" applyNumberFormat="1" applyFont="1" applyFill="1" applyBorder="1" applyAlignment="1">
      <alignment horizontal="center"/>
    </xf>
    <xf numFmtId="0" fontId="10" fillId="8" borderId="0" xfId="1" applyFill="1" applyBorder="1"/>
    <xf numFmtId="22" fontId="5" fillId="8" borderId="15" xfId="0" applyNumberFormat="1" applyFont="1" applyFill="1" applyBorder="1" applyAlignment="1">
      <alignment horizontal="center"/>
    </xf>
    <xf numFmtId="22" fontId="5" fillId="8" borderId="12" xfId="0" applyNumberFormat="1" applyFont="1" applyFill="1" applyBorder="1" applyAlignment="1">
      <alignment horizontal="center"/>
    </xf>
    <xf numFmtId="22" fontId="5" fillId="8" borderId="16" xfId="0" applyNumberFormat="1" applyFont="1" applyFill="1" applyBorder="1" applyAlignment="1">
      <alignment horizontal="center"/>
    </xf>
    <xf numFmtId="22" fontId="5" fillId="8" borderId="14" xfId="0" applyNumberFormat="1" applyFont="1" applyFill="1" applyBorder="1" applyAlignment="1">
      <alignment horizontal="center"/>
    </xf>
    <xf numFmtId="0" fontId="10" fillId="0" borderId="0" xfId="1" applyBorder="1"/>
    <xf numFmtId="0" fontId="6" fillId="8" borderId="4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83"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00355C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355C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355C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0" formatCode="General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27" formatCode="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53FCE83A-56E7-4414-9F3D-7A48B755FC1E}"/>
  </tableStyles>
  <colors>
    <mruColors>
      <color rgb="FFA0C8DC"/>
      <color rgb="FF1E1E50"/>
      <color rgb="FF40C9E0"/>
      <color rgb="FF3CC8DC"/>
      <color rgb="FF00355C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27882755893584"/>
          <c:y val="3.4678062394099471E-2"/>
          <c:w val="0.87618007284124411"/>
          <c:h val="0.91991680978837864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Calculation!$AX$8</c:f>
              <c:strCache>
                <c:ptCount val="1"/>
                <c:pt idx="0">
                  <c:v>ETD</c:v>
                </c:pt>
              </c:strCache>
            </c:strRef>
          </c:tx>
          <c:spPr>
            <a:solidFill>
              <a:srgbClr val="A0C8D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B052E68-D8C1-4F6B-B2E7-8CBCFA3962E4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D23-41A7-B7F6-E6439AFD1C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E8F2AC-3E7D-487A-96B1-223EEA8CA9C3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23-41A7-B7F6-E6439AFD1C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3605B8-21C1-4C30-9810-1E1D41FB2283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23-41A7-B7F6-E6439AFD1C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9A7BDB-71AA-4340-B7CD-D201BE295DD3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23-41A7-B7F6-E6439AFD1C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1C4124-354C-4C89-BD1E-B98539EF0D43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23-41A7-B7F6-E6439AFD1C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95F5F4-4629-4521-B815-43C037546CA5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23-41A7-B7F6-E6439AFD1C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C8E51F5-801B-4628-8823-1E44FEF79C77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23-41A7-B7F6-E6439AFD1C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C59F52-E01B-49A7-AB19-38E0950E4309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23-41A7-B7F6-E6439AFD1C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580828-2014-4603-8A1D-E5726DF63A69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23-41A7-B7F6-E6439AFD1C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D2EC49-DA98-4CF2-A28C-0C35F7F7A293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23-41A7-B7F6-E6439AFD1C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7FCCE68-70EE-4566-94FB-731F0D940089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23-41A7-B7F6-E6439AFD1C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1E1E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Calculation!$AV$27:$AV$37</c:f>
              <c:strCache>
                <c:ptCount val="11"/>
                <c:pt idx="0">
                  <c:v>SEATRADE ORANGE 4520</c:v>
                </c:pt>
                <c:pt idx="1">
                  <c:v>CAP JACKSON 425N</c:v>
                </c:pt>
                <c:pt idx="2">
                  <c:v>ANL TASMAN TRADER 2426</c:v>
                </c:pt>
                <c:pt idx="3">
                  <c:v>KETA 2412</c:v>
                </c:pt>
                <c:pt idx="4">
                  <c:v>XIN ZHANG ZHOU 063N</c:v>
                </c:pt>
                <c:pt idx="5">
                  <c:v>NORFOLK 120</c:v>
                </c:pt>
                <c:pt idx="6">
                  <c:v>TAKUTAI CHIEF 0188</c:v>
                </c:pt>
                <c:pt idx="7">
                  <c:v>TAKUTAI CHIEF 0190</c:v>
                </c:pt>
                <c:pt idx="8">
                  <c:v>CAPE SPENCER 4521</c:v>
                </c:pt>
                <c:pt idx="9">
                  <c:v>SEATTLE EXPRESS 426N</c:v>
                </c:pt>
                <c:pt idx="10">
                  <c:v>CONTSHIP WIN 2428</c:v>
                </c:pt>
              </c:strCache>
            </c:strRef>
          </c:cat>
          <c:val>
            <c:numRef>
              <c:f>Calculation!$AX$27:$AX$37</c:f>
              <c:numCache>
                <c:formatCode>General</c:formatCode>
                <c:ptCount val="11"/>
                <c:pt idx="0">
                  <c:v>3.9166666666642413</c:v>
                </c:pt>
                <c:pt idx="1">
                  <c:v>4.9166666666642413</c:v>
                </c:pt>
                <c:pt idx="2">
                  <c:v>6.1284722222189885</c:v>
                </c:pt>
                <c:pt idx="3">
                  <c:v>7.25</c:v>
                </c:pt>
                <c:pt idx="4">
                  <c:v>7.9583333333357587</c:v>
                </c:pt>
                <c:pt idx="5">
                  <c:v>8.7083333333357587</c:v>
                </c:pt>
                <c:pt idx="6">
                  <c:v>8.4097222222189885</c:v>
                </c:pt>
                <c:pt idx="7">
                  <c:v>8.7083333333357587</c:v>
                </c:pt>
                <c:pt idx="8">
                  <c:v>10.916666666664241</c:v>
                </c:pt>
                <c:pt idx="9">
                  <c:v>11.875</c:v>
                </c:pt>
                <c:pt idx="10">
                  <c:v>13.375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Calculation!$AX$9:$AX$19</c15:f>
                <c15:dlblRangeCache>
                  <c:ptCount val="11"/>
                  <c:pt idx="0">
                    <c:v>17/07 22:00</c:v>
                  </c:pt>
                  <c:pt idx="1">
                    <c:v>18/07 22:00</c:v>
                  </c:pt>
                  <c:pt idx="2">
                    <c:v>20/07 3:05</c:v>
                  </c:pt>
                  <c:pt idx="3">
                    <c:v>21/07 6:00</c:v>
                  </c:pt>
                  <c:pt idx="4">
                    <c:v>21/07 23:00</c:v>
                  </c:pt>
                  <c:pt idx="5">
                    <c:v>22/07 17:00</c:v>
                  </c:pt>
                  <c:pt idx="6">
                    <c:v>22/07 9:50</c:v>
                  </c:pt>
                  <c:pt idx="7">
                    <c:v>22/07 17:00</c:v>
                  </c:pt>
                  <c:pt idx="8">
                    <c:v>24/07 22:00</c:v>
                  </c:pt>
                  <c:pt idx="9">
                    <c:v>25/07 21:00</c:v>
                  </c:pt>
                  <c:pt idx="10">
                    <c:v>27/07 9:00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ED23-41A7-B7F6-E6439AFD1CFD}"/>
            </c:ext>
          </c:extLst>
        </c:ser>
        <c:ser>
          <c:idx val="2"/>
          <c:order val="2"/>
          <c:tx>
            <c:strRef>
              <c:f>Calculation!$AY$8</c:f>
              <c:strCache>
                <c:ptCount val="1"/>
                <c:pt idx="0">
                  <c:v>TRG CUT OFF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8156D5D-8AF3-49BB-892D-304D0AA4F5F0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23-41A7-B7F6-E6439AFD1C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9E67BF-DFC1-47B7-A02C-72D8A16E6D6F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23-41A7-B7F6-E6439AFD1C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DAEE0C-2C80-431B-8A38-2CD36D33142B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23-41A7-B7F6-E6439AFD1C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692A96-B098-488F-9672-5CC9B00D197D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23-41A7-B7F6-E6439AFD1C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8A601A-CAE8-4047-8F9C-2F2C0189A15F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23-41A7-B7F6-E6439AFD1C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43AEA2-776C-4E31-8DC1-EA94E1121097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23-41A7-B7F6-E6439AFD1C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341974B-066A-4FA2-A4D7-30BED93EC511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23-41A7-B7F6-E6439AFD1C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90451A-A60E-4A66-917F-C30489A01AA7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23-41A7-B7F6-E6439AFD1C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22295CE-5E8D-43BC-AD02-29955C881156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23-41A7-B7F6-E6439AFD1C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F889B5E-FE89-4F59-A49D-6B260F7849D9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23-41A7-B7F6-E6439AFD1C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4ACF5E1-9EE0-4698-9E02-D651FA2B68AD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23-41A7-B7F6-E6439AFD1C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numCol="1" spcCol="25200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ln w="9525" cmpd="thickThin">
                      <a:noFill/>
                    </a:ln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Calculation!$AV$27:$AV$37</c:f>
              <c:strCache>
                <c:ptCount val="11"/>
                <c:pt idx="0">
                  <c:v>SEATRADE ORANGE 4520</c:v>
                </c:pt>
                <c:pt idx="1">
                  <c:v>CAP JACKSON 425N</c:v>
                </c:pt>
                <c:pt idx="2">
                  <c:v>ANL TASMAN TRADER 2426</c:v>
                </c:pt>
                <c:pt idx="3">
                  <c:v>KETA 2412</c:v>
                </c:pt>
                <c:pt idx="4">
                  <c:v>XIN ZHANG ZHOU 063N</c:v>
                </c:pt>
                <c:pt idx="5">
                  <c:v>NORFOLK 120</c:v>
                </c:pt>
                <c:pt idx="6">
                  <c:v>TAKUTAI CHIEF 0188</c:v>
                </c:pt>
                <c:pt idx="7">
                  <c:v>TAKUTAI CHIEF 0190</c:v>
                </c:pt>
                <c:pt idx="8">
                  <c:v>CAPE SPENCER 4521</c:v>
                </c:pt>
                <c:pt idx="9">
                  <c:v>SEATTLE EXPRESS 426N</c:v>
                </c:pt>
                <c:pt idx="10">
                  <c:v>CONTSHIP WIN 2428</c:v>
                </c:pt>
              </c:strCache>
            </c:strRef>
          </c:cat>
          <c:val>
            <c:numRef>
              <c:f>Calculation!$BA$9:$BA$19</c:f>
              <c:numCache>
                <c:formatCode>General</c:formatCode>
                <c:ptCount val="11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Calculation!$AY$9:$AY$19</c15:f>
                <c15:dlblRangeCache>
                  <c:ptCount val="11"/>
                  <c:pt idx="0">
                    <c:v>15/07 12:00</c:v>
                  </c:pt>
                  <c:pt idx="1">
                    <c:v>16/07 15:00</c:v>
                  </c:pt>
                  <c:pt idx="2">
                    <c:v>18/07 15:00</c:v>
                  </c:pt>
                  <c:pt idx="3">
                    <c:v>19/07 15:00</c:v>
                  </c:pt>
                  <c:pt idx="4">
                    <c:v>20/07 12:00</c:v>
                  </c:pt>
                  <c:pt idx="5">
                    <c:v>20/07 12:00</c:v>
                  </c:pt>
                  <c:pt idx="6">
                    <c:v>19/07 0:50</c:v>
                  </c:pt>
                  <c:pt idx="7">
                    <c:v>21/07 15:00</c:v>
                  </c:pt>
                  <c:pt idx="8">
                    <c:v>22/07 12:00</c:v>
                  </c:pt>
                  <c:pt idx="9">
                    <c:v>23/07 15:00</c:v>
                  </c:pt>
                  <c:pt idx="10">
                    <c:v>25/07 15:00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ED23-41A7-B7F6-E6439AFD1CFD}"/>
            </c:ext>
          </c:extLst>
        </c:ser>
        <c:ser>
          <c:idx val="0"/>
          <c:order val="1"/>
          <c:tx>
            <c:strRef>
              <c:f>Calculation!$AW$8</c:f>
              <c:strCache>
                <c:ptCount val="1"/>
                <c:pt idx="0">
                  <c:v>ETA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380B92F-61A5-4373-9FB3-372573753E35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23-41A7-B7F6-E6439AFD1C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D7749B-2076-4AF9-A548-E64064F12CAE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23-41A7-B7F6-E6439AFD1C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975544-4DDD-44D8-AD1D-02E025971F4A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23-41A7-B7F6-E6439AFD1C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2C8B47-3777-4B48-B593-99984D034449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23-41A7-B7F6-E6439AFD1C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409A63-AD20-4778-84EB-DC9CB84D606E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23-41A7-B7F6-E6439AFD1C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4E30A1C-5784-4664-BF82-3F880AAB1AC2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23-41A7-B7F6-E6439AFD1C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398161-0FB4-4A59-97F6-DF6629C3AA3E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23-41A7-B7F6-E6439AFD1C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A96FA50-131E-46ED-86A0-8A1E0B0B1CDE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23-41A7-B7F6-E6439AFD1C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821CC6-F4EA-4B8A-97E5-4DAE3BA426F2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23-41A7-B7F6-E6439AFD1C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D72850-F102-4105-991B-85E60417FAD1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23-41A7-B7F6-E6439AFD1C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F80B5D7-49B3-4C26-8A27-6BCFB5A389E9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23-41A7-B7F6-E6439AFD1C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ln>
                      <a:noFill/>
                    </a:ln>
                    <a:solidFill>
                      <a:srgbClr val="1E1E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Calculation!$AV$27:$AV$37</c:f>
              <c:strCache>
                <c:ptCount val="11"/>
                <c:pt idx="0">
                  <c:v>SEATRADE ORANGE 4520</c:v>
                </c:pt>
                <c:pt idx="1">
                  <c:v>CAP JACKSON 425N</c:v>
                </c:pt>
                <c:pt idx="2">
                  <c:v>ANL TASMAN TRADER 2426</c:v>
                </c:pt>
                <c:pt idx="3">
                  <c:v>KETA 2412</c:v>
                </c:pt>
                <c:pt idx="4">
                  <c:v>XIN ZHANG ZHOU 063N</c:v>
                </c:pt>
                <c:pt idx="5">
                  <c:v>NORFOLK 120</c:v>
                </c:pt>
                <c:pt idx="6">
                  <c:v>TAKUTAI CHIEF 0188</c:v>
                </c:pt>
                <c:pt idx="7">
                  <c:v>TAKUTAI CHIEF 0190</c:v>
                </c:pt>
                <c:pt idx="8">
                  <c:v>CAPE SPENCER 4521</c:v>
                </c:pt>
                <c:pt idx="9">
                  <c:v>SEATTLE EXPRESS 426N</c:v>
                </c:pt>
                <c:pt idx="10">
                  <c:v>CONTSHIP WIN 2428</c:v>
                </c:pt>
              </c:strCache>
            </c:strRef>
          </c:cat>
          <c:val>
            <c:numRef>
              <c:f>Calculation!$AW$27:$AW$37</c:f>
              <c:numCache>
                <c:formatCode>General</c:formatCode>
                <c:ptCount val="11"/>
                <c:pt idx="0">
                  <c:v>2.9166666666642413</c:v>
                </c:pt>
                <c:pt idx="1">
                  <c:v>4.0006944444467081</c:v>
                </c:pt>
                <c:pt idx="2">
                  <c:v>5.5034722222189885</c:v>
                </c:pt>
                <c:pt idx="3">
                  <c:v>6.5833333333357587</c:v>
                </c:pt>
                <c:pt idx="4">
                  <c:v>7.2916666666642413</c:v>
                </c:pt>
                <c:pt idx="5">
                  <c:v>8.0006944444467081</c:v>
                </c:pt>
                <c:pt idx="6">
                  <c:v>8.0347222222189885</c:v>
                </c:pt>
                <c:pt idx="7">
                  <c:v>8.3333333333357587</c:v>
                </c:pt>
                <c:pt idx="8">
                  <c:v>9.9166666666642413</c:v>
                </c:pt>
                <c:pt idx="9">
                  <c:v>11.000694444446708</c:v>
                </c:pt>
                <c:pt idx="10">
                  <c:v>12.75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Calculation!$AW$9:$AW$19</c15:f>
                <c15:dlblRangeCache>
                  <c:ptCount val="11"/>
                  <c:pt idx="0">
                    <c:v>16/07 22:00</c:v>
                  </c:pt>
                  <c:pt idx="1">
                    <c:v>18/07 0:01</c:v>
                  </c:pt>
                  <c:pt idx="2">
                    <c:v>19/07 12:05</c:v>
                  </c:pt>
                  <c:pt idx="3">
                    <c:v>20/07 14:00</c:v>
                  </c:pt>
                  <c:pt idx="4">
                    <c:v>21/07 7:00</c:v>
                  </c:pt>
                  <c:pt idx="5">
                    <c:v>22/07 0:01</c:v>
                  </c:pt>
                  <c:pt idx="6">
                    <c:v>22/07 0:50</c:v>
                  </c:pt>
                  <c:pt idx="7">
                    <c:v>22/07 8:00</c:v>
                  </c:pt>
                  <c:pt idx="8">
                    <c:v>23/07 22:00</c:v>
                  </c:pt>
                  <c:pt idx="9">
                    <c:v>25/07 0:01</c:v>
                  </c:pt>
                  <c:pt idx="10">
                    <c:v>26/07 18:00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3-ED23-41A7-B7F6-E6439AFD1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92322383"/>
        <c:axId val="1500849279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Calculation!$AZ$8</c15:sqref>
                        </c15:formulaRef>
                      </c:ext>
                    </c:extLst>
                    <c:strCache>
                      <c:ptCount val="1"/>
                      <c:pt idx="0">
                        <c:v>MT CUT OFF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 w="25400">
                    <a:noFill/>
                  </a:ln>
                  <a:effectLst/>
                </c:spPr>
                <c:invertIfNegative val="0"/>
                <c:dLbls>
                  <c:dLbl>
                    <c:idx val="0"/>
                    <c:tx>
                      <c:rich>
                        <a:bodyPr/>
                        <a:lstStyle/>
                        <a:p>
                          <a:fld id="{03D43FD3-00E3-4E17-AFAC-3CFE2408B3FF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B91F9960-92CB-4589-B64D-600431ED1750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7-ED23-41A7-B7F6-E6439AFD1CFD}"/>
                      </c:ext>
                    </c:extLst>
                  </c:dLbl>
                  <c:dLbl>
                    <c:idx val="1"/>
                    <c:tx>
                      <c:rich>
                        <a:bodyPr/>
                        <a:lstStyle/>
                        <a:p>
                          <a:fld id="{CE04916A-96DC-497B-8A6B-11956286E712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E85C5EA0-7FD1-4135-B71F-95F2FE1EEA08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8-ED23-41A7-B7F6-E6439AFD1CFD}"/>
                      </c:ext>
                    </c:extLst>
                  </c:dLbl>
                  <c:dLbl>
                    <c:idx val="2"/>
                    <c:tx>
                      <c:rich>
                        <a:bodyPr/>
                        <a:lstStyle/>
                        <a:p>
                          <a:fld id="{4FDD4FAF-3EA6-4F53-9775-5A1FF7746491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A4E14531-A6AC-4966-8FC0-644C3999EEBF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9-ED23-41A7-B7F6-E6439AFD1CFD}"/>
                      </c:ext>
                    </c:extLst>
                  </c:dLbl>
                  <c:dLbl>
                    <c:idx val="3"/>
                    <c:tx>
                      <c:rich>
                        <a:bodyPr/>
                        <a:lstStyle/>
                        <a:p>
                          <a:fld id="{23A74C9A-D4F7-4A5F-8D3E-A48CC4D79655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006E00E2-344A-4E43-8EC3-3A506C6588E5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A-ED23-41A7-B7F6-E6439AFD1CFD}"/>
                      </c:ext>
                    </c:extLst>
                  </c:dLbl>
                  <c:dLbl>
                    <c:idx val="4"/>
                    <c:tx>
                      <c:rich>
                        <a:bodyPr/>
                        <a:lstStyle/>
                        <a:p>
                          <a:fld id="{85F15011-9926-4835-AAE6-8A44DC832C8E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3988380B-1814-4200-90FB-F0A6DFD771B3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B-ED23-41A7-B7F6-E6439AFD1CFD}"/>
                      </c:ext>
                    </c:extLst>
                  </c:dLbl>
                  <c:dLbl>
                    <c:idx val="5"/>
                    <c:tx>
                      <c:rich>
                        <a:bodyPr/>
                        <a:lstStyle/>
                        <a:p>
                          <a:fld id="{1F701169-6697-4808-BD92-D793CFA86C1B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016ABE12-E147-4C71-9F60-1F77A6365478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C-ED23-41A7-B7F6-E6439AFD1CFD}"/>
                      </c:ext>
                    </c:extLst>
                  </c:dLbl>
                  <c:dLbl>
                    <c:idx val="6"/>
                    <c:tx>
                      <c:rich>
                        <a:bodyPr/>
                        <a:lstStyle/>
                        <a:p>
                          <a:fld id="{F0E8BDA2-234D-49C6-A237-9E641D574EBC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3CF32ECC-20FD-41EF-94D3-F442E79972D6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D-ED23-41A7-B7F6-E6439AFD1CFD}"/>
                      </c:ext>
                    </c:extLst>
                  </c:dLbl>
                  <c:dLbl>
                    <c:idx val="7"/>
                    <c:tx>
                      <c:rich>
                        <a:bodyPr/>
                        <a:lstStyle/>
                        <a:p>
                          <a:fld id="{834C1A44-1A4F-4DC7-88D3-DC7ACA58D331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351701BD-4650-44A8-9A09-7E8CA2D5723C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E-ED23-41A7-B7F6-E6439AFD1CFD}"/>
                      </c:ext>
                    </c:extLst>
                  </c:dLbl>
                  <c:dLbl>
                    <c:idx val="8"/>
                    <c:tx>
                      <c:rich>
                        <a:bodyPr/>
                        <a:lstStyle/>
                        <a:p>
                          <a:fld id="{90EE4A86-2043-4921-8686-C14CA3055F98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625BEE90-079A-4366-9CFB-BABBBCEEFFD6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F-ED23-41A7-B7F6-E6439AFD1CFD}"/>
                      </c:ext>
                    </c:extLst>
                  </c:dLbl>
                  <c:dLbl>
                    <c:idx val="9"/>
                    <c:tx>
                      <c:rich>
                        <a:bodyPr/>
                        <a:lstStyle/>
                        <a:p>
                          <a:fld id="{6003A8B0-B095-4131-8709-95817D63A7A5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E410A9D6-244D-4B4B-936A-281BB9A7EA2C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0-ED23-41A7-B7F6-E6439AFD1CFD}"/>
                      </c:ext>
                    </c:extLst>
                  </c:dLbl>
                  <c:dLbl>
                    <c:idx val="10"/>
                    <c:tx>
                      <c:rich>
                        <a:bodyPr/>
                        <a:lstStyle/>
                        <a:p>
                          <a:fld id="{55036B00-D6CF-4F20-B01F-17AC6DFAEB09}" type="CELLRANGE">
                            <a:rPr lang="en-NZ"/>
                            <a:pPr/>
                            <a:t>[CELLRANGE]</a:t>
                          </a:fld>
                          <a:r>
                            <a:rPr lang="en-NZ" baseline="0"/>
                            <a:t> </a:t>
                          </a:r>
                          <a:fld id="{81F32D4A-9A54-4ED0-B44E-C81A3D2E22A0}" type="SERIESNAME">
                            <a:rPr lang="en-NZ" baseline="0"/>
                            <a:pPr/>
                            <a:t>[SERIES NAME]</a:t>
                          </a:fld>
                          <a:endParaRPr lang="en-NZ" baseline="0"/>
                        </a:p>
                      </c:rich>
                    </c:tx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separator> </c:separator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1-ED23-41A7-B7F6-E6439AFD1CFD}"/>
                      </c:ext>
                    </c:extLst>
                  </c:dLbl>
                  <c:numFmt formatCode="m/d/yyyy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eparator> </c:separator>
                  <c:showLeaderLines val="0"/>
                  <c:extLst>
                    <c:ext uri="{CE6537A1-D6FC-4f65-9D91-7224C49458BB}">
                      <c15:showDataLabelsRange val="1"/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Calculation!$AV$27:$AV$37</c15:sqref>
                        </c15:formulaRef>
                      </c:ext>
                    </c:extLst>
                    <c:strCache>
                      <c:ptCount val="11"/>
                      <c:pt idx="0">
                        <c:v>SEATRADE ORANGE 4520</c:v>
                      </c:pt>
                      <c:pt idx="1">
                        <c:v>CAP JACKSON 425N</c:v>
                      </c:pt>
                      <c:pt idx="2">
                        <c:v>ANL TASMAN TRADER 2426</c:v>
                      </c:pt>
                      <c:pt idx="3">
                        <c:v>KETA 2412</c:v>
                      </c:pt>
                      <c:pt idx="4">
                        <c:v>XIN ZHANG ZHOU 063N</c:v>
                      </c:pt>
                      <c:pt idx="5">
                        <c:v>NORFOLK 120</c:v>
                      </c:pt>
                      <c:pt idx="6">
                        <c:v>TAKUTAI CHIEF 0188</c:v>
                      </c:pt>
                      <c:pt idx="7">
                        <c:v>TAKUTAI CHIEF 0190</c:v>
                      </c:pt>
                      <c:pt idx="8">
                        <c:v>CAPE SPENCER 4521</c:v>
                      </c:pt>
                      <c:pt idx="9">
                        <c:v>SEATTLE EXPRESS 426N</c:v>
                      </c:pt>
                      <c:pt idx="10">
                        <c:v>CONTSHIP WIN 2428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Calculation!$BA$9:$BA$19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0.5</c:v>
                      </c:pt>
                      <c:pt idx="1">
                        <c:v>1.5</c:v>
                      </c:pt>
                      <c:pt idx="2">
                        <c:v>2.5</c:v>
                      </c:pt>
                      <c:pt idx="3">
                        <c:v>3.5</c:v>
                      </c:pt>
                      <c:pt idx="4">
                        <c:v>4.5</c:v>
                      </c:pt>
                      <c:pt idx="5">
                        <c:v>5.5</c:v>
                      </c:pt>
                      <c:pt idx="6">
                        <c:v>6.5</c:v>
                      </c:pt>
                      <c:pt idx="7">
                        <c:v>7.5</c:v>
                      </c:pt>
                      <c:pt idx="8">
                        <c:v>8.5</c:v>
                      </c:pt>
                      <c:pt idx="9">
                        <c:v>9.5</c:v>
                      </c:pt>
                      <c:pt idx="10">
                        <c:v>10.5</c:v>
                      </c:pt>
                    </c:numCache>
                  </c:numRef>
                </c:val>
                <c:extLst>
                  <c:ext uri="{02D57815-91ED-43cb-92C2-25804820EDAC}">
                    <c15:datalabelsRange>
                      <c15:f>Calculation!$AZ$9:$AZ$19</c15:f>
                      <c15:dlblRangeCache>
                        <c:ptCount val="11"/>
                        <c:pt idx="0">
                          <c:v>14/07 10:00</c:v>
                        </c:pt>
                        <c:pt idx="1">
                          <c:v>15/07 12:01</c:v>
                        </c:pt>
                        <c:pt idx="2">
                          <c:v>17/07 6:00</c:v>
                        </c:pt>
                        <c:pt idx="3">
                          <c:v>18/07 2:00</c:v>
                        </c:pt>
                        <c:pt idx="4">
                          <c:v>18/07 19:00</c:v>
                        </c:pt>
                        <c:pt idx="5">
                          <c:v>19/07 12:01</c:v>
                        </c:pt>
                        <c:pt idx="6">
                          <c:v>19/07 20:00</c:v>
                        </c:pt>
                        <c:pt idx="7">
                          <c:v>19/07 20:00</c:v>
                        </c:pt>
                        <c:pt idx="8">
                          <c:v>21/07 10:00</c:v>
                        </c:pt>
                        <c:pt idx="9">
                          <c:v>22/07 12:01</c:v>
                        </c:pt>
                        <c:pt idx="10">
                          <c:v>23/07 17:00</c:v>
                        </c:pt>
                      </c15:dlblRangeCache>
                    </c15:datalabelsRange>
                  </c:ext>
                  <c:ext xmlns:c16="http://schemas.microsoft.com/office/drawing/2014/chart" uri="{C3380CC4-5D6E-409C-BE32-E72D297353CC}">
                    <c16:uniqueId val="{00000032-ED23-41A7-B7F6-E6439AFD1CFD}"/>
                  </c:ext>
                </c:extLst>
              </c15:ser>
            </c15:filteredBarSeries>
          </c:ext>
        </c:extLst>
      </c:barChart>
      <c:scatterChart>
        <c:scatterStyle val="lineMarker"/>
        <c:varyColors val="0"/>
        <c:ser>
          <c:idx val="4"/>
          <c:order val="4"/>
          <c:tx>
            <c:v>FirstVSL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errBars>
            <c:errDir val="x"/>
            <c:errBarType val="plus"/>
            <c:errValType val="cust"/>
            <c:noEndCap val="1"/>
            <c:plus>
              <c:numRef>
                <c:f>Calculation!$BI$16</c:f>
                <c:numCache>
                  <c:formatCode>General</c:formatCode>
                  <c:ptCount val="1"/>
                  <c:pt idx="0">
                    <c:v>1.3326388888890506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304800" cap="flat" cmpd="sng" algn="ctr">
                <a:solidFill>
                  <a:srgbClr val="1E1E50"/>
                </a:solidFill>
                <a:round/>
              </a:ln>
              <a:effectLst/>
            </c:spPr>
          </c:errBars>
          <c:xVal>
            <c:numRef>
              <c:f>Calculation!$BE$16</c:f>
              <c:numCache>
                <c:formatCode>0.00</c:formatCode>
                <c:ptCount val="1"/>
                <c:pt idx="0">
                  <c:v>-2.9993055555532919</c:v>
                </c:pt>
              </c:numCache>
            </c:numRef>
          </c:xVal>
          <c:yVal>
            <c:numRef>
              <c:f>Calculation!$BG$16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D23-41A7-B7F6-E6439AFD1CFD}"/>
            </c:ext>
          </c:extLst>
        </c:ser>
        <c:ser>
          <c:idx val="5"/>
          <c:order val="5"/>
          <c:tx>
            <c:v>LastVSL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errBars>
            <c:errDir val="x"/>
            <c:errBarType val="plus"/>
            <c:errValType val="cust"/>
            <c:noEndCap val="1"/>
            <c:plus>
              <c:numRef>
                <c:f>Calculation!$BI$17</c:f>
                <c:numCache>
                  <c:formatCode>General</c:formatCode>
                  <c:ptCount val="1"/>
                  <c:pt idx="0">
                    <c:v>0.87430555555329192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298450" cap="flat" cmpd="sng" algn="ctr">
                <a:solidFill>
                  <a:srgbClr val="1E1E50"/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Calculation!$BE$17</c:f>
              <c:numCache>
                <c:formatCode>0.00</c:formatCode>
                <c:ptCount val="1"/>
                <c:pt idx="0">
                  <c:v>11.000694444446708</c:v>
                </c:pt>
              </c:numCache>
            </c:numRef>
          </c:xVal>
          <c:yVal>
            <c:numRef>
              <c:f>Calculation!$BG$17</c:f>
              <c:numCache>
                <c:formatCode>General</c:formatCode>
                <c:ptCount val="1"/>
                <c:pt idx="0">
                  <c:v>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D23-41A7-B7F6-E6439AFD1CFD}"/>
            </c:ext>
          </c:extLst>
        </c:ser>
        <c:ser>
          <c:idx val="6"/>
          <c:order val="6"/>
          <c:tx>
            <c:v>MainVSL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errBars>
            <c:errDir val="x"/>
            <c:errBarType val="plus"/>
            <c:errValType val="cust"/>
            <c:noEndCap val="1"/>
            <c:plus>
              <c:numRef>
                <c:f>Calculation!$BI$18</c:f>
                <c:numCache>
                  <c:formatCode>General</c:formatCode>
                  <c:ptCount val="1"/>
                  <c:pt idx="0">
                    <c:v>0.91597222221753327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301625" cap="flat" cmpd="sng" algn="ctr">
                <a:solidFill>
                  <a:srgbClr val="FF0000"/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Calculation!$BE$18</c:f>
              <c:numCache>
                <c:formatCode>General</c:formatCode>
                <c:ptCount val="1"/>
                <c:pt idx="0">
                  <c:v>4.0006944444467081</c:v>
                </c:pt>
              </c:numCache>
            </c:numRef>
          </c:xVal>
          <c:yVal>
            <c:numRef>
              <c:f>Calculation!$BG$18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D23-41A7-B7F6-E6439AFD1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591520"/>
        <c:axId val="220608576"/>
      </c:scatterChart>
      <c:catAx>
        <c:axId val="179232238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49279"/>
        <c:crosses val="autoZero"/>
        <c:auto val="1"/>
        <c:lblAlgn val="ctr"/>
        <c:lblOffset val="100"/>
        <c:noMultiLvlLbl val="0"/>
      </c:catAx>
      <c:valAx>
        <c:axId val="1500849279"/>
        <c:scaling>
          <c:orientation val="minMax"/>
          <c:max val="14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792322383"/>
        <c:crosses val="autoZero"/>
        <c:crossBetween val="between"/>
        <c:majorUnit val="1"/>
      </c:valAx>
      <c:valAx>
        <c:axId val="220608576"/>
        <c:scaling>
          <c:orientation val="minMax"/>
          <c:max val="11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220591520"/>
        <c:crosses val="max"/>
        <c:crossBetween val="midCat"/>
        <c:majorUnit val="1"/>
      </c:valAx>
      <c:valAx>
        <c:axId val="2205915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20608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80805305760631E-4"/>
          <c:y val="0"/>
          <c:w val="0.99933926946352558"/>
          <c:h val="1"/>
        </c:manualLayout>
      </c:layout>
      <c:barChart>
        <c:barDir val="bar"/>
        <c:grouping val="clustered"/>
        <c:varyColors val="0"/>
        <c:ser>
          <c:idx val="7"/>
          <c:order val="7"/>
          <c:tx>
            <c:v>NOW</c:v>
          </c:tx>
          <c:spPr>
            <a:solidFill>
              <a:srgbClr val="A0C8DC"/>
            </a:solidFill>
            <a:ln w="25400">
              <a:noFill/>
            </a:ln>
          </c:spPr>
          <c:invertIfNegative val="0"/>
          <c:cat>
            <c:strRef>
              <c:f>Calculation!$K$57</c:f>
              <c:strCache>
                <c:ptCount val="1"/>
                <c:pt idx="0">
                  <c:v>CAP JACKSON</c:v>
                </c:pt>
              </c:strCache>
            </c:strRef>
          </c:cat>
          <c:val>
            <c:numRef>
              <c:f>Calculation!$AA$57</c:f>
              <c:numCache>
                <c:formatCode>0.00</c:formatCode>
                <c:ptCount val="1"/>
                <c:pt idx="0">
                  <c:v>-6.8627096064810758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C3-4164-8D1E-7F0B99AB7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6021744"/>
        <c:axId val="1822268543"/>
      </c:barChart>
      <c:scatterChart>
        <c:scatterStyle val="lineMarker"/>
        <c:varyColors val="0"/>
        <c:ser>
          <c:idx val="2"/>
          <c:order val="0"/>
          <c:tx>
            <c:strRef>
              <c:f>Calculation!$S$44</c:f>
              <c:strCache>
                <c:ptCount val="1"/>
                <c:pt idx="0">
                  <c:v>Current ETD</c:v>
                </c:pt>
              </c:strCache>
            </c:strRef>
          </c:tx>
          <c:spPr>
            <a:ln w="2540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E2C469C-C31F-4D50-BFDB-1696F9E88841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306B2788-F76B-4124-AB62-CE31C3AAFD2B}" type="SERIESNAME">
                      <a:rPr lang="en-US"/>
                      <a:pPr/>
                      <a:t>[SERIES NAME]</a:t>
                    </a:fld>
                    <a:endParaRPr lang="en-NZ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9C3-4164-8D1E-7F0B99AB73DE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Calculation!$S$57</c:f>
              <c:numCache>
                <c:formatCode>General</c:formatCode>
                <c:ptCount val="1"/>
                <c:pt idx="0">
                  <c:v>10.415972222217533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Calculation!$S$45</c15:f>
                <c15:dlblRangeCache>
                  <c:ptCount val="1"/>
                  <c:pt idx="0">
                    <c:v>18/07/2024 22:00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F9C3-4164-8D1E-7F0B99AB73DE}"/>
            </c:ext>
          </c:extLst>
        </c:ser>
        <c:ser>
          <c:idx val="1"/>
          <c:order val="1"/>
          <c:tx>
            <c:strRef>
              <c:f>Calculation!$R$44</c:f>
              <c:strCache>
                <c:ptCount val="1"/>
                <c:pt idx="0">
                  <c:v>Current ETA</c:v>
                </c:pt>
              </c:strCache>
            </c:strRef>
          </c:tx>
          <c:spPr>
            <a:ln w="2540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4C438F0-72F2-4D1A-903E-1EDE41253AF1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0377156D-9752-4AB0-9175-2653E0E2484C}" type="SERIESNAME">
                      <a:rPr lang="en-US"/>
                      <a:pPr/>
                      <a:t>[SERIES NAME]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9C3-4164-8D1E-7F0B99AB73DE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Calculation!$R$57</c:f>
              <c:numCache>
                <c:formatCode>General</c:formatCode>
                <c:ptCount val="1"/>
                <c:pt idx="0">
                  <c:v>9.5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Calculation!$R$45</c15:f>
                <c15:dlblRangeCache>
                  <c:ptCount val="1"/>
                  <c:pt idx="0">
                    <c:v>18/07/2024 0:01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F9C3-4164-8D1E-7F0B99AB73DE}"/>
            </c:ext>
          </c:extLst>
        </c:ser>
        <c:ser>
          <c:idx val="4"/>
          <c:order val="2"/>
          <c:tx>
            <c:strRef>
              <c:f>Calculation!$X$44</c:f>
              <c:strCache>
                <c:ptCount val="1"/>
                <c:pt idx="0">
                  <c:v>Tauranga Cut-Off</c:v>
                </c:pt>
              </c:strCache>
            </c:strRef>
          </c:tx>
          <c:spPr>
            <a:ln w="2540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A79446C-27A1-4243-8042-83E6E01763D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18122B57-6888-478E-8301-C6586D4B5783}" type="SERIESNAME">
                      <a:rPr lang="en-US"/>
                      <a:pPr/>
                      <a:t>[SERIES NAME]</a:t>
                    </a:fld>
                    <a:endParaRPr lang="en-NZ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9C3-4164-8D1E-7F0B99AB73DE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Calculation!$X$57</c:f>
              <c:numCache>
                <c:formatCode>0.00</c:formatCode>
                <c:ptCount val="1"/>
                <c:pt idx="0">
                  <c:v>8.1243055555532919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Calculation!$X$45</c15:f>
                <c15:dlblRangeCache>
                  <c:ptCount val="1"/>
                  <c:pt idx="0">
                    <c:v>16/07/2024 15:00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9C3-4164-8D1E-7F0B99AB73DE}"/>
            </c:ext>
          </c:extLst>
        </c:ser>
        <c:ser>
          <c:idx val="6"/>
          <c:order val="3"/>
          <c:tx>
            <c:strRef>
              <c:f>Calculation!$Z$44</c:f>
              <c:strCache>
                <c:ptCount val="1"/>
                <c:pt idx="0">
                  <c:v>MetroPort Cut-Off</c:v>
                </c:pt>
              </c:strCache>
            </c:strRef>
          </c:tx>
          <c:spPr>
            <a:ln w="2540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DE2A3EE-BEB9-47F2-B3E6-A0F1D8D6B094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FAA7AACE-E193-4F11-8996-C7937221B663}" type="SERIESNAME">
                      <a:rPr lang="en-US"/>
                      <a:pPr/>
                      <a:t>[SERIES NAME]</a:t>
                    </a:fld>
                    <a:endParaRPr lang="en-NZ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F9C3-4164-8D1E-7F0B99AB73DE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Calculation!$Z$57</c:f>
              <c:numCache>
                <c:formatCode>0.00</c:formatCode>
                <c:ptCount val="1"/>
                <c:pt idx="0">
                  <c:v>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Calculation!$Z$45</c15:f>
                <c15:dlblRangeCache>
                  <c:ptCount val="1"/>
                  <c:pt idx="0">
                    <c:v>15/07/2024 12:01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F9C3-4164-8D1E-7F0B99AB73DE}"/>
            </c:ext>
          </c:extLst>
        </c:ser>
        <c:ser>
          <c:idx val="3"/>
          <c:order val="4"/>
          <c:tx>
            <c:strRef>
              <c:f>Calculation!$V$44</c:f>
              <c:strCache>
                <c:ptCount val="1"/>
                <c:pt idx="0">
                  <c:v>Tauranga Receiving (Hazardous)</c:v>
                </c:pt>
              </c:strCache>
            </c:strRef>
          </c:tx>
          <c:spPr>
            <a:ln w="2540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DF49517-0BD9-46D2-BCC2-F5723F75B6FF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A047D32E-E331-46D5-B997-7C2485640E29}" type="SERIESNAME">
                      <a:rPr lang="en-US"/>
                      <a:pPr/>
                      <a:t>[SERIES NAME]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F9C3-4164-8D1E-7F0B99AB73DE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Calculation!$V$57</c:f>
              <c:numCache>
                <c:formatCode>0.00</c:formatCode>
                <c:ptCount val="1"/>
                <c:pt idx="0">
                  <c:v>7.5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Calculation!$V$45</c15:f>
                <c15:dlblRangeCache>
                  <c:ptCount val="1"/>
                  <c:pt idx="0">
                    <c:v>16/07/2024 0:01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F9C3-4164-8D1E-7F0B99AB73DE}"/>
            </c:ext>
          </c:extLst>
        </c:ser>
        <c:ser>
          <c:idx val="0"/>
          <c:order val="5"/>
          <c:tx>
            <c:strRef>
              <c:f>Calculation!$U$44</c:f>
              <c:strCache>
                <c:ptCount val="1"/>
                <c:pt idx="0">
                  <c:v>Tauranga Receiving</c:v>
                </c:pt>
              </c:strCache>
            </c:strRef>
          </c:tx>
          <c:spPr>
            <a:ln w="2540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493AE54-4642-4B66-A6D6-EF93DA0B30DA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8EF384D5-25FE-45C7-B152-FFE1897C896D}" type="SERIESNAME">
                      <a:rPr lang="en-US"/>
                      <a:pPr/>
                      <a:t>[SERIES NAME]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F9C3-4164-8D1E-7F0B99AB73DE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Calculation!$U$57</c:f>
              <c:numCache>
                <c:formatCode>General</c:formatCode>
                <c:ptCount val="1"/>
                <c:pt idx="0">
                  <c:v>2.5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Calculation!$U$45</c15:f>
                <c15:dlblRangeCache>
                  <c:ptCount val="1"/>
                  <c:pt idx="0">
                    <c:v>11/07/2024 0:01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F9C3-4164-8D1E-7F0B99AB73DE}"/>
            </c:ext>
          </c:extLst>
        </c:ser>
        <c:ser>
          <c:idx val="5"/>
          <c:order val="6"/>
          <c:tx>
            <c:strRef>
              <c:f>Calculation!$Y$44</c:f>
              <c:strCache>
                <c:ptCount val="1"/>
                <c:pt idx="0">
                  <c:v>MetroPort Receiving</c:v>
                </c:pt>
              </c:strCache>
            </c:strRef>
          </c:tx>
          <c:spPr>
            <a:ln w="25400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B7C01B6-D385-443C-98C8-A46E6AF03B8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7FD7A9AB-CB06-4D6D-A8E3-C54BAA2DFAC6}" type="SERIESNAME">
                      <a:rPr lang="en-US"/>
                      <a:pPr/>
                      <a:t>[SERIES NAME]</a:t>
                    </a:fld>
                    <a:endParaRPr lang="en-NZ"/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F9C3-4164-8D1E-7F0B99AB73DE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Calculation!$Y$57</c:f>
              <c:numCache>
                <c:formatCode>0.00</c:formatCode>
                <c:ptCount val="1"/>
                <c:pt idx="0">
                  <c:v>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Calculation!$Y$45</c15:f>
                <c15:dlblRangeCache>
                  <c:ptCount val="1"/>
                  <c:pt idx="0">
                    <c:v>9/07/2024 12:01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F9C3-4164-8D1E-7F0B99AB7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490384"/>
        <c:axId val="173082768"/>
      </c:scatterChart>
      <c:catAx>
        <c:axId val="16602174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22268543"/>
        <c:crosses val="autoZero"/>
        <c:auto val="1"/>
        <c:lblAlgn val="ctr"/>
        <c:lblOffset val="100"/>
        <c:noMultiLvlLbl val="0"/>
      </c:catAx>
      <c:valAx>
        <c:axId val="1822268543"/>
        <c:scaling>
          <c:orientation val="minMax"/>
          <c:max val="12"/>
          <c:min val="0"/>
        </c:scaling>
        <c:delete val="1"/>
        <c:axPos val="b"/>
        <c:numFmt formatCode="0.00" sourceLinked="1"/>
        <c:majorTickMark val="out"/>
        <c:minorTickMark val="none"/>
        <c:tickLblPos val="nextTo"/>
        <c:crossAx val="166021744"/>
        <c:crosses val="autoZero"/>
        <c:crossBetween val="between"/>
      </c:valAx>
      <c:valAx>
        <c:axId val="173082768"/>
        <c:scaling>
          <c:orientation val="minMax"/>
          <c:max val="1"/>
        </c:scaling>
        <c:delete val="1"/>
        <c:axPos val="r"/>
        <c:numFmt formatCode="General" sourceLinked="1"/>
        <c:majorTickMark val="out"/>
        <c:minorTickMark val="none"/>
        <c:tickLblPos val="nextTo"/>
        <c:crossAx val="527490384"/>
        <c:crosses val="max"/>
        <c:crossBetween val="midCat"/>
        <c:majorUnit val="0.5"/>
      </c:valAx>
      <c:valAx>
        <c:axId val="52749038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73082768"/>
        <c:crosses val="max"/>
        <c:crossBetween val="midCat"/>
      </c:valAx>
      <c:spPr>
        <a:noFill/>
        <a:ln>
          <a:noFill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solidFill>
            <a:schemeClr val="tx2">
              <a:lumMod val="7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26" fmlaLink="Calculation!$AU$14" max="27" min="20" page="0" val="24"/>
</file>

<file path=xl/ctrlProps/ctrlProp2.xml><?xml version="1.0" encoding="utf-8"?>
<formControlPr xmlns="http://schemas.microsoft.com/office/spreadsheetml/2009/9/main" objectType="Drop" dropLines="5" dropStyle="combo" dx="22" fmlaLink="Calculation!$D$2" fmlaRange="Service" noThreeD="1" sel="6" val="2"/>
</file>

<file path=xl/ctrlProps/ctrlProp3.xml><?xml version="1.0" encoding="utf-8"?>
<formControlPr xmlns="http://schemas.microsoft.com/office/spreadsheetml/2009/9/main" objectType="Drop" dropLines="5" dropStyle="combo" dx="22" fmlaLink="Calculation!$D$3" fmlaRange="Vessel" noThreeD="1" sel="1" val="0"/>
</file>

<file path=xl/ctrlProps/ctrlProp4.xml><?xml version="1.0" encoding="utf-8"?>
<formControlPr xmlns="http://schemas.microsoft.com/office/spreadsheetml/2009/9/main" objectType="Drop" dropLines="3" dropStyle="combo" dx="22" fmlaLink="Calculation!$D$4" fmlaRange="Voyage" noThreeD="1" sel="1" val="0"/>
</file>

<file path=xl/ctrlProps/ctrlProp5.xml><?xml version="1.0" encoding="utf-8"?>
<formControlPr xmlns="http://schemas.microsoft.com/office/spreadsheetml/2009/9/main" objectType="CheckBox" checked="Checked" fmlaLink="Calculation!$B$42" lockText="1" noThreeD="1"/>
</file>

<file path=xl/ctrlProps/ctrlProp6.xml><?xml version="1.0" encoding="utf-8"?>
<formControlPr xmlns="http://schemas.microsoft.com/office/spreadsheetml/2009/9/main" objectType="Drop" dropLines="5" dropStyle="combo" dx="22" fmlaLink="Calculation!$D$2" fmlaRange="Service" noThreeD="1" sel="6" val="2"/>
</file>

<file path=xl/ctrlProps/ctrlProp7.xml><?xml version="1.0" encoding="utf-8"?>
<formControlPr xmlns="http://schemas.microsoft.com/office/spreadsheetml/2009/9/main" objectType="Drop" dropLines="5" dropStyle="combo" dx="22" fmlaLink="Calculation!$D$3" fmlaRange="Vessel" noThreeD="1" sel="1" val="0"/>
</file>

<file path=xl/ctrlProps/ctrlProp8.xml><?xml version="1.0" encoding="utf-8"?>
<formControlPr xmlns="http://schemas.microsoft.com/office/spreadsheetml/2009/9/main" objectType="Drop" dropLines="3" dropStyle="combo" dx="22" fmlaLink="Calculation!$D$4" fmlaRange="Voyage" noThreeD="1" sel="1" val="0"/>
</file>

<file path=xl/ctrlProps/ctrlProp9.xml><?xml version="1.0" encoding="utf-8"?>
<formControlPr xmlns="http://schemas.microsoft.com/office/spreadsheetml/2009/9/main" objectType="CheckBox" checked="Checked" fmlaLink="Calculation!$B$42" lockText="1" noThreeD="1"/>
</file>

<file path=xl/ctrlProps/ctrlProp10.xml><?xml version="1.0" encoding="utf-8"?>
<formControlPr xmlns="http://schemas.microsoft.com/office/spreadsheetml/2009/9/main" objectType="Scroll" dx="26" fmlaLink="$AU$14" max="19" min="14" page="0" val="1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hyperlink" Target="#Instructions!A1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342901</xdr:colOff>
      <xdr:row>7</xdr:row>
      <xdr:rowOff>7620</xdr:rowOff>
    </xdr:from>
    <xdr:to>
      <xdr:col>18</xdr:col>
      <xdr:colOff>22860</xdr:colOff>
      <xdr:row>25</xdr:row>
      <xdr:rowOff>254820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95672</xdr:colOff>
      <xdr:row>27</xdr:row>
      <xdr:rowOff>0</xdr:rowOff>
    </xdr:from>
    <xdr:to>
      <xdr:col>18</xdr:col>
      <xdr:colOff>7619</xdr:colOff>
      <xdr:row>33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7</xdr:row>
          <xdr:rowOff>9525</xdr:rowOff>
        </xdr:from>
        <xdr:to>
          <xdr:col>1</xdr:col>
          <xdr:colOff>342900</xdr:colOff>
          <xdr:row>25</xdr:row>
          <xdr:rowOff>247650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10</xdr:col>
      <xdr:colOff>147320</xdr:colOff>
      <xdr:row>3</xdr:row>
      <xdr:rowOff>12704</xdr:rowOff>
    </xdr:from>
    <xdr:to>
      <xdr:col>11</xdr:col>
      <xdr:colOff>289560</xdr:colOff>
      <xdr:row>5</xdr:row>
      <xdr:rowOff>19474</xdr:rowOff>
    </xdr:to>
    <xdr:pic macro="[0]!OnlyRefreshDS"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01360" y="576584"/>
          <a:ext cx="477520" cy="4868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</xdr:row>
          <xdr:rowOff>76200</xdr:rowOff>
        </xdr:from>
        <xdr:to>
          <xdr:col>3</xdr:col>
          <xdr:colOff>371475</xdr:colOff>
          <xdr:row>3</xdr:row>
          <xdr:rowOff>114300</xdr:rowOff>
        </xdr:to>
        <xdr:sp macro="" textlink="">
          <xdr:nvSpPr>
            <xdr:cNvPr id="1034" name="DDServic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2</xdr:row>
          <xdr:rowOff>76200</xdr:rowOff>
        </xdr:from>
        <xdr:to>
          <xdr:col>6</xdr:col>
          <xdr:colOff>323850</xdr:colOff>
          <xdr:row>3</xdr:row>
          <xdr:rowOff>133350</xdr:rowOff>
        </xdr:to>
        <xdr:sp macro="" textlink="">
          <xdr:nvSpPr>
            <xdr:cNvPr id="1035" name="DDVesse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66675</xdr:rowOff>
        </xdr:from>
        <xdr:to>
          <xdr:col>9</xdr:col>
          <xdr:colOff>142875</xdr:colOff>
          <xdr:row>3</xdr:row>
          <xdr:rowOff>133350</xdr:rowOff>
        </xdr:to>
        <xdr:sp macro="" textlink="">
          <xdr:nvSpPr>
            <xdr:cNvPr id="1036" name="DDVoyag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</xdr:row>
          <xdr:rowOff>209550</xdr:rowOff>
        </xdr:from>
        <xdr:to>
          <xdr:col>3</xdr:col>
          <xdr:colOff>466725</xdr:colOff>
          <xdr:row>5</xdr:row>
          <xdr:rowOff>152400</xdr:rowOff>
        </xdr:to>
        <xdr:sp macro="" textlink="">
          <xdr:nvSpPr>
            <xdr:cNvPr id="1037" name="Check Box 13" descr="Only ANL/CMA vessel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ANL/CMA vessels</a:t>
              </a:r>
            </a:p>
          </xdr:txBody>
        </xdr:sp>
        <xdr:clientData/>
      </xdr:twoCellAnchor>
    </mc:Choice>
    <mc:Fallback/>
  </mc:AlternateContent>
  <xdr:twoCellAnchor editAs="oneCell">
    <xdr:from>
      <xdr:col>17</xdr:col>
      <xdr:colOff>91721</xdr:colOff>
      <xdr:row>23</xdr:row>
      <xdr:rowOff>30481</xdr:rowOff>
    </xdr:from>
    <xdr:to>
      <xdr:col>17</xdr:col>
      <xdr:colOff>1206550</xdr:colOff>
      <xdr:row>25</xdr:row>
      <xdr:rowOff>238793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46561"/>
        <a:stretch/>
      </xdr:blipFill>
      <xdr:spPr>
        <a:xfrm>
          <a:off x="12946661" y="4312921"/>
          <a:ext cx="1114829" cy="635032"/>
        </a:xfrm>
        <a:prstGeom prst="rect">
          <a:avLst/>
        </a:prstGeom>
      </xdr:spPr>
    </xdr:pic>
    <xdr:clientData/>
  </xdr:twoCellAnchor>
  <xdr:twoCellAnchor>
    <xdr:from>
      <xdr:col>7</xdr:col>
      <xdr:colOff>7620</xdr:colOff>
      <xdr:row>4</xdr:row>
      <xdr:rowOff>38100</xdr:rowOff>
    </xdr:from>
    <xdr:to>
      <xdr:col>9</xdr:col>
      <xdr:colOff>167640</xdr:colOff>
      <xdr:row>5</xdr:row>
      <xdr:rowOff>45720</xdr:rowOff>
    </xdr:to>
    <xdr:sp macro="" textlink="">
      <xdr:nvSpPr>
        <xdr:cNvPr id="29" name="Rectangle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764280" y="822960"/>
          <a:ext cx="1379220" cy="259080"/>
        </a:xfrm>
        <a:prstGeom prst="rect">
          <a:avLst/>
        </a:prstGeom>
        <a:solidFill>
          <a:sysClr val="window" lastClr="FFFFFF"/>
        </a:solidFill>
        <a:ln w="9525">
          <a:solidFill>
            <a:srgbClr val="1E1E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/>
            <a:t>        </a:t>
          </a:r>
          <a:r>
            <a:rPr lang="en-NZ" sz="1100">
              <a:solidFill>
                <a:srgbClr val="1E1E50"/>
              </a:solidFill>
            </a:rPr>
            <a:t>Instructions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16111</xdr:colOff>
          <xdr:row>9</xdr:row>
          <xdr:rowOff>54428</xdr:rowOff>
        </xdr:from>
        <xdr:to>
          <xdr:col>20</xdr:col>
          <xdr:colOff>660763</xdr:colOff>
          <xdr:row>23</xdr:row>
          <xdr:rowOff>59871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10389702" y="1820883"/>
              <a:ext cx="2124491" cy="2776352"/>
              <a:chOff x="15482606" y="1691641"/>
              <a:chExt cx="1813560" cy="2613407"/>
            </a:xfrm>
          </xdr:grpSpPr>
          <xdr:sp macro="" textlink="">
            <xdr:nvSpPr>
              <xdr:cNvPr id="2049" name="DDService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15499080" y="1691641"/>
                <a:ext cx="1783080" cy="35814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0" name="DDVessel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100-000002080000}"/>
                  </a:ext>
                </a:extLst>
              </xdr:cNvPr>
              <xdr:cNvSpPr/>
            </xdr:nvSpPr>
            <xdr:spPr bwMode="auto">
              <a:xfrm>
                <a:off x="15483840" y="2842260"/>
                <a:ext cx="1798320" cy="3657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1" name="DDVoyage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100-000003080000}"/>
                  </a:ext>
                </a:extLst>
              </xdr:cNvPr>
              <xdr:cNvSpPr/>
            </xdr:nvSpPr>
            <xdr:spPr bwMode="auto">
              <a:xfrm>
                <a:off x="15482606" y="3954529"/>
                <a:ext cx="1813560" cy="35051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23</xdr:row>
          <xdr:rowOff>123825</xdr:rowOff>
        </xdr:from>
        <xdr:to>
          <xdr:col>20</xdr:col>
          <xdr:colOff>339091</xdr:colOff>
          <xdr:row>26</xdr:row>
          <xdr:rowOff>156210</xdr:rowOff>
        </xdr:to>
        <xdr:sp macro="" textlink="">
          <xdr:nvSpPr>
            <xdr:cNvPr id="2052" name="Check Box 4" descr="Only ANL/CMA vessel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ANL/CMA vessels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8</xdr:row>
      <xdr:rowOff>7621</xdr:rowOff>
    </xdr:from>
    <xdr:to>
      <xdr:col>7</xdr:col>
      <xdr:colOff>538361</xdr:colOff>
      <xdr:row>12</xdr:row>
      <xdr:rowOff>175260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120" y="190501"/>
          <a:ext cx="4188341" cy="899159"/>
        </a:xfrm>
        <a:prstGeom prst="rect">
          <a:avLst/>
        </a:prstGeom>
        <a:ln>
          <a:solidFill>
            <a:srgbClr val="1E1E50"/>
          </a:solidFill>
        </a:ln>
      </xdr:spPr>
    </xdr:pic>
    <xdr:clientData/>
  </xdr:twoCellAnchor>
  <xdr:twoCellAnchor editAs="oneCell">
    <xdr:from>
      <xdr:col>1</xdr:col>
      <xdr:colOff>1</xdr:colOff>
      <xdr:row>23</xdr:row>
      <xdr:rowOff>175260</xdr:rowOff>
    </xdr:from>
    <xdr:to>
      <xdr:col>7</xdr:col>
      <xdr:colOff>594361</xdr:colOff>
      <xdr:row>27</xdr:row>
      <xdr:rowOff>82374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1" y="1272540"/>
          <a:ext cx="4251960" cy="638634"/>
        </a:xfrm>
        <a:prstGeom prst="rect">
          <a:avLst/>
        </a:prstGeom>
        <a:ln>
          <a:solidFill>
            <a:srgbClr val="1E1E50"/>
          </a:solidFill>
        </a:ln>
      </xdr:spPr>
    </xdr:pic>
    <xdr:clientData/>
  </xdr:twoCellAnchor>
  <xdr:twoCellAnchor editAs="oneCell">
    <xdr:from>
      <xdr:col>0</xdr:col>
      <xdr:colOff>183942</xdr:colOff>
      <xdr:row>29</xdr:row>
      <xdr:rowOff>7620</xdr:rowOff>
    </xdr:from>
    <xdr:to>
      <xdr:col>11</xdr:col>
      <xdr:colOff>601980</xdr:colOff>
      <xdr:row>39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3942" y="2202180"/>
          <a:ext cx="6719778" cy="1737360"/>
        </a:xfrm>
        <a:prstGeom prst="rect">
          <a:avLst/>
        </a:prstGeom>
        <a:ln>
          <a:solidFill>
            <a:srgbClr val="1E1E50"/>
          </a:solidFill>
        </a:ln>
      </xdr:spPr>
    </xdr:pic>
    <xdr:clientData/>
  </xdr:twoCellAnchor>
  <xdr:twoCellAnchor editAs="oneCell">
    <xdr:from>
      <xdr:col>0</xdr:col>
      <xdr:colOff>182880</xdr:colOff>
      <xdr:row>40</xdr:row>
      <xdr:rowOff>0</xdr:rowOff>
    </xdr:from>
    <xdr:to>
      <xdr:col>11</xdr:col>
      <xdr:colOff>571500</xdr:colOff>
      <xdr:row>43</xdr:row>
      <xdr:rowOff>66490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12274"/>
        <a:stretch/>
      </xdr:blipFill>
      <xdr:spPr>
        <a:xfrm>
          <a:off x="182880" y="7139940"/>
          <a:ext cx="6690360" cy="615130"/>
        </a:xfrm>
        <a:prstGeom prst="rect">
          <a:avLst/>
        </a:prstGeom>
        <a:ln>
          <a:solidFill>
            <a:srgbClr val="1E1E50"/>
          </a:solidFill>
        </a:ln>
      </xdr:spPr>
    </xdr:pic>
    <xdr:clientData/>
  </xdr:twoCellAnchor>
  <xdr:twoCellAnchor editAs="oneCell">
    <xdr:from>
      <xdr:col>1</xdr:col>
      <xdr:colOff>76200</xdr:colOff>
      <xdr:row>3</xdr:row>
      <xdr:rowOff>30480</xdr:rowOff>
    </xdr:from>
    <xdr:to>
      <xdr:col>8</xdr:col>
      <xdr:colOff>563880</xdr:colOff>
      <xdr:row>4</xdr:row>
      <xdr:rowOff>53340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939" t="13331" r="1071" b="14677"/>
        <a:stretch/>
      </xdr:blipFill>
      <xdr:spPr>
        <a:xfrm>
          <a:off x="266700" y="579120"/>
          <a:ext cx="4770120" cy="205740"/>
        </a:xfrm>
        <a:prstGeom prst="rect">
          <a:avLst/>
        </a:prstGeom>
        <a:ln>
          <a:solidFill>
            <a:srgbClr val="1E1E50"/>
          </a:solidFill>
        </a:ln>
      </xdr:spPr>
    </xdr:pic>
    <xdr:clientData/>
  </xdr:twoCellAnchor>
  <xdr:twoCellAnchor editAs="oneCell">
    <xdr:from>
      <xdr:col>1</xdr:col>
      <xdr:colOff>15240</xdr:colOff>
      <xdr:row>12</xdr:row>
      <xdr:rowOff>175260</xdr:rowOff>
    </xdr:from>
    <xdr:to>
      <xdr:col>3</xdr:col>
      <xdr:colOff>53340</xdr:colOff>
      <xdr:row>22</xdr:row>
      <xdr:rowOff>121920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4069" b="1480"/>
        <a:stretch/>
      </xdr:blipFill>
      <xdr:spPr>
        <a:xfrm>
          <a:off x="205740" y="2369820"/>
          <a:ext cx="1257300" cy="1775460"/>
        </a:xfrm>
        <a:prstGeom prst="rect">
          <a:avLst/>
        </a:prstGeom>
        <a:ln>
          <a:solidFill>
            <a:srgbClr val="1E1E50"/>
          </a:solidFill>
        </a:ln>
      </xdr:spPr>
    </xdr:pic>
    <xdr:clientData/>
  </xdr:twoCellAnchor>
  <xdr:twoCellAnchor editAs="oneCell">
    <xdr:from>
      <xdr:col>5</xdr:col>
      <xdr:colOff>7620</xdr:colOff>
      <xdr:row>13</xdr:row>
      <xdr:rowOff>160020</xdr:rowOff>
    </xdr:from>
    <xdr:to>
      <xdr:col>6</xdr:col>
      <xdr:colOff>293495</xdr:colOff>
      <xdr:row>20</xdr:row>
      <xdr:rowOff>144780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4557" b="11404"/>
        <a:stretch/>
      </xdr:blipFill>
      <xdr:spPr>
        <a:xfrm>
          <a:off x="2636520" y="2537460"/>
          <a:ext cx="895475" cy="1264920"/>
        </a:xfrm>
        <a:prstGeom prst="rect">
          <a:avLst/>
        </a:prstGeom>
        <a:ln>
          <a:solidFill>
            <a:srgbClr val="1E1E50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123825</xdr:colOff>
          <xdr:row>7</xdr:row>
          <xdr:rowOff>28575</xdr:rowOff>
        </xdr:from>
        <xdr:to>
          <xdr:col>44</xdr:col>
          <xdr:colOff>28575</xdr:colOff>
          <xdr:row>20</xdr:row>
          <xdr:rowOff>28575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9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979715</xdr:colOff>
      <xdr:row>14</xdr:row>
      <xdr:rowOff>21771</xdr:rowOff>
    </xdr:from>
    <xdr:to>
      <xdr:col>7</xdr:col>
      <xdr:colOff>576943</xdr:colOff>
      <xdr:row>15</xdr:row>
      <xdr:rowOff>32657</xdr:rowOff>
    </xdr:to>
    <xdr:sp macro="[0]!SCROLALT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455229" y="2612571"/>
          <a:ext cx="772885" cy="19594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akd_vplyusnin_cma-cgm_com/Documents/Desktop/project/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Full list"/>
      <sheetName val="Actual Data"/>
      <sheetName val="Calculation"/>
      <sheetName val="Collected Data"/>
      <sheetName val="Tauranga Container Terminal Car"/>
    </sheetNames>
    <sheetDataSet>
      <sheetData sheetId="0" refreshError="1"/>
      <sheetData sheetId="1" refreshError="1"/>
      <sheetData sheetId="2" refreshError="1"/>
      <sheetData sheetId="3">
        <row r="11">
          <cell r="C11" t="str">
            <v>TRIESTE TRADER</v>
          </cell>
          <cell r="E11" t="str">
            <v>312W</v>
          </cell>
        </row>
      </sheetData>
      <sheetData sheetId="4" refreshError="1"/>
      <sheetData sheetId="5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45CADAF8-BD44-4DB8-9C71-74FE5854DA25}" autoFormatId="16" applyNumberFormats="0" applyBorderFormats="0" applyFontFormats="0" applyPatternFormats="0" applyAlignmentFormats="0" applyWidthHeightFormats="0">
  <queryTableRefresh nextId="8">
    <queryTableFields count="3">
      <queryTableField id="4" name="Column6" tableColumnId="4"/>
      <queryTableField id="5" name="Column3" tableColumnId="5"/>
      <queryTableField id="3" name="ETA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0" xr16:uid="{B23E1413-5763-431E-A7FC-9BCEAD1368AC}" autoFormatId="16" applyNumberFormats="0" applyBorderFormats="0" applyFontFormats="0" applyPatternFormats="0" applyAlignmentFormats="0" applyWidthHeightFormats="0">
  <queryTableRefresh nextId="31">
    <queryTableFields count="17">
      <queryTableField id="1" name="Vessel" tableColumnId="1"/>
      <queryTableField id="2" name="Inbound Voyage #" tableColumnId="2"/>
      <queryTableField id="3" name="Outbound Voyage #" tableColumnId="3"/>
      <queryTableField id="25" name="ANL/CMA Services" tableColumnId="4"/>
      <queryTableField id="17" name="TRG Service" tableColumnId="17"/>
      <queryTableField id="5" name="Last Port" tableColumnId="5"/>
      <queryTableField id="6" name="Pro-Forma ETA" tableColumnId="6"/>
      <queryTableField id="7" name="Current ETA" tableColumnId="7"/>
      <queryTableField id="8" name="Current ETD" tableColumnId="8"/>
      <queryTableField id="9" name="Next Port" tableColumnId="9"/>
      <queryTableField id="10" name="Tauranga Receiving" tableColumnId="10"/>
      <queryTableField id="11" name="Tauranga Receiving (Hazardous)" tableColumnId="11"/>
      <queryTableField id="12" name="Tauranga Receiving (Reefer)" tableColumnId="12"/>
      <queryTableField id="13" name="Tauranga Cut-Off" tableColumnId="13"/>
      <queryTableField id="27" name="MetroPort Receiving" tableColumnId="14"/>
      <queryTableField id="15" name="MetroPort Cut-Off" tableColumnId="15"/>
      <queryTableField id="24" name="Index" tableColumnId="2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BEB7DF9-5EC8-4BC8-9651-0A96465EA24D}" autoFormatId="16" applyNumberFormats="0" applyBorderFormats="0" applyFontFormats="0" applyPatternFormats="0" applyAlignmentFormats="0" applyWidthHeightFormats="0">
  <queryTableRefresh nextId="11">
    <queryTableFields count="10">
      <queryTableField id="1" name="Vessel" tableColumnId="1"/>
      <queryTableField id="2" name="Vessel Ref" tableColumnId="2"/>
      <queryTableField id="3" name="Voyage In" tableColumnId="3"/>
      <queryTableField id="4" name="Voyage Out" tableColumnId="4"/>
      <queryTableField id="5" name="RCV Comm" tableColumnId="5"/>
      <queryTableField id="6" name="RCV Cutoff" tableColumnId="6"/>
      <queryTableField id="7" name="Arrival" tableColumnId="7"/>
      <queryTableField id="8" name="Departs" tableColumnId="8"/>
      <queryTableField id="9" name="Previous Port" tableColumnId="9"/>
      <queryTableField id="10" name="Next Port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9D7B3CD1-F522-4046-A8EB-3273AF3E4EBC}" autoFormatId="16" applyNumberFormats="0" applyBorderFormats="0" applyFontFormats="0" applyPatternFormats="0" applyAlignmentFormats="0" applyWidthHeightFormats="0">
  <queryTableRefresh nextId="9">
    <queryTableFields count="8">
      <queryTableField id="1" name="Visit Number" tableColumnId="1"/>
      <queryTableField id="2" name="Vessel" tableColumnId="2"/>
      <queryTableField id="3" name="O/B Voyage" tableColumnId="3"/>
      <queryTableField id="4" name="ETA" tableColumnId="4"/>
      <queryTableField id="5" name="Begin Rcv DRY" tableColumnId="5"/>
      <queryTableField id="6" name="Begin Rcv REEF" tableColumnId="6"/>
      <queryTableField id="7" name="Begin Rcv MT" tableColumnId="7"/>
      <queryTableField id="8" name="Cut Off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416DCACE-0955-4173-9A68-4A015D8F74E6}" autoFormatId="16" applyNumberFormats="0" applyBorderFormats="0" applyFontFormats="0" applyPatternFormats="0" applyAlignmentFormats="0" applyWidthHeightFormats="0">
  <queryTableRefresh nextId="10">
    <queryTableFields count="8">
      <queryTableField id="1" name="VESSEL" tableColumnId="1"/>
      <queryTableField id="2" name="VOY" tableColumnId="2"/>
      <queryTableField id="3" name="ETA.1" tableColumnId="3"/>
      <queryTableField id="4" name="ETD" tableColumnId="4"/>
      <queryTableField id="5" name="Container Receival Cutoff" tableColumnId="5"/>
      <queryTableField id="7" name="FROM" tableColumnId="7"/>
      <queryTableField id="8" name="TO" tableColumnId="8"/>
      <queryTableField id="9" name="ORIGIN/DEST" tableColumnId="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F5B58928-D891-42EB-8E07-52BB7758EE4E}" autoFormatId="16" applyNumberFormats="0" applyBorderFormats="0" applyFontFormats="0" applyPatternFormats="0" applyAlignmentFormats="0" applyWidthHeightFormats="0">
  <queryTableRefresh nextId="11">
    <queryTableFields count="8">
      <queryTableField id="1" name="Vessel Name" tableColumnId="1"/>
      <queryTableField id="2" name="Arrival" tableColumnId="2"/>
      <queryTableField id="3" name="Departure" tableColumnId="3"/>
      <queryTableField id="4" name="Prenote Cut Off" tableColumnId="4"/>
      <queryTableField id="5" name="Cargo Cut off" tableColumnId="5"/>
      <queryTableField id="6" name="CEDO Cut Off" tableColumnId="6"/>
      <queryTableField id="7" name="Port To" tableColumnId="7"/>
      <queryTableField id="8" name="Oper.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A5FB7F40-CD86-437B-9805-3F12EE02D744}" autoFormatId="16" applyNumberFormats="0" applyBorderFormats="0" applyFontFormats="0" applyPatternFormats="0" applyAlignmentFormats="0" applyWidthHeightFormats="0">
  <queryTableRefresh nextId="20">
    <queryTableFields count="16">
      <queryTableField id="18" name="Caption" tableColumnId="18"/>
      <queryTableField id="1" name="Vessel" tableColumnId="1"/>
      <queryTableField id="2" name="Inbound Voyage #" tableColumnId="2"/>
      <queryTableField id="3" name="Outbound Voyage #" tableColumnId="3"/>
      <queryTableField id="4" name="ANL/CMA Services" tableColumnId="4"/>
      <queryTableField id="6" name="Last Port" tableColumnId="6"/>
      <queryTableField id="7" name="Pro-Forma ETA" tableColumnId="7"/>
      <queryTableField id="8" name="Current ETA" tableColumnId="8"/>
      <queryTableField id="9" name="Current ETD" tableColumnId="9"/>
      <queryTableField id="10" name="Next Port" tableColumnId="10"/>
      <queryTableField id="11" name="Tauranga Receiving" tableColumnId="11"/>
      <queryTableField id="12" name="Tauranga Receiving (Hazardous)" tableColumnId="12"/>
      <queryTableField id="13" name="Tauranga Receiving (Reefer)" tableColumnId="13"/>
      <queryTableField id="14" name="Tauranga Cut-Off" tableColumnId="14"/>
      <queryTableField id="15" name="MetroPort Receiving" tableColumnId="15"/>
      <queryTableField id="16" name="MetroPort Cut-Off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22E0A5-8BED-4B62-AE8A-180CA31A8798}" name="Wellington_Data" displayName="Wellington_Data" ref="A1:C4" tableType="queryTable" totalsRowShown="0">
  <autoFilter ref="A1:C4" xr:uid="{5622E0A5-8BED-4B62-AE8A-180CA31A8798}"/>
  <tableColumns count="3">
    <tableColumn id="4" xr3:uid="{D0FB4D7F-C31C-4DBA-B519-044B8B061961}" uniqueName="4" name="Column6" queryTableFieldId="4" dataDxfId="7"/>
    <tableColumn id="5" xr3:uid="{39C8B220-8284-4F7B-B7DA-DEA3676991CB}" uniqueName="5" name="Column3" queryTableFieldId="5" dataDxfId="6"/>
    <tableColumn id="3" xr3:uid="{58072FCD-86F2-4821-A26E-93F245477C37}" uniqueName="3" name="ETA" queryTableFieldId="3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F2E745-1BEB-44BD-877A-1F07E2DAF802}" name="Tauranga_Container_Terminal_Cargo_Schedule__Thursday_21_July_2022_11_13__Export" displayName="Tauranga_Container_Terminal_Cargo_Schedule__Thursday_21_July_2022_11_13__Export" ref="A1:Q35" tableType="queryTable" totalsRowShown="0">
  <autoFilter ref="A1:Q35" xr:uid="{29F5DF5E-F80C-4277-85A7-DA48285DC7D5}"/>
  <tableColumns count="17">
    <tableColumn id="1" xr3:uid="{CB248F6C-9DA6-4674-B8E6-D9984114AFC4}" uniqueName="1" name="Vessel" queryTableFieldId="1" dataDxfId="82"/>
    <tableColumn id="2" xr3:uid="{42200926-C10B-48AD-BE2A-4F784E24EE6D}" uniqueName="2" name="Inbound Voyage #" queryTableFieldId="2" dataDxfId="81"/>
    <tableColumn id="3" xr3:uid="{19BE4C65-908B-4032-900D-3DFD57B531D7}" uniqueName="3" name="Outbound Voyage #" queryTableFieldId="3" dataDxfId="80"/>
    <tableColumn id="4" xr3:uid="{89CCA22B-F443-498A-B79E-1B0CE1E4AE17}" uniqueName="4" name="ANL/CMA Services" queryTableFieldId="25"/>
    <tableColumn id="17" xr3:uid="{C8865FEF-8FC4-4C9F-A762-855EF6C14412}" uniqueName="17" name="TRG Service" queryTableFieldId="17" dataDxfId="79"/>
    <tableColumn id="5" xr3:uid="{D2727B67-956E-409D-8394-ADD025C3996B}" uniqueName="5" name="Last Port" queryTableFieldId="5" dataDxfId="78"/>
    <tableColumn id="6" xr3:uid="{38F84E27-4E87-4B14-A126-4505B2EBE1F2}" uniqueName="6" name="Pro-Forma ETA" queryTableFieldId="6" dataDxfId="34"/>
    <tableColumn id="7" xr3:uid="{A65759EF-6830-4240-B902-6299FD1F7ABF}" uniqueName="7" name="Current ETA" queryTableFieldId="7" dataDxfId="33"/>
    <tableColumn id="8" xr3:uid="{216AD02A-8CFF-4C23-8B38-4C22F83A9450}" uniqueName="8" name="Current ETD" queryTableFieldId="8" dataDxfId="32"/>
    <tableColumn id="9" xr3:uid="{E9B237B7-F4C4-4F51-AEF0-0680822A7D04}" uniqueName="9" name="Next Port" queryTableFieldId="9" dataDxfId="77"/>
    <tableColumn id="10" xr3:uid="{43B214AB-2FE4-41E3-BBF4-718B23375CD6}" uniqueName="10" name="Tauranga Receiving" queryTableFieldId="10" dataDxfId="31"/>
    <tableColumn id="11" xr3:uid="{A56D35E2-3828-4FA0-AA41-D643078FD713}" uniqueName="11" name="Tauranga Receiving (Hazardous)" queryTableFieldId="11" dataDxfId="30"/>
    <tableColumn id="12" xr3:uid="{14FABB08-66B3-448B-9A70-956A0606B6FA}" uniqueName="12" name="Tauranga Receiving (Reefer)" queryTableFieldId="12" dataDxfId="29"/>
    <tableColumn id="13" xr3:uid="{8C5561DB-2B44-45A9-A8A3-DD574DAC505B}" uniqueName="13" name="Tauranga Cut-Off" queryTableFieldId="13" dataDxfId="28"/>
    <tableColumn id="14" xr3:uid="{4B90CB42-61E2-44E9-A80A-EBFC5AAA28F0}" uniqueName="14" name="MetroPort Receiving" queryTableFieldId="27" dataDxfId="27"/>
    <tableColumn id="15" xr3:uid="{4B449543-C895-4AA1-A236-4D3E229ECE61}" uniqueName="15" name="MetroPort Cut-Off" queryTableFieldId="15" dataDxfId="26"/>
    <tableColumn id="21" xr3:uid="{E6BA7858-2283-4CF7-B639-9ABF51BC83E6}" uniqueName="21" name="Index" queryTableFieldId="2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958CD7-9029-42F1-AC95-7673C86386DC}" name="Aucland_Data" displayName="Aucland_Data" ref="A1:J148" tableType="queryTable" totalsRowShown="0">
  <autoFilter ref="A1:J148" xr:uid="{10958CD7-9029-42F1-AC95-7673C86386DC}"/>
  <tableColumns count="10">
    <tableColumn id="1" xr3:uid="{ACBDF605-89BA-40E8-8B7D-3658DB521B1E}" uniqueName="1" name="Vessel" queryTableFieldId="1" dataDxfId="76"/>
    <tableColumn id="2" xr3:uid="{0CEB2116-7AA6-4E26-AE5F-C6558CFC09C8}" uniqueName="2" name="Vessel Ref" queryTableFieldId="2" dataDxfId="75"/>
    <tableColumn id="3" xr3:uid="{90F0EAE0-C594-4B3D-A636-2000EB51FFFD}" uniqueName="3" name="Voyage In" queryTableFieldId="3" dataDxfId="74"/>
    <tableColumn id="4" xr3:uid="{A92C49BF-6306-4C48-ABD0-B85EA4256024}" uniqueName="4" name="Voyage Out" queryTableFieldId="4" dataDxfId="73"/>
    <tableColumn id="5" xr3:uid="{8CEBAA39-5D0C-42E1-9D34-4846BE20D729}" uniqueName="5" name="RCV Comm" queryTableFieldId="5" dataDxfId="72"/>
    <tableColumn id="6" xr3:uid="{54888A16-88B3-4AF9-93D3-BA61127B263F}" uniqueName="6" name="RCV Cutoff" queryTableFieldId="6" dataDxfId="71"/>
    <tableColumn id="7" xr3:uid="{E7327C74-E3A4-4607-9265-2FF5C4B60353}" uniqueName="7" name="Arrival" queryTableFieldId="7" dataDxfId="70"/>
    <tableColumn id="8" xr3:uid="{32F16DB1-5AC2-4860-911E-1B49387F001E}" uniqueName="8" name="Departs" queryTableFieldId="8" dataDxfId="69"/>
    <tableColumn id="9" xr3:uid="{C86AAEDD-67E2-47A2-89AF-E72D787A623F}" uniqueName="9" name="Previous Port" queryTableFieldId="9" dataDxfId="68"/>
    <tableColumn id="10" xr3:uid="{BFFEBC96-9D37-4BD7-8BBD-C395200EB671}" uniqueName="10" name="Next Port" queryTableFieldId="10" dataDxfId="6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600150-4663-4DD9-AA00-C842A7B8101F}" name="Lyt_Data" displayName="Lyt_Data" ref="A1:H21" tableType="queryTable" totalsRowShown="0">
  <autoFilter ref="A1:H21" xr:uid="{75600150-4663-4DD9-AA00-C842A7B8101F}"/>
  <tableColumns count="8">
    <tableColumn id="1" xr3:uid="{2747C88F-10FB-43CF-91B1-97014E695BF1}" uniqueName="1" name="Visit Number" queryTableFieldId="1" dataDxfId="66"/>
    <tableColumn id="2" xr3:uid="{4C1F4DD0-5B1B-4D27-930C-C2B8FE7A2EBD}" uniqueName="2" name="Vessel" queryTableFieldId="2" dataDxfId="65"/>
    <tableColumn id="3" xr3:uid="{406FD0E3-744F-4BF3-BFFF-2BD0B7D6F3C4}" uniqueName="3" name="O/B Voyage" queryTableFieldId="3" dataDxfId="64"/>
    <tableColumn id="4" xr3:uid="{6E5D8C7C-A6D0-4BEB-A91E-94C561CEB082}" uniqueName="4" name="ETA" queryTableFieldId="4" dataDxfId="63"/>
    <tableColumn id="5" xr3:uid="{2E1FE3FB-FD87-4D4C-A8A8-5936114C191B}" uniqueName="5" name="Begin Rcv DRY" queryTableFieldId="5" dataDxfId="62"/>
    <tableColumn id="6" xr3:uid="{AB0662C3-D6BB-448A-8E93-6F758F83CA91}" uniqueName="6" name="Begin Rcv REEF" queryTableFieldId="6" dataDxfId="61"/>
    <tableColumn id="7" xr3:uid="{D0EB6C9A-65B2-49E3-A102-4C5760F1BBEB}" uniqueName="7" name="Begin Rcv MT" queryTableFieldId="7" dataDxfId="60"/>
    <tableColumn id="8" xr3:uid="{D2DE2D02-B2E0-4FF6-8C33-92E6F71CCD0D}" uniqueName="8" name="Cut Off" queryTableFieldId="8" dataDxfId="5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B1FEA38-248B-4648-8D98-FEB09E33FA12}" name="Napier_Data" displayName="Napier_Data" ref="A1:H76" tableType="queryTable" totalsRowShown="0">
  <autoFilter ref="A1:H76" xr:uid="{BB1FEA38-248B-4648-8D98-FEB09E33FA12}"/>
  <tableColumns count="8">
    <tableColumn id="1" xr3:uid="{EC53AA90-2439-4AB8-8FD4-E2470B1EFEFA}" uniqueName="1" name="VESSEL" queryTableFieldId="1"/>
    <tableColumn id="2" xr3:uid="{7041B2E7-8AAD-4B20-9F4B-B22FAEC8B3C6}" uniqueName="2" name="VOY" queryTableFieldId="2" dataDxfId="58"/>
    <tableColumn id="3" xr3:uid="{EE1C1F09-708A-4EA3-8B68-AC7D87044EF4}" uniqueName="3" name="ETA.1" queryTableFieldId="3" dataDxfId="57"/>
    <tableColumn id="4" xr3:uid="{620BC3BC-726E-4B60-B273-F9740B8569D4}" uniqueName="4" name="ETD" queryTableFieldId="4" dataDxfId="56"/>
    <tableColumn id="5" xr3:uid="{DB6A67FE-CFCD-4F40-9692-83425E24F61F}" uniqueName="5" name="Container Receival Cutoff" queryTableFieldId="5"/>
    <tableColumn id="7" xr3:uid="{81C1F1D4-7E91-41BD-AD3C-CE7A31F7CFB2}" uniqueName="7" name="FROM" queryTableFieldId="7"/>
    <tableColumn id="8" xr3:uid="{FD28FD4A-6604-4DEA-AFA7-64DAC9F3B34D}" uniqueName="8" name="TO" queryTableFieldId="8"/>
    <tableColumn id="9" xr3:uid="{E1F0B527-4AA6-405D-8FC8-DC4726774B81}" uniqueName="9" name="ORIGIN/DEST" queryTableField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E8D7FF2-1DB3-4F50-BEF4-CEFA0609D932}" name="Table001__Page_1_5" displayName="Table001__Page_1_5" ref="A1:H6" tableType="queryTable" totalsRowShown="0">
  <autoFilter ref="A1:H6" xr:uid="{AE8D7FF2-1DB3-4F50-BEF4-CEFA0609D932}"/>
  <tableColumns count="8">
    <tableColumn id="1" xr3:uid="{103DC9A7-A28C-4FE3-9607-1FCCD227DA74}" uniqueName="1" name="Vessel Name" queryTableFieldId="1" dataDxfId="55"/>
    <tableColumn id="2" xr3:uid="{2DEEDDA0-4A13-4E4B-A505-2F087AFCFD46}" uniqueName="2" name="Arrival" queryTableFieldId="2" dataDxfId="4"/>
    <tableColumn id="3" xr3:uid="{E9C69443-8B68-43C3-8F0A-66896EBA7155}" uniqueName="3" name="Departure" queryTableFieldId="3" dataDxfId="3"/>
    <tableColumn id="4" xr3:uid="{15D23991-5BAB-4BA1-9AB2-690C704ED77A}" uniqueName="4" name="Prenote Cut Off" queryTableFieldId="4" dataDxfId="2"/>
    <tableColumn id="5" xr3:uid="{BCC6BE82-C95A-4A32-A6EF-88FB3C19F401}" uniqueName="5" name="Cargo Cut off" queryTableFieldId="5" dataDxfId="1"/>
    <tableColumn id="6" xr3:uid="{AA463C6F-FD9A-412B-96F5-BF4FED387E5C}" uniqueName="6" name="CEDO Cut Off" queryTableFieldId="6" dataDxfId="0"/>
    <tableColumn id="7" xr3:uid="{48F6B854-9E79-42AE-818D-1F7FAC2C594B}" uniqueName="7" name="Port To" queryTableFieldId="7" dataDxfId="54"/>
    <tableColumn id="8" xr3:uid="{C4CE437E-A956-4E98-98A2-8E6ACE4F209F}" uniqueName="8" name="Oper." queryTableFieldId="8" dataDxfId="5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B977B6-7AE4-44E1-BD6A-D86317FDC8B5}" name="Table3_2" displayName="Table3_2" ref="A1:B11" totalsRowShown="0">
  <autoFilter ref="A1:B11" xr:uid="{22737F0F-81B0-4DF9-89E4-4158268BC5D4}"/>
  <tableColumns count="2">
    <tableColumn id="1" xr3:uid="{E0446112-45EC-4BEA-A659-7911764955D6}" name="From " dataDxfId="52"/>
    <tableColumn id="2" xr3:uid="{881B9B2F-B7D6-454D-86DF-679DA9B74413}" name="To" dataDxfId="5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11E980-83D3-4934-B2DB-B13DC8DF1FEF}" name="FullData" displayName="FullData" ref="A1:P453" tableType="queryTable" totalsRowShown="0">
  <autoFilter ref="A1:P453" xr:uid="{33E328C1-8D1B-4289-AAB2-F27EE7DB1734}">
    <filterColumn colId="1">
      <filters>
        <filter val="COSCO AUCKLAND"/>
      </filters>
    </filterColumn>
  </autoFilter>
  <tableColumns count="16">
    <tableColumn id="18" xr3:uid="{D84553E7-BF32-4893-94C1-2B6DF9A77D48}" uniqueName="18" name="Caption" queryTableFieldId="18" dataDxfId="50"/>
    <tableColumn id="1" xr3:uid="{1D3611E5-A85E-4CBC-BD40-7906D585A7CB}" uniqueName="1" name="Vessel" queryTableFieldId="1" dataDxfId="49"/>
    <tableColumn id="2" xr3:uid="{1BE0CC9B-57BF-44B3-A649-1EC4481A689F}" uniqueName="2" name="Inbound Voyage #" queryTableFieldId="2" dataDxfId="48"/>
    <tableColumn id="3" xr3:uid="{C2AE85F5-5476-4D62-BDFC-82276188CE56}" uniqueName="3" name="Outbound Voyage #" queryTableFieldId="3" dataDxfId="47"/>
    <tableColumn id="4" xr3:uid="{28974DE0-0D4C-4832-AAE7-0E154FD18494}" uniqueName="4" name="ANL/CMA Services" queryTableFieldId="4" dataDxfId="46"/>
    <tableColumn id="6" xr3:uid="{BFD29195-A666-4780-9711-DBE85E9A971C}" uniqueName="6" name="Last Port" queryTableFieldId="6" dataDxfId="45"/>
    <tableColumn id="7" xr3:uid="{4505F829-1D76-4C07-A827-F46389E12ADD}" uniqueName="7" name="Pro-Forma ETA" queryTableFieldId="7" dataDxfId="44"/>
    <tableColumn id="8" xr3:uid="{A76AEC73-A4FA-4EC0-8862-27CD1424BBB4}" uniqueName="8" name="Current ETA" queryTableFieldId="8" dataDxfId="43"/>
    <tableColumn id="9" xr3:uid="{F88BE510-C342-48BE-8331-B2536F3B9026}" uniqueName="9" name="Current ETD" queryTableFieldId="9" dataDxfId="42"/>
    <tableColumn id="10" xr3:uid="{CE5719AC-20EA-4CD2-A313-266F1C398685}" uniqueName="10" name="Next Port" queryTableFieldId="10" dataDxfId="41"/>
    <tableColumn id="11" xr3:uid="{7590FAAC-9F14-48C4-91DA-4354D56DFDCF}" uniqueName="11" name="Tauranga Receiving" queryTableFieldId="11" dataDxfId="40"/>
    <tableColumn id="12" xr3:uid="{910A7E99-A0DB-4550-A6CB-0ACBDF945EF0}" uniqueName="12" name="Tauranga Receiving (Hazardous)" queryTableFieldId="12" dataDxfId="39"/>
    <tableColumn id="13" xr3:uid="{EFBF55C2-24A3-4F17-9D7A-D874AE05CBF0}" uniqueName="13" name="Tauranga Receiving (Reefer)" queryTableFieldId="13" dataDxfId="38"/>
    <tableColumn id="14" xr3:uid="{1C1D56DC-2455-4768-98E2-44AA8F323765}" uniqueName="14" name="Tauranga Cut-Off" queryTableFieldId="14" dataDxfId="37"/>
    <tableColumn id="15" xr3:uid="{72611CA2-F74F-4E1E-9088-CE23C4ECC588}" uniqueName="15" name="MetroPort Receiving" queryTableFieldId="15" dataDxfId="36"/>
    <tableColumn id="16" xr3:uid="{50D0C30F-2C6B-4D80-BC87-44D911866FC8}" uniqueName="16" name="MetroPort Cut-Off" queryTableFieldId="16" dataDxfId="3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DBFFAED-1035-4D5F-AAA0-6A077648F6CF}" name="Table7" displayName="Table7" ref="B41:B42" totalsRowShown="0">
  <autoFilter ref="B41:B42" xr:uid="{D3A4D92A-A2BB-4496-93D3-C7561C456817}"/>
  <tableColumns count="1">
    <tableColumn id="1" xr3:uid="{DCF00558-2839-4B86-ADF3-1F8D77715067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www.port-tauranga.co.nz/operations/metroport-auckland/cargo-availability/" TargetMode="External"/><Relationship Id="rId1" Type="http://schemas.openxmlformats.org/officeDocument/2006/relationships/hyperlink" Target="https://www.port-tauranga.co.nz/operations/tauranga-container-terminal/cargo-availability/" TargetMode="External"/><Relationship Id="rId4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6FCBB-E2A5-41E2-B601-29754A4DF442}">
  <sheetPr codeName="Sheet4"/>
  <dimension ref="A1:AS34"/>
  <sheetViews>
    <sheetView zoomScaleNormal="100" workbookViewId="0">
      <selection activeCell="P4" sqref="P4"/>
    </sheetView>
  </sheetViews>
  <sheetFormatPr defaultColWidth="0" defaultRowHeight="15" zeroHeight="1" x14ac:dyDescent="0.25"/>
  <cols>
    <col min="1" max="1" width="1.42578125" customWidth="1"/>
    <col min="2" max="9" width="8.85546875" customWidth="1"/>
    <col min="10" max="10" width="9.42578125" customWidth="1"/>
    <col min="11" max="11" width="4.85546875" customWidth="1"/>
    <col min="12" max="12" width="5.7109375" customWidth="1"/>
    <col min="13" max="13" width="20.42578125" customWidth="1"/>
    <col min="14" max="14" width="19.42578125" customWidth="1"/>
    <col min="15" max="15" width="18.28515625" customWidth="1"/>
    <col min="16" max="16" width="18" customWidth="1"/>
    <col min="17" max="17" width="18.5703125" customWidth="1"/>
    <col min="18" max="18" width="17.7109375" customWidth="1"/>
    <col min="19" max="19" width="2.28515625" customWidth="1"/>
    <col min="20" max="20" width="8.85546875" hidden="1" customWidth="1"/>
    <col min="21" max="45" width="0" hidden="1" customWidth="1"/>
    <col min="46" max="16384" width="8.85546875" hidden="1"/>
  </cols>
  <sheetData>
    <row r="1" spans="1:45" ht="7.15" customHeight="1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</row>
    <row r="2" spans="1:45" ht="18.600000000000001" customHeight="1" x14ac:dyDescent="0.3">
      <c r="A2" s="24"/>
      <c r="B2" s="26"/>
      <c r="C2" s="26" t="s">
        <v>3</v>
      </c>
      <c r="D2" s="26"/>
      <c r="E2" s="26" t="s">
        <v>83</v>
      </c>
      <c r="F2" s="26"/>
      <c r="G2" s="26"/>
      <c r="H2" s="26" t="s">
        <v>35</v>
      </c>
      <c r="I2" s="26"/>
      <c r="J2" s="26"/>
      <c r="K2" s="27" t="s">
        <v>86</v>
      </c>
      <c r="L2" s="28"/>
      <c r="M2" s="43" t="str">
        <f>IF(COUNTA(Calculation!A63:A69)=1,"No updates for vessel "&amp;Calculation!B63, "ATTENTION schedule for vessel "&amp;Calculation!B63&amp;" has been changed")</f>
        <v>No updates for vessel CAP JACKSON</v>
      </c>
      <c r="N2" s="44"/>
      <c r="O2" s="44"/>
      <c r="P2" s="44"/>
      <c r="Q2" s="44"/>
      <c r="R2" s="44"/>
      <c r="S2" s="24"/>
    </row>
    <row r="3" spans="1:45" ht="18.75" x14ac:dyDescent="0.3">
      <c r="A3" s="24"/>
      <c r="B3" s="26"/>
      <c r="C3" s="26"/>
      <c r="D3" s="26"/>
      <c r="E3" s="26"/>
      <c r="F3" s="26"/>
      <c r="G3" s="26"/>
      <c r="H3" s="26"/>
      <c r="I3" s="26"/>
      <c r="J3" s="26"/>
      <c r="K3" s="27" t="s">
        <v>87</v>
      </c>
      <c r="L3" s="28"/>
      <c r="M3" s="30" t="s">
        <v>81</v>
      </c>
      <c r="N3" s="31" t="s">
        <v>85</v>
      </c>
      <c r="O3" s="32" t="s">
        <v>61</v>
      </c>
      <c r="P3" s="31" t="s">
        <v>62</v>
      </c>
      <c r="Q3" s="31" t="s">
        <v>82</v>
      </c>
      <c r="R3" s="33" t="s">
        <v>59</v>
      </c>
      <c r="S3" s="24"/>
    </row>
    <row r="4" spans="1:45" ht="18.75" x14ac:dyDescent="0.3">
      <c r="A4" s="24"/>
      <c r="B4" s="26"/>
      <c r="C4" s="26"/>
      <c r="D4" s="26"/>
      <c r="E4" s="26"/>
      <c r="F4" s="26"/>
      <c r="G4" s="26"/>
      <c r="H4" s="26"/>
      <c r="I4" s="26"/>
      <c r="J4" s="28"/>
      <c r="K4" s="27"/>
      <c r="L4" s="28"/>
      <c r="M4" s="34">
        <f>IF(Calculation!A63&lt;&gt;"",Calculation!A63,"")</f>
        <v>45468.629861111112</v>
      </c>
      <c r="N4" s="35">
        <f>IF(Calculation!K63&lt;&gt;"",Calculation!K63,"")</f>
        <v>45484.000694444447</v>
      </c>
      <c r="O4" s="35">
        <f>IF(Calculation!N63&lt;&gt;"",Calculation!N63,"")</f>
        <v>45489.625</v>
      </c>
      <c r="P4" s="35">
        <f>IF(Calculation!P63&lt;&gt;"",Calculation!P63,"")</f>
        <v>45488.500694444447</v>
      </c>
      <c r="Q4" s="35">
        <f>IF(Calculation!H63&lt;&gt;"",Calculation!H63,"")</f>
        <v>45491.000694444447</v>
      </c>
      <c r="R4" s="36">
        <f>IF(Calculation!I63&lt;&gt;"",Calculation!I63,"")</f>
        <v>45491.916666666664</v>
      </c>
      <c r="S4" s="24"/>
    </row>
    <row r="5" spans="1:45" ht="19.899999999999999" customHeight="1" x14ac:dyDescent="0.3">
      <c r="A5" s="24"/>
      <c r="B5" s="26"/>
      <c r="C5" s="26"/>
      <c r="D5" s="26"/>
      <c r="E5" s="26"/>
      <c r="F5" s="26"/>
      <c r="G5" s="26"/>
      <c r="H5" s="37"/>
      <c r="I5" s="26"/>
      <c r="J5" s="28"/>
      <c r="K5" s="27"/>
      <c r="L5" s="28"/>
      <c r="M5" s="38" t="str">
        <f>IF(Calculation!A64&lt;&gt;"",Calculation!A64,"")</f>
        <v/>
      </c>
      <c r="N5" s="39" t="str">
        <f>IF(Calculation!K64&lt;&gt;"",Calculation!K64,"")</f>
        <v/>
      </c>
      <c r="O5" s="39" t="str">
        <f>IF(Calculation!N64&lt;&gt;"",Calculation!N64,"")</f>
        <v/>
      </c>
      <c r="P5" s="39" t="str">
        <f>IF(Calculation!P64&lt;&gt;"",Calculation!P64,"")</f>
        <v/>
      </c>
      <c r="Q5" s="35" t="str">
        <f>IF(Calculation!H64&lt;&gt;"",Calculation!H64,"")</f>
        <v/>
      </c>
      <c r="R5" s="36" t="str">
        <f>IF(Calculation!I64&lt;&gt;"",Calculation!I64,"")</f>
        <v/>
      </c>
      <c r="S5" s="24"/>
    </row>
    <row r="6" spans="1:45" ht="18.75" x14ac:dyDescent="0.3">
      <c r="A6" s="24"/>
      <c r="B6" s="26"/>
      <c r="C6" s="26"/>
      <c r="D6" s="26"/>
      <c r="E6" s="29"/>
      <c r="F6" s="26"/>
      <c r="G6" s="26"/>
      <c r="H6" s="26"/>
      <c r="I6" s="26"/>
      <c r="J6" s="28"/>
      <c r="K6" s="27"/>
      <c r="L6" s="28"/>
      <c r="M6" s="40" t="str">
        <f>IF(Calculation!A65&lt;&gt;"",Calculation!A65,"")</f>
        <v/>
      </c>
      <c r="N6" s="41" t="str">
        <f>IF(Calculation!K65&lt;&gt;"",Calculation!K65,"")</f>
        <v/>
      </c>
      <c r="O6" s="41" t="str">
        <f>IF(Calculation!N65&lt;&gt;"",Calculation!N65,"")</f>
        <v/>
      </c>
      <c r="P6" s="41" t="str">
        <f>IF(Calculation!P65&lt;&gt;"",Calculation!P65,"")</f>
        <v/>
      </c>
      <c r="Q6" s="35" t="str">
        <f>IF(Calculation!H65&lt;&gt;"",Calculation!H65,"")</f>
        <v/>
      </c>
      <c r="R6" s="36" t="str">
        <f>IF(Calculation!I65&lt;&gt;"",Calculation!I65,"")</f>
        <v/>
      </c>
      <c r="S6" s="24"/>
    </row>
    <row r="7" spans="1:45" ht="7.9" customHeight="1" x14ac:dyDescent="0.25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</row>
    <row r="8" spans="1:45" x14ac:dyDescent="0.25">
      <c r="A8" s="24"/>
      <c r="S8" s="24"/>
    </row>
    <row r="9" spans="1:45" x14ac:dyDescent="0.25">
      <c r="A9" s="24"/>
      <c r="S9" s="24"/>
    </row>
    <row r="10" spans="1:45" x14ac:dyDescent="0.25">
      <c r="A10" s="24"/>
      <c r="S10" s="24"/>
    </row>
    <row r="11" spans="1:45" x14ac:dyDescent="0.25">
      <c r="A11" s="24"/>
      <c r="S11" s="24"/>
    </row>
    <row r="12" spans="1:45" x14ac:dyDescent="0.25">
      <c r="A12" s="24"/>
      <c r="S12" s="24"/>
    </row>
    <row r="13" spans="1:45" x14ac:dyDescent="0.25">
      <c r="A13" s="24"/>
      <c r="S13" s="24"/>
    </row>
    <row r="14" spans="1:45" x14ac:dyDescent="0.25">
      <c r="A14" s="24"/>
      <c r="S14" s="24"/>
      <c r="AS14">
        <v>10</v>
      </c>
    </row>
    <row r="15" spans="1:45" x14ac:dyDescent="0.25">
      <c r="A15" s="24"/>
      <c r="S15" s="24"/>
    </row>
    <row r="16" spans="1:45" x14ac:dyDescent="0.25">
      <c r="A16" s="24"/>
      <c r="S16" s="24"/>
    </row>
    <row r="17" spans="1:19" x14ac:dyDescent="0.25">
      <c r="A17" s="24"/>
      <c r="S17" s="24"/>
    </row>
    <row r="18" spans="1:19" x14ac:dyDescent="0.25">
      <c r="A18" s="24"/>
      <c r="S18" s="24"/>
    </row>
    <row r="19" spans="1:19" x14ac:dyDescent="0.25">
      <c r="A19" s="24"/>
      <c r="S19" s="24"/>
    </row>
    <row r="20" spans="1:19" x14ac:dyDescent="0.25">
      <c r="A20" s="24"/>
      <c r="S20" s="24"/>
    </row>
    <row r="21" spans="1:19" x14ac:dyDescent="0.25">
      <c r="A21" s="24"/>
      <c r="S21" s="24"/>
    </row>
    <row r="22" spans="1:19" x14ac:dyDescent="0.25">
      <c r="A22" s="24"/>
      <c r="S22" s="24"/>
    </row>
    <row r="23" spans="1:19" x14ac:dyDescent="0.25">
      <c r="A23" s="24"/>
      <c r="S23" s="24"/>
    </row>
    <row r="24" spans="1:19" ht="16.149999999999999" customHeight="1" x14ac:dyDescent="0.25">
      <c r="A24" s="24"/>
      <c r="S24" s="24"/>
    </row>
    <row r="25" spans="1:19" ht="17.45" customHeight="1" x14ac:dyDescent="0.25">
      <c r="A25" s="24"/>
      <c r="S25" s="24"/>
    </row>
    <row r="26" spans="1:19" ht="20.45" customHeight="1" x14ac:dyDescent="0.25">
      <c r="A26" s="24"/>
      <c r="S26" s="24"/>
    </row>
    <row r="27" spans="1:19" ht="9.6" customHeight="1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5"/>
      <c r="P27" s="24"/>
      <c r="Q27" s="24"/>
      <c r="R27" s="24"/>
      <c r="S27" s="24"/>
    </row>
    <row r="28" spans="1:19" x14ac:dyDescent="0.25">
      <c r="A28" s="24"/>
      <c r="S28" s="24"/>
    </row>
    <row r="29" spans="1:19" x14ac:dyDescent="0.25">
      <c r="A29" s="24"/>
      <c r="S29" s="24"/>
    </row>
    <row r="30" spans="1:19" x14ac:dyDescent="0.25">
      <c r="A30" s="24"/>
      <c r="S30" s="24"/>
    </row>
    <row r="31" spans="1:19" x14ac:dyDescent="0.25">
      <c r="A31" s="24"/>
      <c r="S31" s="24"/>
    </row>
    <row r="32" spans="1:19" x14ac:dyDescent="0.25">
      <c r="A32" s="24"/>
      <c r="S32" s="24"/>
    </row>
    <row r="33" spans="1:19" ht="19.149999999999999" customHeight="1" x14ac:dyDescent="0.25">
      <c r="A33" s="24"/>
      <c r="S33" s="24"/>
    </row>
    <row r="34" spans="1:19" ht="10.9" customHeight="1" x14ac:dyDescent="0.25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</row>
  </sheetData>
  <sheetProtection algorithmName="SHA-512" hashValue="62NU8XZTy2KWRsbhyu8hIhph7cIlbygvQHxQ+162SW/x96daeAdlrcCr67/y6JlUz2beWwe2QPS4HFvP1gpDRQ==" saltValue="S3gvC+LWAezZZsSr7DJIuA==" spinCount="100000" sheet="1" objects="1" scenarios="1"/>
  <mergeCells count="1">
    <mergeCell ref="M2:R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0</xdr:col>
                    <xdr:colOff>95250</xdr:colOff>
                    <xdr:row>7</xdr:row>
                    <xdr:rowOff>9525</xdr:rowOff>
                  </from>
                  <to>
                    <xdr:col>1</xdr:col>
                    <xdr:colOff>342900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DDService">
              <controlPr defaultSize="0" autoLine="0" autoPict="0" macro="[0]!ServiceRefreshDS">
                <anchor moveWithCells="1">
                  <from>
                    <xdr:col>1</xdr:col>
                    <xdr:colOff>161925</xdr:colOff>
                    <xdr:row>2</xdr:row>
                    <xdr:rowOff>76200</xdr:rowOff>
                  </from>
                  <to>
                    <xdr:col>3</xdr:col>
                    <xdr:colOff>371475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DDVessel">
              <controlPr defaultSize="0" autoLine="0" autoPict="0" macro="[0]!VesselRefreshDS">
                <anchor moveWithCells="1">
                  <from>
                    <xdr:col>3</xdr:col>
                    <xdr:colOff>590550</xdr:colOff>
                    <xdr:row>2</xdr:row>
                    <xdr:rowOff>76200</xdr:rowOff>
                  </from>
                  <to>
                    <xdr:col>6</xdr:col>
                    <xdr:colOff>323850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DDVoyage">
              <controlPr defaultSize="0" autoLine="0" autoPict="0" macro="[0]!VoyageRefreshDS">
                <anchor moveWithCells="1">
                  <from>
                    <xdr:col>7</xdr:col>
                    <xdr:colOff>9525</xdr:colOff>
                    <xdr:row>2</xdr:row>
                    <xdr:rowOff>66675</xdr:rowOff>
                  </from>
                  <to>
                    <xdr:col>9</xdr:col>
                    <xdr:colOff>142875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 macro="[0]!RefreshDS" altText="Only ANL/CMA vessels">
                <anchor moveWithCells="1">
                  <from>
                    <xdr:col>1</xdr:col>
                    <xdr:colOff>142875</xdr:colOff>
                    <xdr:row>3</xdr:row>
                    <xdr:rowOff>209550</xdr:rowOff>
                  </from>
                  <to>
                    <xdr:col>3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F3417A50-B231-4F89-BC21-C5809CCCC4F8}">
            <xm:f>AND(IF(Calculation!$M$63&lt;&gt;Calculation!$M$64,1),IF(Calculation!$M$64&lt;&gt;"",1))</xm:f>
            <x14:dxf>
              <font>
                <b/>
                <i val="0"/>
                <color rgb="FFFF0000"/>
              </font>
            </x14:dxf>
          </x14:cfRule>
          <xm:sqref>N4</xm:sqref>
        </x14:conditionalFormatting>
        <x14:conditionalFormatting xmlns:xm="http://schemas.microsoft.com/office/excel/2006/main">
          <x14:cfRule type="expression" priority="3" id="{F7518F5E-EDF2-4162-BBCD-3D733A670EB4}">
            <xm:f>AND(IF(Calculation!$I$63&lt;&gt;Calculation!$I$64,1),IF(Calculation!$I$64&lt;&gt;"",1))</xm:f>
            <x14:dxf>
              <font>
                <b/>
                <i val="0"/>
                <color rgb="FFFF0000"/>
              </font>
            </x14:dxf>
          </x14:cfRule>
          <xm:sqref>R4</xm:sqref>
        </x14:conditionalFormatting>
        <x14:conditionalFormatting xmlns:xm="http://schemas.microsoft.com/office/excel/2006/main">
          <x14:cfRule type="expression" priority="9" id="{AA806C36-CAC2-4E3F-86F6-9FB3DD1DE02B}">
            <xm:f>AND(IF(Calculation!$H$63&lt;&gt;Calculation!$H$64,1),IF(Calculation!$H$64&lt;&gt;"",1))</xm:f>
            <x14:dxf>
              <font>
                <b/>
                <i val="0"/>
                <color rgb="FFFF0000"/>
              </font>
            </x14:dxf>
          </x14:cfRule>
          <xm:sqref>Q4</xm:sqref>
        </x14:conditionalFormatting>
        <x14:conditionalFormatting xmlns:xm="http://schemas.microsoft.com/office/excel/2006/main">
          <x14:cfRule type="expression" priority="7" id="{88013F80-0CAD-4222-AEDF-2AA7E8836585}">
            <xm:f>AND(IF(Calculation!$P$63&lt;&gt;Calculation!$P$64,1),IF(Calculation!$P$64&lt;&gt;"",1))</xm:f>
            <x14:dxf>
              <font>
                <b/>
                <i val="0"/>
                <color rgb="FFFF0000"/>
              </font>
            </x14:dxf>
          </x14:cfRule>
          <xm:sqref>P4</xm:sqref>
        </x14:conditionalFormatting>
        <x14:conditionalFormatting xmlns:xm="http://schemas.microsoft.com/office/excel/2006/main">
          <x14:cfRule type="expression" priority="5" id="{167B600C-F4A9-4E40-99AF-6835F09BC22B}">
            <xm:f>AND(IF(Calculation!$N$63&lt;&gt;Calculation!$N$64,1),IF(Calculation!$N$64&lt;&gt;"",1))</xm:f>
            <x14:dxf>
              <font>
                <b/>
                <i val="0"/>
                <color rgb="FFFF0000"/>
              </font>
            </x14:dxf>
          </x14:cfRule>
          <xm:sqref>O4</xm:sqref>
        </x14:conditionalFormatting>
        <x14:conditionalFormatting xmlns:xm="http://schemas.microsoft.com/office/excel/2006/main">
          <x14:cfRule type="expression" priority="8" id="{E520EDD4-3A11-41A2-81A1-CE9B9B6DE3C5}">
            <xm:f>AND(IF(Calculation!$H$64&lt;&gt;Calculation!$H$65,1),IF(Calculation!$H$65&lt;&gt;"",1))</xm:f>
            <x14:dxf>
              <font>
                <b/>
                <i val="0"/>
                <color rgb="FFFF0000"/>
              </font>
            </x14:dxf>
          </x14:cfRule>
          <xm:sqref>Q5</xm:sqref>
        </x14:conditionalFormatting>
        <x14:conditionalFormatting xmlns:xm="http://schemas.microsoft.com/office/excel/2006/main">
          <x14:cfRule type="expression" priority="6" id="{2F657731-F18E-4627-90C7-6709629A865B}">
            <xm:f>AND(IF(Calculation!$P$64&lt;&gt;Calculation!$P$65,1),IF(Calculation!$P$65&lt;&gt;"",1))</xm:f>
            <x14:dxf>
              <font>
                <b/>
                <i val="0"/>
                <color rgb="FFFF0000"/>
              </font>
            </x14:dxf>
          </x14:cfRule>
          <xm:sqref>P5</xm:sqref>
        </x14:conditionalFormatting>
        <x14:conditionalFormatting xmlns:xm="http://schemas.microsoft.com/office/excel/2006/main">
          <x14:cfRule type="expression" priority="4" id="{17370517-6C54-4190-8B39-A0DEA0737E47}">
            <xm:f>AND(IF(Calculation!$N$64&lt;&gt;Calculation!$N$65,1),IF(Calculation!$N$65&lt;&gt;"",1))</xm:f>
            <x14:dxf>
              <font>
                <b/>
                <i val="0"/>
                <color rgb="FFFF0000"/>
              </font>
            </x14:dxf>
          </x14:cfRule>
          <xm:sqref>O5</xm:sqref>
        </x14:conditionalFormatting>
        <x14:conditionalFormatting xmlns:xm="http://schemas.microsoft.com/office/excel/2006/main">
          <x14:cfRule type="expression" priority="2" id="{BE5EFF5A-11DE-4AED-AB29-B956AADE3197}">
            <xm:f>AND(IF(Calculation!$I$64&lt;&gt;Calculation!$I$65,1),IF(Calculation!$I$65&lt;&gt;"",1))</xm:f>
            <x14:dxf>
              <font>
                <b/>
                <i val="0"/>
                <color rgb="FFFF0000"/>
              </font>
            </x14:dxf>
          </x14:cfRule>
          <xm:sqref>R5</xm:sqref>
        </x14:conditionalFormatting>
        <x14:conditionalFormatting xmlns:xm="http://schemas.microsoft.com/office/excel/2006/main">
          <x14:cfRule type="expression" priority="1" id="{761A18BF-E9AE-408E-843A-0E7E1693B6AB}">
            <xm:f>AND(IF(Calculation!$M$64&lt;&gt;Calculation!$M$65,1),IF(Calculation!$M$65&lt;&gt;"",1))</xm:f>
            <x14:dxf>
              <font>
                <b/>
                <i val="0"/>
                <color rgb="FFFF0000"/>
              </font>
            </x14:dxf>
          </x14:cfRule>
          <xm:sqref>N5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3E142-D481-44BB-A728-1638F17ACBF8}">
  <dimension ref="A1:C4"/>
  <sheetViews>
    <sheetView workbookViewId="0">
      <selection activeCell="I9" sqref="I9"/>
    </sheetView>
  </sheetViews>
  <sheetFormatPr defaultRowHeight="15" x14ac:dyDescent="0.25"/>
  <cols>
    <col min="1" max="1" width="16.85546875" bestFit="1" customWidth="1"/>
    <col min="2" max="2" width="11.140625" bestFit="1" customWidth="1"/>
    <col min="3" max="3" width="17" bestFit="1" customWidth="1"/>
    <col min="4" max="4" width="9.85546875" bestFit="1" customWidth="1"/>
    <col min="5" max="5" width="17" bestFit="1" customWidth="1"/>
  </cols>
  <sheetData>
    <row r="1" spans="1:3" x14ac:dyDescent="0.25">
      <c r="A1" t="s">
        <v>958</v>
      </c>
      <c r="B1" t="s">
        <v>959</v>
      </c>
      <c r="C1" t="s">
        <v>58</v>
      </c>
    </row>
    <row r="2" spans="1:3" x14ac:dyDescent="0.25">
      <c r="A2" s="45" t="s">
        <v>952</v>
      </c>
      <c r="B2" s="45" t="s">
        <v>953</v>
      </c>
      <c r="C2" s="45" t="s">
        <v>954</v>
      </c>
    </row>
    <row r="3" spans="1:3" x14ac:dyDescent="0.25">
      <c r="A3" s="45" t="s">
        <v>952</v>
      </c>
      <c r="B3" s="45" t="s">
        <v>955</v>
      </c>
      <c r="C3" s="45" t="s">
        <v>956</v>
      </c>
    </row>
    <row r="4" spans="1:3" x14ac:dyDescent="0.25">
      <c r="A4" s="45" t="s">
        <v>231</v>
      </c>
      <c r="B4" s="45" t="s">
        <v>691</v>
      </c>
      <c r="C4" s="45" t="s">
        <v>957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71E8C-AF39-4A2F-9609-C531C988A843}">
  <sheetPr codeName="Sheet1"/>
  <dimension ref="A1:V82"/>
  <sheetViews>
    <sheetView zoomScale="110" zoomScaleNormal="110" workbookViewId="0">
      <pane ySplit="1" topLeftCell="A2" activePane="bottomLeft" state="frozen"/>
      <selection pane="bottomLeft" activeCell="D17" sqref="D17"/>
    </sheetView>
  </sheetViews>
  <sheetFormatPr defaultRowHeight="15" outlineLevelCol="1" x14ac:dyDescent="0.25"/>
  <cols>
    <col min="1" max="1" width="23.85546875" bestFit="1" customWidth="1"/>
    <col min="2" max="2" width="18.7109375" hidden="1" customWidth="1"/>
    <col min="3" max="3" width="21" bestFit="1" customWidth="1"/>
    <col min="4" max="4" width="20" bestFit="1" customWidth="1"/>
    <col min="5" max="5" width="13.85546875" hidden="1" customWidth="1"/>
    <col min="6" max="6" width="10.85546875" bestFit="1" customWidth="1"/>
    <col min="7" max="7" width="16.5703125" hidden="1" customWidth="1"/>
    <col min="8" max="9" width="16.28515625" bestFit="1" customWidth="1"/>
    <col min="10" max="10" width="11.85546875" hidden="1" customWidth="1"/>
    <col min="11" max="11" width="20.5703125" bestFit="1" customWidth="1"/>
    <col min="12" max="12" width="31.7109375" hidden="1" customWidth="1"/>
    <col min="13" max="13" width="28.42578125" hidden="1" customWidth="1"/>
    <col min="14" max="14" width="18.42578125" bestFit="1" customWidth="1"/>
    <col min="15" max="15" width="21.85546875" hidden="1" customWidth="1" outlineLevel="1"/>
    <col min="16" max="16" width="19.85546875" hidden="1" customWidth="1" outlineLevel="1"/>
    <col min="17" max="17" width="8.28515625" hidden="1" customWidth="1" collapsed="1"/>
    <col min="18" max="18" width="8.28515625" customWidth="1"/>
    <col min="19" max="19" width="10.85546875" bestFit="1" customWidth="1"/>
    <col min="20" max="20" width="11.42578125" bestFit="1" customWidth="1"/>
    <col min="21" max="21" width="9.7109375" bestFit="1" customWidth="1"/>
    <col min="22" max="22" width="9.28515625" style="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50</v>
      </c>
      <c r="E1" t="s">
        <v>48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51</v>
      </c>
      <c r="P1" s="1" t="s">
        <v>38</v>
      </c>
      <c r="Q1" t="s">
        <v>36</v>
      </c>
      <c r="V1"/>
    </row>
    <row r="2" spans="1:22" x14ac:dyDescent="0.25">
      <c r="A2" t="s">
        <v>152</v>
      </c>
      <c r="B2" t="s">
        <v>290</v>
      </c>
      <c r="C2" t="s">
        <v>256</v>
      </c>
      <c r="D2" t="s">
        <v>42</v>
      </c>
      <c r="E2" t="s">
        <v>24</v>
      </c>
      <c r="F2" t="s">
        <v>14</v>
      </c>
      <c r="G2" s="1">
        <v>45473.75</v>
      </c>
      <c r="H2" s="1">
        <v>45472.861805555556</v>
      </c>
      <c r="I2" s="1">
        <v>45473.559027777781</v>
      </c>
      <c r="J2" t="s">
        <v>17</v>
      </c>
      <c r="K2" s="1">
        <v>45466.75</v>
      </c>
      <c r="L2" s="1">
        <v>45470.822916666664</v>
      </c>
      <c r="M2" s="1">
        <v>45467.000694444447</v>
      </c>
      <c r="N2" s="1">
        <v>45470.625</v>
      </c>
      <c r="O2" s="1">
        <v>45465.25</v>
      </c>
      <c r="P2" s="1">
        <v>45470.666666666664</v>
      </c>
      <c r="Q2">
        <v>1</v>
      </c>
      <c r="V2"/>
    </row>
    <row r="3" spans="1:22" x14ac:dyDescent="0.25">
      <c r="A3" t="s">
        <v>63</v>
      </c>
      <c r="B3" t="s">
        <v>156</v>
      </c>
      <c r="C3" t="s">
        <v>157</v>
      </c>
      <c r="D3" t="s">
        <v>43</v>
      </c>
      <c r="E3" t="s">
        <v>22</v>
      </c>
      <c r="F3" t="s">
        <v>14</v>
      </c>
      <c r="G3" s="1">
        <v>45473</v>
      </c>
      <c r="H3" s="1">
        <v>45472.039583333331</v>
      </c>
      <c r="I3" s="1">
        <v>45472.759722222225</v>
      </c>
      <c r="J3" t="s">
        <v>13</v>
      </c>
      <c r="K3" s="1">
        <v>45466</v>
      </c>
      <c r="L3" s="1">
        <v>45470.020833333336</v>
      </c>
      <c r="M3" s="1">
        <v>45467.000694444447</v>
      </c>
      <c r="N3" s="1">
        <v>45470.625</v>
      </c>
      <c r="O3" s="1">
        <v>45464.5</v>
      </c>
      <c r="P3" s="1">
        <v>45470.416666666664</v>
      </c>
      <c r="Q3">
        <v>2</v>
      </c>
      <c r="V3"/>
    </row>
    <row r="4" spans="1:22" x14ac:dyDescent="0.25">
      <c r="A4" t="s">
        <v>192</v>
      </c>
      <c r="B4" t="s">
        <v>282</v>
      </c>
      <c r="C4" t="s">
        <v>320</v>
      </c>
      <c r="D4" t="s">
        <v>46</v>
      </c>
      <c r="E4" t="s">
        <v>26</v>
      </c>
      <c r="F4" t="s">
        <v>949</v>
      </c>
      <c r="G4" s="1">
        <v>45470</v>
      </c>
      <c r="H4" s="1">
        <v>45471.296527777777</v>
      </c>
      <c r="I4" s="1">
        <v>45472.273611111108</v>
      </c>
      <c r="J4" t="s">
        <v>27</v>
      </c>
      <c r="K4" s="1">
        <v>45463</v>
      </c>
      <c r="L4" s="1">
        <v>45469.270833333336</v>
      </c>
      <c r="M4" s="1">
        <v>45464.000694444447</v>
      </c>
      <c r="N4" s="1">
        <v>45468.625</v>
      </c>
      <c r="O4" s="1">
        <v>45461.5</v>
      </c>
      <c r="P4" s="1">
        <v>45467.5</v>
      </c>
      <c r="Q4">
        <v>3</v>
      </c>
      <c r="V4"/>
    </row>
    <row r="5" spans="1:22" x14ac:dyDescent="0.25">
      <c r="A5" t="s">
        <v>65</v>
      </c>
      <c r="B5" t="s">
        <v>362</v>
      </c>
      <c r="C5" t="s">
        <v>363</v>
      </c>
      <c r="D5" t="s">
        <v>44</v>
      </c>
      <c r="E5" t="s">
        <v>29</v>
      </c>
      <c r="F5" t="s">
        <v>30</v>
      </c>
      <c r="G5" s="1">
        <v>45467.25</v>
      </c>
      <c r="H5" s="1">
        <v>45471.59375</v>
      </c>
      <c r="I5" s="1">
        <v>45472.20208333333</v>
      </c>
      <c r="J5" t="s">
        <v>13</v>
      </c>
      <c r="K5" s="1">
        <v>45460.25</v>
      </c>
      <c r="L5" s="1">
        <v>45469.5625</v>
      </c>
      <c r="M5" s="1">
        <v>45461.000694444447</v>
      </c>
      <c r="N5" s="1">
        <v>45469.416666666664</v>
      </c>
      <c r="O5" s="1">
        <v>45458.75</v>
      </c>
      <c r="P5" s="1">
        <v>45464.75</v>
      </c>
      <c r="Q5">
        <v>4</v>
      </c>
      <c r="V5"/>
    </row>
    <row r="6" spans="1:22" x14ac:dyDescent="0.25">
      <c r="A6" t="s">
        <v>642</v>
      </c>
      <c r="B6" t="s">
        <v>643</v>
      </c>
      <c r="C6" t="s">
        <v>643</v>
      </c>
      <c r="D6" t="s">
        <v>18</v>
      </c>
      <c r="E6" t="s">
        <v>18</v>
      </c>
      <c r="F6" t="s">
        <v>19</v>
      </c>
      <c r="G6" s="1">
        <v>45475.75</v>
      </c>
      <c r="H6" s="1">
        <v>45474.413194444445</v>
      </c>
      <c r="I6" s="1">
        <v>45475.479166666664</v>
      </c>
      <c r="J6" t="s">
        <v>80</v>
      </c>
      <c r="K6" s="1">
        <v>45468.75</v>
      </c>
      <c r="L6" s="1">
        <v>45472.4375</v>
      </c>
      <c r="M6" s="1">
        <v>45469.000694444447</v>
      </c>
      <c r="N6" s="1">
        <v>45473.5</v>
      </c>
      <c r="O6" s="1">
        <v>45467.25</v>
      </c>
      <c r="P6" s="1">
        <v>45473.25</v>
      </c>
      <c r="Q6">
        <v>5</v>
      </c>
      <c r="V6"/>
    </row>
    <row r="7" spans="1:22" x14ac:dyDescent="0.25">
      <c r="A7" t="s">
        <v>267</v>
      </c>
      <c r="B7" t="s">
        <v>304</v>
      </c>
      <c r="C7" t="s">
        <v>257</v>
      </c>
      <c r="D7" t="s">
        <v>42</v>
      </c>
      <c r="E7" t="s">
        <v>24</v>
      </c>
      <c r="F7" t="s">
        <v>14</v>
      </c>
      <c r="G7" s="1">
        <v>45477.291666666664</v>
      </c>
      <c r="H7" s="1">
        <v>45477.21875</v>
      </c>
      <c r="I7" s="1">
        <v>45477.96875</v>
      </c>
      <c r="J7" t="s">
        <v>17</v>
      </c>
      <c r="K7" s="1">
        <v>45470.291666666664</v>
      </c>
      <c r="L7" s="1">
        <v>45475.21875</v>
      </c>
      <c r="M7" s="1">
        <v>45471.000694444447</v>
      </c>
      <c r="N7" s="1">
        <v>45475.625</v>
      </c>
      <c r="O7" s="1">
        <v>45468.791666666664</v>
      </c>
      <c r="P7" s="1">
        <v>45474.791666666664</v>
      </c>
      <c r="Q7">
        <v>6</v>
      </c>
      <c r="S7" s="2"/>
      <c r="T7" s="2"/>
      <c r="U7" s="2"/>
      <c r="V7"/>
    </row>
    <row r="8" spans="1:22" ht="18.75" x14ac:dyDescent="0.25">
      <c r="A8" t="s">
        <v>128</v>
      </c>
      <c r="B8" t="s">
        <v>362</v>
      </c>
      <c r="C8" t="s">
        <v>363</v>
      </c>
      <c r="D8" t="s">
        <v>44</v>
      </c>
      <c r="E8" t="s">
        <v>29</v>
      </c>
      <c r="F8" t="s">
        <v>21</v>
      </c>
      <c r="G8" s="1">
        <v>45474.5</v>
      </c>
      <c r="H8" s="1">
        <v>45477.833333333336</v>
      </c>
      <c r="I8" s="1">
        <v>45478.229166666664</v>
      </c>
      <c r="J8" t="s">
        <v>13</v>
      </c>
      <c r="K8" s="1">
        <v>45467.5</v>
      </c>
      <c r="L8" s="1">
        <v>45475.833333333336</v>
      </c>
      <c r="M8" s="1">
        <v>45468.000694444447</v>
      </c>
      <c r="N8" s="1">
        <v>45476.625</v>
      </c>
      <c r="O8" s="1">
        <v>45466</v>
      </c>
      <c r="P8" s="1">
        <v>45470.25</v>
      </c>
      <c r="Q8">
        <v>7</v>
      </c>
      <c r="S8" s="2"/>
      <c r="T8" s="3" t="s">
        <v>3</v>
      </c>
      <c r="U8" s="3"/>
      <c r="V8"/>
    </row>
    <row r="9" spans="1:22" x14ac:dyDescent="0.25">
      <c r="A9" t="s">
        <v>277</v>
      </c>
      <c r="B9" t="s">
        <v>156</v>
      </c>
      <c r="C9" t="s">
        <v>157</v>
      </c>
      <c r="D9" t="s">
        <v>43</v>
      </c>
      <c r="E9" t="s">
        <v>22</v>
      </c>
      <c r="F9" t="s">
        <v>14</v>
      </c>
      <c r="G9" s="1">
        <v>45479.583333333336</v>
      </c>
      <c r="H9" s="1">
        <v>45479.208333333336</v>
      </c>
      <c r="I9" s="1">
        <v>45479.875</v>
      </c>
      <c r="J9" t="s">
        <v>13</v>
      </c>
      <c r="K9" s="1">
        <v>45472.583333333336</v>
      </c>
      <c r="L9" s="1">
        <v>45477.208333333336</v>
      </c>
      <c r="M9" s="1">
        <v>45473.000694444447</v>
      </c>
      <c r="N9" s="1">
        <v>45478.583333333336</v>
      </c>
      <c r="O9" s="1">
        <v>45471.083333333336</v>
      </c>
      <c r="P9" s="1">
        <v>45477.083333333336</v>
      </c>
      <c r="Q9">
        <v>8</v>
      </c>
      <c r="S9" s="2"/>
      <c r="T9" s="2"/>
      <c r="U9" s="2"/>
      <c r="V9"/>
    </row>
    <row r="10" spans="1:22" x14ac:dyDescent="0.25">
      <c r="A10" t="s">
        <v>133</v>
      </c>
      <c r="B10" t="s">
        <v>488</v>
      </c>
      <c r="C10" t="s">
        <v>186</v>
      </c>
      <c r="D10" t="s">
        <v>45</v>
      </c>
      <c r="E10" t="s">
        <v>15</v>
      </c>
      <c r="F10" t="s">
        <v>14</v>
      </c>
      <c r="G10" s="1">
        <v>45475</v>
      </c>
      <c r="H10" s="1">
        <v>45479.302083333336</v>
      </c>
      <c r="I10" s="1">
        <v>45480.041666666664</v>
      </c>
      <c r="J10" t="s">
        <v>16</v>
      </c>
      <c r="K10" s="1">
        <v>45468</v>
      </c>
      <c r="L10" s="1">
        <v>45477.302083333336</v>
      </c>
      <c r="M10" s="1">
        <v>45469.000694444447</v>
      </c>
      <c r="N10" s="1">
        <v>45479.416666666664</v>
      </c>
      <c r="O10" s="1">
        <v>45466.5</v>
      </c>
      <c r="P10" s="1">
        <v>45472.5</v>
      </c>
      <c r="Q10">
        <v>9</v>
      </c>
      <c r="S10" s="2"/>
      <c r="T10" s="2"/>
      <c r="U10" s="2"/>
      <c r="V10"/>
    </row>
    <row r="11" spans="1:22" x14ac:dyDescent="0.25">
      <c r="A11" t="s">
        <v>64</v>
      </c>
      <c r="B11" t="s">
        <v>580</v>
      </c>
      <c r="C11" t="s">
        <v>581</v>
      </c>
      <c r="D11" t="s">
        <v>52</v>
      </c>
      <c r="E11" t="s">
        <v>37</v>
      </c>
      <c r="G11" s="1">
        <v>45481.333333333336</v>
      </c>
      <c r="H11" s="1">
        <v>45481.333333333336</v>
      </c>
      <c r="I11" s="1">
        <v>45481.736111111109</v>
      </c>
      <c r="J11" t="s">
        <v>23</v>
      </c>
      <c r="K11" s="1">
        <v>45474.333333333336</v>
      </c>
      <c r="L11" s="1">
        <v>45479.333333333336</v>
      </c>
      <c r="M11" s="1">
        <v>45475.000694444447</v>
      </c>
      <c r="N11" s="1">
        <v>45480.625</v>
      </c>
      <c r="O11" s="1">
        <v>45472.833333333336</v>
      </c>
      <c r="P11" s="1">
        <v>45478.833333333336</v>
      </c>
      <c r="Q11">
        <v>10</v>
      </c>
      <c r="S11" s="2"/>
      <c r="T11" s="2"/>
      <c r="U11" s="2"/>
      <c r="V11"/>
    </row>
    <row r="12" spans="1:22" x14ac:dyDescent="0.25">
      <c r="A12" t="s">
        <v>713</v>
      </c>
      <c r="B12" t="s">
        <v>714</v>
      </c>
      <c r="C12" t="s">
        <v>714</v>
      </c>
      <c r="D12" t="s">
        <v>18</v>
      </c>
      <c r="E12" t="s">
        <v>18</v>
      </c>
      <c r="F12" t="s">
        <v>19</v>
      </c>
      <c r="G12" s="1">
        <v>45482.916666666664</v>
      </c>
      <c r="H12" s="1">
        <v>45482.125</v>
      </c>
      <c r="I12" s="1">
        <v>45483.166666666664</v>
      </c>
      <c r="J12" t="s">
        <v>80</v>
      </c>
      <c r="K12" s="1">
        <v>45475.916666666664</v>
      </c>
      <c r="L12" s="1">
        <v>45480.125</v>
      </c>
      <c r="M12" s="1">
        <v>45476.000694444447</v>
      </c>
      <c r="N12" s="1">
        <v>45481.5</v>
      </c>
      <c r="O12" s="1">
        <v>45474.416666666664</v>
      </c>
      <c r="P12" s="1">
        <v>45480.416666666664</v>
      </c>
      <c r="Q12">
        <v>11</v>
      </c>
      <c r="S12" s="2"/>
      <c r="T12" s="2"/>
      <c r="U12" s="2"/>
      <c r="V12"/>
    </row>
    <row r="13" spans="1:22" x14ac:dyDescent="0.25">
      <c r="A13" t="s">
        <v>195</v>
      </c>
      <c r="B13" t="s">
        <v>288</v>
      </c>
      <c r="C13" t="s">
        <v>322</v>
      </c>
      <c r="D13" t="s">
        <v>46</v>
      </c>
      <c r="E13" t="s">
        <v>26</v>
      </c>
      <c r="F13" t="s">
        <v>13</v>
      </c>
      <c r="G13" s="1">
        <v>45484.000694444447</v>
      </c>
      <c r="H13" s="1">
        <v>45484.000694444447</v>
      </c>
      <c r="I13" s="1">
        <v>45485.333333333336</v>
      </c>
      <c r="J13" t="s">
        <v>27</v>
      </c>
      <c r="K13" s="1">
        <v>45477.000694444447</v>
      </c>
      <c r="L13" s="1">
        <v>45482.000694444447</v>
      </c>
      <c r="M13" s="1">
        <v>45478.000694444447</v>
      </c>
      <c r="N13" s="1">
        <v>45482.625</v>
      </c>
      <c r="O13" s="1">
        <v>45475.500694444447</v>
      </c>
      <c r="P13" s="1">
        <v>45481.500694444447</v>
      </c>
      <c r="Q13">
        <v>12</v>
      </c>
      <c r="S13" s="2"/>
      <c r="T13" s="2"/>
      <c r="U13" s="2"/>
      <c r="V13"/>
    </row>
    <row r="14" spans="1:22" ht="18.75" x14ac:dyDescent="0.25">
      <c r="A14" t="s">
        <v>65</v>
      </c>
      <c r="B14" t="s">
        <v>461</v>
      </c>
      <c r="C14" t="s">
        <v>462</v>
      </c>
      <c r="D14" t="s">
        <v>44</v>
      </c>
      <c r="E14" t="s">
        <v>29</v>
      </c>
      <c r="F14" t="s">
        <v>30</v>
      </c>
      <c r="G14" s="1">
        <v>45485.75</v>
      </c>
      <c r="H14" s="1">
        <v>45485.451388888891</v>
      </c>
      <c r="I14" s="1">
        <v>45486.076388888891</v>
      </c>
      <c r="J14" t="s">
        <v>13</v>
      </c>
      <c r="K14" s="1">
        <v>45478.75</v>
      </c>
      <c r="L14" s="1">
        <v>45483.451388888891</v>
      </c>
      <c r="M14" s="1">
        <v>45479.000694444447</v>
      </c>
      <c r="N14" s="1">
        <v>45483.625</v>
      </c>
      <c r="O14" s="1">
        <v>45477.25</v>
      </c>
      <c r="P14" s="1">
        <v>45483.25</v>
      </c>
      <c r="Q14">
        <v>13</v>
      </c>
      <c r="S14" s="2"/>
      <c r="T14" s="3" t="s">
        <v>34</v>
      </c>
      <c r="U14" s="3"/>
      <c r="V14"/>
    </row>
    <row r="15" spans="1:22" x14ac:dyDescent="0.25">
      <c r="A15" t="s">
        <v>191</v>
      </c>
      <c r="B15" t="s">
        <v>691</v>
      </c>
      <c r="C15" t="s">
        <v>692</v>
      </c>
      <c r="D15" t="s">
        <v>42</v>
      </c>
      <c r="E15" t="s">
        <v>24</v>
      </c>
      <c r="F15" t="s">
        <v>14</v>
      </c>
      <c r="G15" s="1">
        <v>45485.5</v>
      </c>
      <c r="H15" s="1">
        <v>45485.895833333336</v>
      </c>
      <c r="I15" s="1">
        <v>45486.4375</v>
      </c>
      <c r="J15" t="s">
        <v>17</v>
      </c>
      <c r="K15" s="1">
        <v>45478.5</v>
      </c>
      <c r="L15" s="1">
        <v>45483.895833333336</v>
      </c>
      <c r="M15" s="1">
        <v>45479.000694444447</v>
      </c>
      <c r="N15" s="1">
        <v>45481.5</v>
      </c>
      <c r="O15" s="1">
        <v>45477</v>
      </c>
      <c r="P15" s="1">
        <v>45483</v>
      </c>
      <c r="Q15">
        <v>14</v>
      </c>
      <c r="S15" s="2"/>
      <c r="T15" s="2"/>
      <c r="U15" s="2"/>
      <c r="V15"/>
    </row>
    <row r="16" spans="1:22" x14ac:dyDescent="0.25">
      <c r="A16" t="s">
        <v>135</v>
      </c>
      <c r="B16" t="s">
        <v>313</v>
      </c>
      <c r="C16" t="s">
        <v>314</v>
      </c>
      <c r="D16" t="s">
        <v>43</v>
      </c>
      <c r="E16" t="s">
        <v>22</v>
      </c>
      <c r="F16" t="s">
        <v>14</v>
      </c>
      <c r="G16" s="1">
        <v>45486.583333333336</v>
      </c>
      <c r="H16" s="1">
        <v>45486.583333333336</v>
      </c>
      <c r="I16" s="1">
        <v>45487.239583333336</v>
      </c>
      <c r="J16" t="s">
        <v>13</v>
      </c>
      <c r="K16" s="1">
        <v>45479.583333333336</v>
      </c>
      <c r="L16" s="1">
        <v>45484.583333333336</v>
      </c>
      <c r="M16" s="1">
        <v>45480.000694444447</v>
      </c>
      <c r="N16" s="1">
        <v>45485.625</v>
      </c>
      <c r="O16" s="1">
        <v>45478.083333333336</v>
      </c>
      <c r="P16" s="1">
        <v>45484.083333333336</v>
      </c>
      <c r="Q16">
        <v>15</v>
      </c>
      <c r="S16" s="2"/>
      <c r="T16" s="2"/>
      <c r="U16" s="2"/>
      <c r="V16"/>
    </row>
    <row r="17" spans="1:22" x14ac:dyDescent="0.25">
      <c r="A17" t="s">
        <v>245</v>
      </c>
      <c r="B17" t="s">
        <v>385</v>
      </c>
      <c r="C17" t="s">
        <v>323</v>
      </c>
      <c r="D17" t="s">
        <v>42</v>
      </c>
      <c r="E17" t="s">
        <v>24</v>
      </c>
      <c r="F17" t="s">
        <v>14</v>
      </c>
      <c r="G17" s="1">
        <v>45487.291666666664</v>
      </c>
      <c r="H17" s="1">
        <v>45487.291666666664</v>
      </c>
      <c r="I17" s="1">
        <v>45487.875</v>
      </c>
      <c r="J17" t="s">
        <v>17</v>
      </c>
      <c r="K17" s="1">
        <v>45480.291666666664</v>
      </c>
      <c r="L17" s="1">
        <v>45485.291666666664</v>
      </c>
      <c r="M17" s="1">
        <v>45481.000694444447</v>
      </c>
      <c r="N17" s="1">
        <v>45486.625</v>
      </c>
      <c r="O17" s="1">
        <v>45478.791666666664</v>
      </c>
      <c r="P17" s="1">
        <v>45484.791666666664</v>
      </c>
      <c r="Q17">
        <v>16</v>
      </c>
      <c r="S17" s="2"/>
      <c r="T17" s="2"/>
      <c r="U17" s="2"/>
      <c r="V17"/>
    </row>
    <row r="18" spans="1:22" x14ac:dyDescent="0.25">
      <c r="A18" t="s">
        <v>145</v>
      </c>
      <c r="B18" t="s">
        <v>318</v>
      </c>
      <c r="C18" t="s">
        <v>302</v>
      </c>
      <c r="D18" t="s">
        <v>45</v>
      </c>
      <c r="E18" t="s">
        <v>15</v>
      </c>
      <c r="F18" t="s">
        <v>14</v>
      </c>
      <c r="G18" s="1">
        <v>45487.000694444447</v>
      </c>
      <c r="H18" s="1">
        <v>45487.917361111111</v>
      </c>
      <c r="I18" s="1">
        <v>45488.625</v>
      </c>
      <c r="J18" t="s">
        <v>16</v>
      </c>
      <c r="K18" s="1">
        <v>45480.000694444447</v>
      </c>
      <c r="L18" s="1">
        <v>45485.917361111111</v>
      </c>
      <c r="M18" s="1">
        <v>45481.000694444447</v>
      </c>
      <c r="N18" s="1">
        <v>45485.5</v>
      </c>
      <c r="O18" s="1">
        <v>45478.500694444447</v>
      </c>
      <c r="P18" s="1">
        <v>45484.500694444447</v>
      </c>
      <c r="Q18">
        <v>17</v>
      </c>
      <c r="S18" s="2"/>
      <c r="T18" s="2"/>
      <c r="U18" s="2"/>
      <c r="V18"/>
    </row>
    <row r="19" spans="1:22" x14ac:dyDescent="0.25">
      <c r="A19" t="s">
        <v>250</v>
      </c>
      <c r="B19" t="s">
        <v>306</v>
      </c>
      <c r="C19" t="s">
        <v>258</v>
      </c>
      <c r="D19" t="s">
        <v>45</v>
      </c>
      <c r="E19" t="s">
        <v>15</v>
      </c>
      <c r="F19" t="s">
        <v>14</v>
      </c>
      <c r="G19" s="1">
        <v>45488</v>
      </c>
      <c r="H19" s="1">
        <v>45487.927777777775</v>
      </c>
      <c r="I19" s="1">
        <v>45488.552083333336</v>
      </c>
      <c r="J19" t="s">
        <v>16</v>
      </c>
      <c r="K19" s="1">
        <v>45481</v>
      </c>
      <c r="L19" s="1">
        <v>45485.927777777775</v>
      </c>
      <c r="M19" s="1">
        <v>45482.000694444447</v>
      </c>
      <c r="N19" s="1">
        <v>45486.625</v>
      </c>
      <c r="O19" s="1">
        <v>45479.5</v>
      </c>
      <c r="P19" s="1">
        <v>45485.5</v>
      </c>
      <c r="Q19">
        <v>18</v>
      </c>
      <c r="S19" s="2"/>
      <c r="T19" s="2"/>
      <c r="U19" s="2"/>
      <c r="V19"/>
    </row>
    <row r="20" spans="1:22" ht="18.75" x14ac:dyDescent="0.25">
      <c r="A20" t="s">
        <v>789</v>
      </c>
      <c r="B20" t="s">
        <v>790</v>
      </c>
      <c r="C20" t="s">
        <v>790</v>
      </c>
      <c r="D20" t="s">
        <v>18</v>
      </c>
      <c r="E20" t="s">
        <v>18</v>
      </c>
      <c r="F20" t="s">
        <v>19</v>
      </c>
      <c r="G20" s="1">
        <v>45489.916666666664</v>
      </c>
      <c r="H20" s="1">
        <v>45489.916666666664</v>
      </c>
      <c r="I20" s="1">
        <v>45490.916666666664</v>
      </c>
      <c r="J20" t="s">
        <v>80</v>
      </c>
      <c r="K20" s="1">
        <v>45482.916666666664</v>
      </c>
      <c r="L20" s="1">
        <v>45487.916666666664</v>
      </c>
      <c r="M20" s="1">
        <v>45483.000694444447</v>
      </c>
      <c r="N20" s="1">
        <v>45488.5</v>
      </c>
      <c r="O20" s="1">
        <v>45481.416666666664</v>
      </c>
      <c r="P20" s="1">
        <v>45487.416666666664</v>
      </c>
      <c r="Q20">
        <v>19</v>
      </c>
      <c r="S20" s="2"/>
      <c r="T20" s="3" t="s">
        <v>35</v>
      </c>
      <c r="U20" s="3"/>
      <c r="V20"/>
    </row>
    <row r="21" spans="1:22" x14ac:dyDescent="0.25">
      <c r="A21" t="s">
        <v>144</v>
      </c>
      <c r="B21" t="s">
        <v>315</v>
      </c>
      <c r="C21" t="s">
        <v>471</v>
      </c>
      <c r="D21" t="s">
        <v>46</v>
      </c>
      <c r="E21" t="s">
        <v>26</v>
      </c>
      <c r="F21" t="s">
        <v>13</v>
      </c>
      <c r="G21" s="1">
        <v>45491.000694444447</v>
      </c>
      <c r="H21" s="1">
        <v>45491.000694444447</v>
      </c>
      <c r="I21" s="1">
        <v>45491.916666666664</v>
      </c>
      <c r="J21" t="s">
        <v>28</v>
      </c>
      <c r="K21" s="1">
        <v>45484.000694444447</v>
      </c>
      <c r="L21" s="1">
        <v>45489.000694444447</v>
      </c>
      <c r="M21" s="1">
        <v>45485.000694444447</v>
      </c>
      <c r="N21" s="1">
        <v>45489.625</v>
      </c>
      <c r="O21" s="1">
        <v>45482.500694444447</v>
      </c>
      <c r="P21" s="1">
        <v>45488.500694444447</v>
      </c>
      <c r="Q21">
        <v>20</v>
      </c>
      <c r="S21" s="2"/>
      <c r="T21" s="2"/>
      <c r="U21" s="2"/>
      <c r="V21"/>
    </row>
    <row r="22" spans="1:22" x14ac:dyDescent="0.25">
      <c r="A22" t="s">
        <v>128</v>
      </c>
      <c r="B22" t="s">
        <v>461</v>
      </c>
      <c r="C22" t="s">
        <v>462</v>
      </c>
      <c r="D22" t="s">
        <v>44</v>
      </c>
      <c r="E22" t="s">
        <v>29</v>
      </c>
      <c r="F22" t="s">
        <v>30</v>
      </c>
      <c r="G22" s="1">
        <v>45492.75</v>
      </c>
      <c r="H22" s="1">
        <v>45492.503472222219</v>
      </c>
      <c r="I22" s="1">
        <v>45493.128472222219</v>
      </c>
      <c r="J22" t="s">
        <v>13</v>
      </c>
      <c r="K22" s="1">
        <v>45485.75</v>
      </c>
      <c r="L22" s="1">
        <v>45490.503472222219</v>
      </c>
      <c r="M22" s="1">
        <v>45486.000694444447</v>
      </c>
      <c r="N22" s="1">
        <v>45491.625</v>
      </c>
      <c r="O22" s="1">
        <v>45484.25</v>
      </c>
      <c r="P22" s="1">
        <v>45490.25</v>
      </c>
      <c r="Q22">
        <v>21</v>
      </c>
      <c r="S22" s="2"/>
      <c r="T22" s="2"/>
      <c r="U22" s="2"/>
      <c r="V22"/>
    </row>
    <row r="23" spans="1:22" x14ac:dyDescent="0.25">
      <c r="A23" t="s">
        <v>136</v>
      </c>
      <c r="B23" t="s">
        <v>313</v>
      </c>
      <c r="C23" t="s">
        <v>314</v>
      </c>
      <c r="D23" t="s">
        <v>43</v>
      </c>
      <c r="E23" t="s">
        <v>22</v>
      </c>
      <c r="F23" t="s">
        <v>14</v>
      </c>
      <c r="G23" s="1">
        <v>45493.583333333336</v>
      </c>
      <c r="H23" s="1">
        <v>45493.583333333336</v>
      </c>
      <c r="I23" s="1">
        <v>45494.25</v>
      </c>
      <c r="J23" t="s">
        <v>13</v>
      </c>
      <c r="K23" s="1">
        <v>45486.583333333336</v>
      </c>
      <c r="L23" s="1">
        <v>45491.583333333336</v>
      </c>
      <c r="M23" s="1">
        <v>45487.000694444447</v>
      </c>
      <c r="N23" s="1">
        <v>45492.625</v>
      </c>
      <c r="O23" s="1">
        <v>45485.083333333336</v>
      </c>
      <c r="P23" s="1">
        <v>45491.083333333336</v>
      </c>
      <c r="Q23">
        <v>22</v>
      </c>
      <c r="S23" s="2"/>
      <c r="T23" s="2"/>
      <c r="U23" s="2"/>
      <c r="V23"/>
    </row>
    <row r="24" spans="1:22" x14ac:dyDescent="0.25">
      <c r="A24" t="s">
        <v>132</v>
      </c>
      <c r="B24" t="s">
        <v>465</v>
      </c>
      <c r="C24" t="s">
        <v>387</v>
      </c>
      <c r="D24" t="s">
        <v>42</v>
      </c>
      <c r="E24" t="s">
        <v>24</v>
      </c>
      <c r="F24" t="s">
        <v>14</v>
      </c>
      <c r="G24" s="1">
        <v>45494.291666666664</v>
      </c>
      <c r="H24" s="1">
        <v>45494.291666666664</v>
      </c>
      <c r="I24" s="1">
        <v>45494.958333333336</v>
      </c>
      <c r="J24" t="s">
        <v>17</v>
      </c>
      <c r="K24" s="1">
        <v>45487.291666666664</v>
      </c>
      <c r="L24" s="1">
        <v>45492.291666666664</v>
      </c>
      <c r="M24" s="1">
        <v>45488.000694444447</v>
      </c>
      <c r="N24" s="1">
        <v>45493.5</v>
      </c>
      <c r="O24" s="1">
        <v>45485.791666666664</v>
      </c>
      <c r="P24" s="1">
        <v>45491.791666666664</v>
      </c>
      <c r="Q24">
        <v>23</v>
      </c>
      <c r="S24" s="2"/>
      <c r="T24" s="2"/>
      <c r="U24" s="2"/>
      <c r="V24"/>
    </row>
    <row r="25" spans="1:22" x14ac:dyDescent="0.25">
      <c r="A25" t="s">
        <v>137</v>
      </c>
      <c r="B25" t="s">
        <v>469</v>
      </c>
      <c r="C25" t="s">
        <v>423</v>
      </c>
      <c r="D25" t="s">
        <v>45</v>
      </c>
      <c r="E25" t="s">
        <v>15</v>
      </c>
      <c r="F25" t="s">
        <v>14</v>
      </c>
      <c r="G25" s="1">
        <v>45495.000694444447</v>
      </c>
      <c r="H25" s="1">
        <v>45495.000694444447</v>
      </c>
      <c r="I25" s="1">
        <v>45495.708333333336</v>
      </c>
      <c r="J25" t="s">
        <v>16</v>
      </c>
      <c r="K25" s="1">
        <v>45488.000694444447</v>
      </c>
      <c r="L25" s="1">
        <v>45493.000694444447</v>
      </c>
      <c r="M25" s="1">
        <v>45489.000694444447</v>
      </c>
      <c r="N25" s="1">
        <v>45493.5</v>
      </c>
      <c r="O25" s="1">
        <v>45486.500694444447</v>
      </c>
      <c r="P25" s="1">
        <v>45492.500694444447</v>
      </c>
      <c r="Q25">
        <v>24</v>
      </c>
      <c r="S25" s="2"/>
      <c r="T25" s="2"/>
      <c r="U25" s="2"/>
      <c r="V25"/>
    </row>
    <row r="26" spans="1:22" x14ac:dyDescent="0.25">
      <c r="A26" t="s">
        <v>64</v>
      </c>
      <c r="B26" t="s">
        <v>583</v>
      </c>
      <c r="C26" t="s">
        <v>584</v>
      </c>
      <c r="D26" t="s">
        <v>52</v>
      </c>
      <c r="E26" t="s">
        <v>37</v>
      </c>
      <c r="G26" s="1">
        <v>45495.333333333336</v>
      </c>
      <c r="H26" s="1">
        <v>45495.034722222219</v>
      </c>
      <c r="I26" s="1">
        <v>45495.409722222219</v>
      </c>
      <c r="J26" t="s">
        <v>23</v>
      </c>
      <c r="K26" s="1">
        <v>45488.333333333336</v>
      </c>
      <c r="L26" s="1">
        <v>45493.034722222219</v>
      </c>
      <c r="M26" s="1">
        <v>45489.000694444447</v>
      </c>
      <c r="N26" s="1">
        <v>45492.034722222219</v>
      </c>
      <c r="O26" s="1">
        <v>45486.833333333336</v>
      </c>
      <c r="P26" s="1">
        <v>45492.833333333336</v>
      </c>
      <c r="Q26">
        <v>25</v>
      </c>
      <c r="S26" s="2"/>
      <c r="T26" s="2"/>
      <c r="U26" s="4"/>
      <c r="V26"/>
    </row>
    <row r="27" spans="1:22" x14ac:dyDescent="0.25">
      <c r="A27" t="s">
        <v>64</v>
      </c>
      <c r="B27" t="s">
        <v>586</v>
      </c>
      <c r="C27" t="s">
        <v>587</v>
      </c>
      <c r="D27" t="s">
        <v>52</v>
      </c>
      <c r="E27" t="s">
        <v>37</v>
      </c>
      <c r="G27" s="1">
        <v>45495.333333333336</v>
      </c>
      <c r="H27" s="1">
        <v>45495.333333333336</v>
      </c>
      <c r="I27" s="1">
        <v>45495.708333333336</v>
      </c>
      <c r="J27" t="s">
        <v>23</v>
      </c>
      <c r="K27" s="1">
        <v>45488.333333333336</v>
      </c>
      <c r="L27" s="1">
        <v>45493.333333333336</v>
      </c>
      <c r="M27" s="1">
        <v>45489.000694444447</v>
      </c>
      <c r="N27" s="1">
        <v>45494.625</v>
      </c>
      <c r="O27" s="1">
        <v>45486.833333333336</v>
      </c>
      <c r="P27" s="1">
        <v>45492.833333333336</v>
      </c>
      <c r="Q27">
        <v>26</v>
      </c>
      <c r="S27" s="2"/>
      <c r="T27" s="2"/>
      <c r="U27" s="2"/>
      <c r="V27"/>
    </row>
    <row r="28" spans="1:22" x14ac:dyDescent="0.25">
      <c r="A28" t="s">
        <v>930</v>
      </c>
      <c r="B28" t="s">
        <v>931</v>
      </c>
      <c r="C28" t="s">
        <v>931</v>
      </c>
      <c r="D28" t="s">
        <v>18</v>
      </c>
      <c r="E28" t="s">
        <v>18</v>
      </c>
      <c r="F28" t="s">
        <v>19</v>
      </c>
      <c r="G28" s="1">
        <v>45496.916666666664</v>
      </c>
      <c r="H28" s="1">
        <v>45496.916666666664</v>
      </c>
      <c r="I28" s="1">
        <v>45497.916666666664</v>
      </c>
      <c r="J28" t="s">
        <v>80</v>
      </c>
      <c r="K28" s="1">
        <v>45489.916666666664</v>
      </c>
      <c r="L28" s="1">
        <v>45494.916666666664</v>
      </c>
      <c r="M28" s="1">
        <v>45490.000694444447</v>
      </c>
      <c r="N28" s="1">
        <v>45495.5</v>
      </c>
      <c r="O28" s="1">
        <v>45488.416666666664</v>
      </c>
      <c r="P28" s="1">
        <v>45494.416666666664</v>
      </c>
      <c r="Q28">
        <v>27</v>
      </c>
      <c r="S28" s="2"/>
      <c r="T28" s="2"/>
      <c r="U28" s="2"/>
      <c r="V28"/>
    </row>
    <row r="29" spans="1:22" x14ac:dyDescent="0.25">
      <c r="A29" t="s">
        <v>146</v>
      </c>
      <c r="B29" t="s">
        <v>342</v>
      </c>
      <c r="C29" t="s">
        <v>472</v>
      </c>
      <c r="D29" t="s">
        <v>46</v>
      </c>
      <c r="E29" t="s">
        <v>26</v>
      </c>
      <c r="F29" t="s">
        <v>13</v>
      </c>
      <c r="G29" s="1">
        <v>45498.000694444447</v>
      </c>
      <c r="H29" s="1">
        <v>45498.000694444447</v>
      </c>
      <c r="I29" s="1">
        <v>45498.875</v>
      </c>
      <c r="J29" t="s">
        <v>27</v>
      </c>
      <c r="K29" s="1">
        <v>45491.000694444447</v>
      </c>
      <c r="L29" s="1">
        <v>45496.000694444447</v>
      </c>
      <c r="M29" s="1">
        <v>45492.000694444447</v>
      </c>
      <c r="N29" s="1">
        <v>45496.625</v>
      </c>
      <c r="O29" s="1">
        <v>45489.500694444447</v>
      </c>
      <c r="P29" s="1">
        <v>45495.500694444447</v>
      </c>
      <c r="Q29">
        <v>28</v>
      </c>
      <c r="V29"/>
    </row>
    <row r="30" spans="1:22" x14ac:dyDescent="0.25">
      <c r="A30" t="s">
        <v>65</v>
      </c>
      <c r="B30" t="s">
        <v>592</v>
      </c>
      <c r="C30" t="s">
        <v>593</v>
      </c>
      <c r="D30" t="s">
        <v>44</v>
      </c>
      <c r="E30" t="s">
        <v>29</v>
      </c>
      <c r="F30" t="s">
        <v>30</v>
      </c>
      <c r="G30" s="1">
        <v>45499.208333333336</v>
      </c>
      <c r="H30" s="1">
        <v>45499.75</v>
      </c>
      <c r="I30" s="1">
        <v>45500.375</v>
      </c>
      <c r="J30" t="s">
        <v>13</v>
      </c>
      <c r="K30" s="1">
        <v>45492.208333333336</v>
      </c>
      <c r="L30" s="1">
        <v>45497.75</v>
      </c>
      <c r="M30" s="1">
        <v>45493.000694444447</v>
      </c>
      <c r="N30" s="1">
        <v>45498.625</v>
      </c>
      <c r="O30" s="1">
        <v>45490.708333333336</v>
      </c>
      <c r="P30" s="1">
        <v>45496.708333333336</v>
      </c>
      <c r="Q30">
        <v>29</v>
      </c>
      <c r="V30"/>
    </row>
    <row r="31" spans="1:22" x14ac:dyDescent="0.25">
      <c r="A31" t="s">
        <v>63</v>
      </c>
      <c r="B31" t="s">
        <v>313</v>
      </c>
      <c r="C31" t="s">
        <v>314</v>
      </c>
      <c r="D31" t="s">
        <v>43</v>
      </c>
      <c r="E31" t="s">
        <v>22</v>
      </c>
      <c r="F31" t="s">
        <v>14</v>
      </c>
      <c r="G31" s="1">
        <v>45500.583333333336</v>
      </c>
      <c r="H31" s="1">
        <v>45500.583333333336</v>
      </c>
      <c r="I31" s="1">
        <v>45501.25</v>
      </c>
      <c r="J31" t="s">
        <v>13</v>
      </c>
      <c r="K31" s="1">
        <v>45493.583333333336</v>
      </c>
      <c r="L31" s="1">
        <v>45498.583333333336</v>
      </c>
      <c r="M31" s="1">
        <v>45494.000694444447</v>
      </c>
      <c r="N31" s="1">
        <v>45499.625</v>
      </c>
      <c r="O31" s="1">
        <v>45492.083333333336</v>
      </c>
      <c r="P31" s="1">
        <v>45498.083333333336</v>
      </c>
      <c r="Q31">
        <v>30</v>
      </c>
      <c r="V31"/>
    </row>
    <row r="32" spans="1:22" x14ac:dyDescent="0.25">
      <c r="A32" t="s">
        <v>253</v>
      </c>
      <c r="B32" t="s">
        <v>283</v>
      </c>
      <c r="C32" t="s">
        <v>388</v>
      </c>
      <c r="D32" t="s">
        <v>42</v>
      </c>
      <c r="E32" t="s">
        <v>24</v>
      </c>
      <c r="F32" t="s">
        <v>14</v>
      </c>
      <c r="G32" s="1">
        <v>45501.291666666664</v>
      </c>
      <c r="H32" s="1">
        <v>45501.291666666664</v>
      </c>
      <c r="I32" s="1">
        <v>45501.958333333336</v>
      </c>
      <c r="J32" t="s">
        <v>17</v>
      </c>
      <c r="K32" s="1">
        <v>45494.291666666664</v>
      </c>
      <c r="L32" s="1">
        <v>45499.291666666664</v>
      </c>
      <c r="M32" s="1">
        <v>45495.000694444447</v>
      </c>
      <c r="N32" s="1">
        <v>45500.625</v>
      </c>
      <c r="O32" s="1">
        <v>45492.791666666664</v>
      </c>
      <c r="P32" s="1">
        <v>45498.791666666664</v>
      </c>
      <c r="Q32">
        <v>31</v>
      </c>
      <c r="V32"/>
    </row>
    <row r="33" spans="1:22" x14ac:dyDescent="0.25">
      <c r="A33" t="s">
        <v>357</v>
      </c>
      <c r="B33" t="s">
        <v>520</v>
      </c>
      <c r="C33" t="s">
        <v>425</v>
      </c>
      <c r="D33" t="s">
        <v>45</v>
      </c>
      <c r="E33" t="s">
        <v>15</v>
      </c>
      <c r="F33" t="s">
        <v>14</v>
      </c>
      <c r="G33" s="1">
        <v>45502.000694444447</v>
      </c>
      <c r="H33" s="1">
        <v>45502.000694444447</v>
      </c>
      <c r="I33" s="1">
        <v>45502.625</v>
      </c>
      <c r="J33" t="s">
        <v>16</v>
      </c>
      <c r="K33" s="1">
        <v>45495.000694444447</v>
      </c>
      <c r="L33" s="1">
        <v>45500.000694444447</v>
      </c>
      <c r="M33" s="1">
        <v>45496.000694444447</v>
      </c>
      <c r="N33" s="1">
        <v>45500.5</v>
      </c>
      <c r="O33" s="1">
        <v>45493.500694444447</v>
      </c>
      <c r="P33" s="1">
        <v>45499.500694444447</v>
      </c>
      <c r="Q33">
        <v>32</v>
      </c>
      <c r="V33"/>
    </row>
    <row r="34" spans="1:22" x14ac:dyDescent="0.25">
      <c r="A34" t="s">
        <v>64</v>
      </c>
      <c r="B34" t="s">
        <v>589</v>
      </c>
      <c r="C34" t="s">
        <v>590</v>
      </c>
      <c r="D34" t="s">
        <v>52</v>
      </c>
      <c r="E34" t="s">
        <v>37</v>
      </c>
      <c r="G34" s="1">
        <v>45502.333333333336</v>
      </c>
      <c r="H34" s="1">
        <v>45502.333333333336</v>
      </c>
      <c r="I34" s="1">
        <v>45502.708333333336</v>
      </c>
      <c r="J34" t="s">
        <v>23</v>
      </c>
      <c r="K34" s="1">
        <v>45495.333333333336</v>
      </c>
      <c r="L34" s="1">
        <v>45500.333333333336</v>
      </c>
      <c r="M34" s="1">
        <v>45496.000694444447</v>
      </c>
      <c r="N34" s="1">
        <v>45501.625</v>
      </c>
      <c r="O34" s="1">
        <v>45493.833333333336</v>
      </c>
      <c r="P34" s="1">
        <v>45499.833333333336</v>
      </c>
      <c r="Q34">
        <v>33</v>
      </c>
      <c r="V34"/>
    </row>
    <row r="35" spans="1:22" x14ac:dyDescent="0.25">
      <c r="A35" t="s">
        <v>950</v>
      </c>
      <c r="B35" t="s">
        <v>951</v>
      </c>
      <c r="C35" t="s">
        <v>951</v>
      </c>
      <c r="D35" t="s">
        <v>18</v>
      </c>
      <c r="E35" t="s">
        <v>18</v>
      </c>
      <c r="F35" t="s">
        <v>19</v>
      </c>
      <c r="G35" s="1">
        <v>45503.916666666664</v>
      </c>
      <c r="H35" s="1">
        <v>45502.666666666664</v>
      </c>
      <c r="I35" s="1">
        <v>45503.666666666664</v>
      </c>
      <c r="J35" t="s">
        <v>80</v>
      </c>
      <c r="K35" s="1">
        <v>45496.916666666664</v>
      </c>
      <c r="L35" s="1">
        <v>45500.666666666664</v>
      </c>
      <c r="M35" s="1">
        <v>45497.000694444447</v>
      </c>
      <c r="N35" s="1">
        <v>45502.625</v>
      </c>
      <c r="O35" s="1">
        <v>45495.416666666664</v>
      </c>
      <c r="P35" s="1">
        <v>45501.416666666664</v>
      </c>
      <c r="Q35">
        <v>34</v>
      </c>
      <c r="V35"/>
    </row>
    <row r="36" spans="1:22" x14ac:dyDescent="0.25">
      <c r="V36"/>
    </row>
    <row r="37" spans="1:22" x14ac:dyDescent="0.25">
      <c r="V37"/>
    </row>
    <row r="38" spans="1:22" x14ac:dyDescent="0.25">
      <c r="V38"/>
    </row>
    <row r="39" spans="1:22" x14ac:dyDescent="0.25">
      <c r="V39"/>
    </row>
    <row r="40" spans="1:22" x14ac:dyDescent="0.25">
      <c r="V40"/>
    </row>
    <row r="41" spans="1:22" x14ac:dyDescent="0.25">
      <c r="V41"/>
    </row>
    <row r="42" spans="1:22" x14ac:dyDescent="0.25">
      <c r="V42"/>
    </row>
    <row r="43" spans="1:22" x14ac:dyDescent="0.25">
      <c r="V43"/>
    </row>
    <row r="44" spans="1:22" x14ac:dyDescent="0.25">
      <c r="V44"/>
    </row>
    <row r="45" spans="1:22" x14ac:dyDescent="0.25">
      <c r="V45"/>
    </row>
    <row r="46" spans="1:22" x14ac:dyDescent="0.25">
      <c r="V46"/>
    </row>
    <row r="47" spans="1:22" x14ac:dyDescent="0.25">
      <c r="V47"/>
    </row>
    <row r="48" spans="1:22" x14ac:dyDescent="0.25">
      <c r="V48"/>
    </row>
    <row r="49" spans="22:22" x14ac:dyDescent="0.25">
      <c r="V49"/>
    </row>
    <row r="50" spans="22:22" x14ac:dyDescent="0.25">
      <c r="V50"/>
    </row>
    <row r="51" spans="22:22" x14ac:dyDescent="0.25">
      <c r="V51"/>
    </row>
    <row r="52" spans="22:22" x14ac:dyDescent="0.25">
      <c r="V52"/>
    </row>
    <row r="53" spans="22:22" x14ac:dyDescent="0.25">
      <c r="V53"/>
    </row>
    <row r="54" spans="22:22" x14ac:dyDescent="0.25">
      <c r="V54"/>
    </row>
    <row r="55" spans="22:22" x14ac:dyDescent="0.25">
      <c r="V55"/>
    </row>
    <row r="56" spans="22:22" x14ac:dyDescent="0.25">
      <c r="V56"/>
    </row>
    <row r="57" spans="22:22" x14ac:dyDescent="0.25">
      <c r="V57"/>
    </row>
    <row r="58" spans="22:22" x14ac:dyDescent="0.25">
      <c r="V58"/>
    </row>
    <row r="59" spans="22:22" x14ac:dyDescent="0.25">
      <c r="V59"/>
    </row>
    <row r="60" spans="22:22" x14ac:dyDescent="0.25">
      <c r="V60"/>
    </row>
    <row r="61" spans="22:22" x14ac:dyDescent="0.25">
      <c r="V61"/>
    </row>
    <row r="62" spans="22:22" x14ac:dyDescent="0.25">
      <c r="V62"/>
    </row>
    <row r="63" spans="22:22" x14ac:dyDescent="0.25">
      <c r="V63"/>
    </row>
    <row r="64" spans="22:22" x14ac:dyDescent="0.25">
      <c r="V64"/>
    </row>
    <row r="65" spans="22:22" x14ac:dyDescent="0.25">
      <c r="V65"/>
    </row>
    <row r="66" spans="22:22" x14ac:dyDescent="0.25">
      <c r="V66"/>
    </row>
    <row r="67" spans="22:22" x14ac:dyDescent="0.25">
      <c r="V67"/>
    </row>
    <row r="68" spans="22:22" x14ac:dyDescent="0.25">
      <c r="V68"/>
    </row>
    <row r="69" spans="22:22" x14ac:dyDescent="0.25">
      <c r="V69"/>
    </row>
    <row r="70" spans="22:22" x14ac:dyDescent="0.25">
      <c r="V70"/>
    </row>
    <row r="71" spans="22:22" x14ac:dyDescent="0.25">
      <c r="V71"/>
    </row>
    <row r="72" spans="22:22" x14ac:dyDescent="0.25">
      <c r="V72"/>
    </row>
    <row r="73" spans="22:22" x14ac:dyDescent="0.25">
      <c r="V73"/>
    </row>
    <row r="74" spans="22:22" x14ac:dyDescent="0.25">
      <c r="V74"/>
    </row>
    <row r="75" spans="22:22" x14ac:dyDescent="0.25">
      <c r="V75"/>
    </row>
    <row r="76" spans="22:22" x14ac:dyDescent="0.25">
      <c r="V76"/>
    </row>
    <row r="77" spans="22:22" x14ac:dyDescent="0.25">
      <c r="V77"/>
    </row>
    <row r="78" spans="22:22" x14ac:dyDescent="0.25">
      <c r="V78"/>
    </row>
    <row r="79" spans="22:22" x14ac:dyDescent="0.25">
      <c r="V79"/>
    </row>
    <row r="80" spans="22:22" x14ac:dyDescent="0.25">
      <c r="V80"/>
    </row>
    <row r="81" spans="22:22" x14ac:dyDescent="0.25">
      <c r="V81"/>
    </row>
    <row r="82" spans="22:22" x14ac:dyDescent="0.25">
      <c r="V82"/>
    </row>
  </sheetData>
  <sheetProtection formatCells="0" formatColumns="0" formatRows="0" sort="0" autoFilter="0"/>
  <dataConsolidate/>
  <phoneticPr fontId="2" type="noConversion"/>
  <conditionalFormatting sqref="V78:XFD82">
    <cfRule type="expression" dxfId="15" priority="6">
      <formula>#REF!="PAD"</formula>
    </cfRule>
  </conditionalFormatting>
  <conditionalFormatting sqref="V77:XFD77 U76:XFD76 S70:XFD75">
    <cfRule type="expression" dxfId="14" priority="8">
      <formula>#REF!="PAD"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DService">
              <controlPr defaultSize="0" autoLine="0" autoPict="0" macro="[0]!ServiceRefreshDS">
                <anchor moveWithCells="1">
                  <from>
                    <xdr:col>18</xdr:col>
                    <xdr:colOff>38100</xdr:colOff>
                    <xdr:row>9</xdr:row>
                    <xdr:rowOff>57150</xdr:rowOff>
                  </from>
                  <to>
                    <xdr:col>20</xdr:col>
                    <xdr:colOff>638175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DVessel">
              <controlPr defaultSize="0" autoLine="0" autoPict="0" macro="[0]!VesselRefreshDS">
                <anchor moveWithCells="1">
                  <from>
                    <xdr:col>18</xdr:col>
                    <xdr:colOff>19050</xdr:colOff>
                    <xdr:row>15</xdr:row>
                    <xdr:rowOff>85725</xdr:rowOff>
                  </from>
                  <to>
                    <xdr:col>20</xdr:col>
                    <xdr:colOff>638175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DVoyage">
              <controlPr defaultSize="0" autoLine="0" autoPict="0" macro="[0]!VoyageRefreshDS">
                <anchor moveWithCells="1">
                  <from>
                    <xdr:col>18</xdr:col>
                    <xdr:colOff>19050</xdr:colOff>
                    <xdr:row>21</xdr:row>
                    <xdr:rowOff>66675</xdr:rowOff>
                  </from>
                  <to>
                    <xdr:col>21</xdr:col>
                    <xdr:colOff>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 macro="[0]!RefreshDS" altText="Only ANL/CMA vessels">
                <anchor moveWithCells="1">
                  <from>
                    <xdr:col>18</xdr:col>
                    <xdr:colOff>257175</xdr:colOff>
                    <xdr:row>23</xdr:row>
                    <xdr:rowOff>123825</xdr:rowOff>
                  </from>
                  <to>
                    <xdr:col>20</xdr:col>
                    <xdr:colOff>323850</xdr:colOff>
                    <xdr:row>26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5" id="{53E4E88A-A6FB-42A3-9BD0-F77FDF93E3D5}">
            <xm:f>$Q1=Calculation!$AA$45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36" id="{00000000-000E-0000-0000-000001000000}">
            <xm:f>$D1=Calculation!$N$8</xm:f>
            <x14:dxf>
              <font>
                <color theme="0"/>
              </font>
              <fill>
                <patternFill>
                  <bgColor rgb="FF00355C"/>
                </patternFill>
              </fill>
            </x14:dxf>
          </x14:cfRule>
          <xm:sqref>A1:P35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5FC87-2391-4126-A210-4E0CD81B125E}">
  <dimension ref="A1:J148"/>
  <sheetViews>
    <sheetView zoomScale="115" zoomScaleNormal="115" workbookViewId="0">
      <selection activeCell="A12" sqref="A12"/>
    </sheetView>
  </sheetViews>
  <sheetFormatPr defaultRowHeight="15" x14ac:dyDescent="0.25"/>
  <cols>
    <col min="1" max="1" width="27.28515625" bestFit="1" customWidth="1"/>
    <col min="2" max="2" width="12.5703125" bestFit="1" customWidth="1"/>
    <col min="3" max="3" width="12" bestFit="1" customWidth="1"/>
    <col min="4" max="4" width="13.5703125" bestFit="1" customWidth="1"/>
    <col min="5" max="8" width="17.5703125" bestFit="1" customWidth="1"/>
    <col min="9" max="9" width="27.85546875" bestFit="1" customWidth="1"/>
    <col min="10" max="10" width="14" bestFit="1" customWidth="1"/>
  </cols>
  <sheetData>
    <row r="1" spans="1:10" x14ac:dyDescent="0.25">
      <c r="A1" t="s">
        <v>0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8</v>
      </c>
    </row>
    <row r="2" spans="1:10" x14ac:dyDescent="0.25">
      <c r="A2" t="s">
        <v>845</v>
      </c>
      <c r="B2" t="s">
        <v>168</v>
      </c>
      <c r="C2" t="s">
        <v>846</v>
      </c>
      <c r="D2" t="s">
        <v>846</v>
      </c>
      <c r="E2" s="1">
        <v>40609.614583333336</v>
      </c>
      <c r="F2" s="1">
        <v>40615.614583333336</v>
      </c>
      <c r="G2" s="1">
        <v>40616.614583333336</v>
      </c>
      <c r="H2" s="1"/>
      <c r="I2" t="s">
        <v>21</v>
      </c>
      <c r="J2" t="s">
        <v>168</v>
      </c>
    </row>
    <row r="3" spans="1:10" x14ac:dyDescent="0.25">
      <c r="A3" t="s">
        <v>301</v>
      </c>
      <c r="B3" t="s">
        <v>168</v>
      </c>
      <c r="C3" t="s">
        <v>756</v>
      </c>
      <c r="D3" t="s">
        <v>756</v>
      </c>
      <c r="E3" s="1">
        <v>45460.316666666666</v>
      </c>
      <c r="F3" s="1">
        <v>45466.316666666666</v>
      </c>
      <c r="G3" s="1">
        <v>45467.316666666666</v>
      </c>
      <c r="H3" s="1">
        <v>45471.458333333336</v>
      </c>
      <c r="I3" t="s">
        <v>170</v>
      </c>
      <c r="J3" t="s">
        <v>170</v>
      </c>
    </row>
    <row r="4" spans="1:10" x14ac:dyDescent="0.25">
      <c r="A4" t="s">
        <v>657</v>
      </c>
      <c r="B4" t="s">
        <v>658</v>
      </c>
      <c r="C4" t="s">
        <v>659</v>
      </c>
      <c r="D4" t="s">
        <v>659</v>
      </c>
      <c r="E4" s="1">
        <v>45462.333333333336</v>
      </c>
      <c r="F4" s="1">
        <v>45468.333333333336</v>
      </c>
      <c r="G4" s="1">
        <v>45469.333333333336</v>
      </c>
      <c r="H4" s="1">
        <v>45469.999305555553</v>
      </c>
      <c r="I4" t="s">
        <v>168</v>
      </c>
      <c r="J4" t="s">
        <v>168</v>
      </c>
    </row>
    <row r="5" spans="1:10" x14ac:dyDescent="0.25">
      <c r="A5" t="s">
        <v>357</v>
      </c>
      <c r="B5" t="s">
        <v>736</v>
      </c>
      <c r="C5" t="s">
        <v>284</v>
      </c>
      <c r="D5" t="s">
        <v>255</v>
      </c>
      <c r="E5" s="1">
        <v>45462</v>
      </c>
      <c r="F5" s="1">
        <v>45468.375</v>
      </c>
      <c r="G5" s="1">
        <v>45469.375</v>
      </c>
      <c r="H5" s="1">
        <v>45470.541666666664</v>
      </c>
      <c r="I5" t="s">
        <v>169</v>
      </c>
      <c r="J5" t="s">
        <v>754</v>
      </c>
    </row>
    <row r="6" spans="1:10" x14ac:dyDescent="0.25">
      <c r="A6" t="s">
        <v>171</v>
      </c>
      <c r="B6" t="s">
        <v>331</v>
      </c>
      <c r="C6" t="s">
        <v>332</v>
      </c>
      <c r="D6" t="s">
        <v>333</v>
      </c>
      <c r="E6" s="1">
        <v>45463</v>
      </c>
      <c r="F6" s="1">
        <v>45469.708333333336</v>
      </c>
      <c r="G6" s="1">
        <v>45470.208333333336</v>
      </c>
      <c r="H6" s="1">
        <v>45471.145833333336</v>
      </c>
      <c r="I6" t="s">
        <v>134</v>
      </c>
      <c r="J6" t="s">
        <v>23</v>
      </c>
    </row>
    <row r="7" spans="1:10" x14ac:dyDescent="0.25">
      <c r="A7" t="s">
        <v>301</v>
      </c>
      <c r="B7" t="s">
        <v>168</v>
      </c>
      <c r="C7" t="s">
        <v>756</v>
      </c>
      <c r="D7" t="s">
        <v>756</v>
      </c>
      <c r="E7" s="1">
        <v>45463.291666666664</v>
      </c>
      <c r="F7" s="1">
        <v>45469.291666666664</v>
      </c>
      <c r="G7" s="1">
        <v>45470.291666666664</v>
      </c>
      <c r="H7" s="1">
        <v>45470.458333333336</v>
      </c>
      <c r="I7" t="s">
        <v>170</v>
      </c>
      <c r="J7" t="s">
        <v>170</v>
      </c>
    </row>
    <row r="8" spans="1:10" x14ac:dyDescent="0.25">
      <c r="A8" t="s">
        <v>345</v>
      </c>
      <c r="B8" t="s">
        <v>346</v>
      </c>
      <c r="C8" t="s">
        <v>347</v>
      </c>
      <c r="D8" t="s">
        <v>347</v>
      </c>
      <c r="E8" s="1">
        <v>45463.333333333336</v>
      </c>
      <c r="F8" s="1">
        <v>45469.333333333336</v>
      </c>
      <c r="G8" s="1">
        <v>45470.333333333336</v>
      </c>
      <c r="H8" s="1">
        <v>45470.836111111108</v>
      </c>
      <c r="I8" t="s">
        <v>28</v>
      </c>
      <c r="J8" t="s">
        <v>16</v>
      </c>
    </row>
    <row r="9" spans="1:10" x14ac:dyDescent="0.25">
      <c r="A9" t="s">
        <v>155</v>
      </c>
      <c r="B9" t="s">
        <v>570</v>
      </c>
      <c r="C9" t="s">
        <v>571</v>
      </c>
      <c r="D9" t="s">
        <v>492</v>
      </c>
      <c r="E9" s="1">
        <v>45469.25</v>
      </c>
      <c r="F9" s="1">
        <v>45469.25</v>
      </c>
      <c r="G9" s="1">
        <v>45470.541666666664</v>
      </c>
      <c r="H9" s="1">
        <v>45471.979166666664</v>
      </c>
      <c r="I9" t="s">
        <v>19</v>
      </c>
      <c r="J9" t="s">
        <v>120</v>
      </c>
    </row>
    <row r="10" spans="1:10" x14ac:dyDescent="0.25">
      <c r="A10" t="s">
        <v>609</v>
      </c>
      <c r="B10" t="s">
        <v>610</v>
      </c>
      <c r="C10" t="s">
        <v>611</v>
      </c>
      <c r="D10" t="s">
        <v>612</v>
      </c>
      <c r="E10" s="1">
        <v>45463.958333333336</v>
      </c>
      <c r="F10" s="1">
        <v>45469.958333333336</v>
      </c>
      <c r="G10" s="1">
        <v>45470.958333333336</v>
      </c>
      <c r="H10" s="1">
        <v>45472.961111111108</v>
      </c>
      <c r="I10" t="s">
        <v>28</v>
      </c>
      <c r="J10" t="s">
        <v>28</v>
      </c>
    </row>
    <row r="11" spans="1:10" x14ac:dyDescent="0.25">
      <c r="A11" t="s">
        <v>128</v>
      </c>
      <c r="B11" t="s">
        <v>361</v>
      </c>
      <c r="C11" t="s">
        <v>362</v>
      </c>
      <c r="D11" t="s">
        <v>363</v>
      </c>
      <c r="E11" s="1">
        <v>45464</v>
      </c>
      <c r="F11" s="1">
        <v>45470.145833333336</v>
      </c>
      <c r="G11" s="1">
        <v>45471.145833333336</v>
      </c>
      <c r="H11" s="1">
        <v>45471.645833333336</v>
      </c>
      <c r="I11" t="s">
        <v>30</v>
      </c>
      <c r="J11" t="s">
        <v>169</v>
      </c>
    </row>
    <row r="12" spans="1:10" x14ac:dyDescent="0.25">
      <c r="A12" t="s">
        <v>154</v>
      </c>
      <c r="B12" t="s">
        <v>291</v>
      </c>
      <c r="C12" t="s">
        <v>292</v>
      </c>
      <c r="D12" t="s">
        <v>293</v>
      </c>
      <c r="E12" s="1">
        <v>45464</v>
      </c>
      <c r="F12" s="1">
        <v>45470.354166666664</v>
      </c>
      <c r="G12" s="1">
        <v>45471.354166666664</v>
      </c>
      <c r="H12" s="1">
        <v>45472.8125</v>
      </c>
      <c r="I12" t="s">
        <v>16</v>
      </c>
      <c r="J12" t="s">
        <v>23</v>
      </c>
    </row>
    <row r="13" spans="1:10" x14ac:dyDescent="0.25">
      <c r="A13" t="s">
        <v>191</v>
      </c>
      <c r="B13" t="s">
        <v>338</v>
      </c>
      <c r="C13" t="s">
        <v>339</v>
      </c>
      <c r="D13" t="s">
        <v>340</v>
      </c>
      <c r="E13" s="1">
        <v>45465</v>
      </c>
      <c r="F13" s="1">
        <v>45471.208333333336</v>
      </c>
      <c r="G13" s="1">
        <v>45472.208333333336</v>
      </c>
      <c r="H13" s="1">
        <v>45473.8125</v>
      </c>
      <c r="I13" t="s">
        <v>180</v>
      </c>
      <c r="J13" t="s">
        <v>23</v>
      </c>
    </row>
    <row r="14" spans="1:10" x14ac:dyDescent="0.25">
      <c r="A14" t="s">
        <v>135</v>
      </c>
      <c r="B14" t="s">
        <v>312</v>
      </c>
      <c r="C14" t="s">
        <v>313</v>
      </c>
      <c r="D14" t="s">
        <v>314</v>
      </c>
      <c r="E14" s="1">
        <v>45466</v>
      </c>
      <c r="F14" s="1">
        <v>45472.708333333336</v>
      </c>
      <c r="G14" s="1">
        <v>45472.335416666669</v>
      </c>
      <c r="H14" s="1">
        <v>45473.708333333336</v>
      </c>
      <c r="I14" t="s">
        <v>19</v>
      </c>
      <c r="J14" t="s">
        <v>178</v>
      </c>
    </row>
    <row r="15" spans="1:10" x14ac:dyDescent="0.25">
      <c r="A15" t="s">
        <v>351</v>
      </c>
      <c r="B15" t="s">
        <v>352</v>
      </c>
      <c r="C15" t="s">
        <v>353</v>
      </c>
      <c r="D15" t="s">
        <v>353</v>
      </c>
      <c r="E15" s="1">
        <v>45465.979166666664</v>
      </c>
      <c r="F15" s="1">
        <v>45471.979166666664</v>
      </c>
      <c r="G15" s="1">
        <v>45472.979166666664</v>
      </c>
      <c r="H15" s="1">
        <v>45473.961111111108</v>
      </c>
      <c r="I15" t="s">
        <v>168</v>
      </c>
      <c r="J15" t="s">
        <v>168</v>
      </c>
    </row>
    <row r="16" spans="1:10" x14ac:dyDescent="0.25">
      <c r="A16" t="s">
        <v>146</v>
      </c>
      <c r="B16" t="s">
        <v>341</v>
      </c>
      <c r="C16" t="s">
        <v>342</v>
      </c>
      <c r="D16" t="s">
        <v>342</v>
      </c>
      <c r="E16" s="1">
        <v>45466</v>
      </c>
      <c r="F16" s="1">
        <v>45472.208333333336</v>
      </c>
      <c r="G16" s="1">
        <v>45473.208333333336</v>
      </c>
      <c r="H16" s="1">
        <v>45474.708333333336</v>
      </c>
      <c r="I16" t="s">
        <v>177</v>
      </c>
      <c r="J16" t="s">
        <v>13</v>
      </c>
    </row>
    <row r="17" spans="1:10" x14ac:dyDescent="0.25">
      <c r="A17" t="s">
        <v>135</v>
      </c>
      <c r="B17" t="s">
        <v>312</v>
      </c>
      <c r="C17" t="s">
        <v>313</v>
      </c>
      <c r="D17" t="s">
        <v>314</v>
      </c>
      <c r="E17" s="1">
        <v>45466</v>
      </c>
      <c r="F17" s="1">
        <v>45472.708333333336</v>
      </c>
      <c r="G17" s="1">
        <v>45473.708333333336</v>
      </c>
      <c r="H17" s="1">
        <v>45475.3125</v>
      </c>
      <c r="I17" t="s">
        <v>19</v>
      </c>
      <c r="J17" t="s">
        <v>178</v>
      </c>
    </row>
    <row r="18" spans="1:10" x14ac:dyDescent="0.25">
      <c r="A18" t="s">
        <v>654</v>
      </c>
      <c r="B18" t="s">
        <v>655</v>
      </c>
      <c r="C18" t="s">
        <v>656</v>
      </c>
      <c r="D18" t="s">
        <v>656</v>
      </c>
      <c r="E18" s="1">
        <v>45467.25</v>
      </c>
      <c r="F18" s="1">
        <v>45473.25</v>
      </c>
      <c r="G18" s="1">
        <v>45474.25</v>
      </c>
      <c r="H18" s="1">
        <v>45474.75</v>
      </c>
      <c r="I18" t="s">
        <v>75</v>
      </c>
      <c r="J18" t="s">
        <v>168</v>
      </c>
    </row>
    <row r="19" spans="1:10" x14ac:dyDescent="0.25">
      <c r="A19" t="s">
        <v>496</v>
      </c>
      <c r="B19" t="s">
        <v>168</v>
      </c>
      <c r="C19" t="s">
        <v>872</v>
      </c>
      <c r="D19" t="s">
        <v>873</v>
      </c>
      <c r="E19" s="1">
        <v>45467.479166666664</v>
      </c>
      <c r="F19" s="1">
        <v>45473.479166666664</v>
      </c>
      <c r="G19" s="1">
        <v>45474.479166666664</v>
      </c>
      <c r="H19" s="1">
        <v>45475.395833333336</v>
      </c>
      <c r="I19" t="s">
        <v>497</v>
      </c>
      <c r="J19" t="s">
        <v>497</v>
      </c>
    </row>
    <row r="20" spans="1:10" x14ac:dyDescent="0.25">
      <c r="A20" t="s">
        <v>126</v>
      </c>
      <c r="B20" t="s">
        <v>364</v>
      </c>
      <c r="C20" t="s">
        <v>365</v>
      </c>
      <c r="D20" t="s">
        <v>366</v>
      </c>
      <c r="E20" s="1">
        <v>45467</v>
      </c>
      <c r="F20" s="1">
        <v>45473.708333333336</v>
      </c>
      <c r="G20" s="1">
        <v>45474.708333333336</v>
      </c>
      <c r="H20" s="1">
        <v>45475.625</v>
      </c>
      <c r="I20" t="s">
        <v>13</v>
      </c>
      <c r="J20" t="s">
        <v>19</v>
      </c>
    </row>
    <row r="21" spans="1:10" x14ac:dyDescent="0.25">
      <c r="A21" t="s">
        <v>64</v>
      </c>
      <c r="B21" t="s">
        <v>367</v>
      </c>
      <c r="C21" t="s">
        <v>368</v>
      </c>
      <c r="D21" t="s">
        <v>369</v>
      </c>
      <c r="E21" s="1">
        <v>45467</v>
      </c>
      <c r="F21" s="1">
        <v>45474.375</v>
      </c>
      <c r="G21" s="1">
        <v>45474.958333333336</v>
      </c>
      <c r="H21" s="1">
        <v>45475.708333333336</v>
      </c>
      <c r="I21" t="s">
        <v>169</v>
      </c>
      <c r="J21" t="s">
        <v>23</v>
      </c>
    </row>
    <row r="22" spans="1:10" x14ac:dyDescent="0.25">
      <c r="A22" t="s">
        <v>348</v>
      </c>
      <c r="B22" t="s">
        <v>626</v>
      </c>
      <c r="C22" t="s">
        <v>276</v>
      </c>
      <c r="D22" t="s">
        <v>276</v>
      </c>
      <c r="E22" s="1">
        <v>45468.208333333336</v>
      </c>
      <c r="F22" s="1">
        <v>45474.208333333336</v>
      </c>
      <c r="G22" s="1">
        <v>45475.208333333336</v>
      </c>
      <c r="H22" s="1">
        <v>45475.6875</v>
      </c>
      <c r="I22" t="s">
        <v>483</v>
      </c>
      <c r="J22" t="s">
        <v>23</v>
      </c>
    </row>
    <row r="23" spans="1:10" x14ac:dyDescent="0.25">
      <c r="A23" t="s">
        <v>875</v>
      </c>
      <c r="B23" t="s">
        <v>168</v>
      </c>
      <c r="C23" t="s">
        <v>316</v>
      </c>
      <c r="D23" t="s">
        <v>316</v>
      </c>
      <c r="E23" s="1">
        <v>45468.294444444444</v>
      </c>
      <c r="F23" s="1">
        <v>45474.294444444444</v>
      </c>
      <c r="G23" s="1">
        <v>45475.294444444444</v>
      </c>
      <c r="H23" s="1">
        <v>45477.356944444444</v>
      </c>
      <c r="I23" t="s">
        <v>134</v>
      </c>
      <c r="J23" t="s">
        <v>168</v>
      </c>
    </row>
    <row r="24" spans="1:10" x14ac:dyDescent="0.25">
      <c r="A24" t="s">
        <v>596</v>
      </c>
      <c r="B24" t="s">
        <v>620</v>
      </c>
      <c r="C24" t="s">
        <v>370</v>
      </c>
      <c r="D24" t="s">
        <v>371</v>
      </c>
      <c r="E24" s="1">
        <v>45468</v>
      </c>
      <c r="F24" s="1">
        <v>45474.625</v>
      </c>
      <c r="G24" s="1">
        <v>45475.625</v>
      </c>
      <c r="H24" s="1">
        <v>45477.145833333336</v>
      </c>
      <c r="I24" t="s">
        <v>19</v>
      </c>
      <c r="J24" t="s">
        <v>172</v>
      </c>
    </row>
    <row r="25" spans="1:10" x14ac:dyDescent="0.25">
      <c r="A25" t="s">
        <v>148</v>
      </c>
      <c r="B25" t="s">
        <v>572</v>
      </c>
      <c r="C25" t="s">
        <v>573</v>
      </c>
      <c r="D25" t="s">
        <v>568</v>
      </c>
      <c r="E25" s="1">
        <v>45468</v>
      </c>
      <c r="F25" s="1">
        <v>45474.708333333336</v>
      </c>
      <c r="G25" s="1">
        <v>45475.708333333336</v>
      </c>
      <c r="H25" s="1">
        <v>45477.145833333336</v>
      </c>
      <c r="I25" t="s">
        <v>19</v>
      </c>
      <c r="J25" t="s">
        <v>120</v>
      </c>
    </row>
    <row r="26" spans="1:10" x14ac:dyDescent="0.25">
      <c r="A26" t="s">
        <v>311</v>
      </c>
      <c r="B26" t="s">
        <v>674</v>
      </c>
      <c r="C26" t="s">
        <v>616</v>
      </c>
      <c r="D26" t="s">
        <v>616</v>
      </c>
      <c r="E26" s="1">
        <v>45469</v>
      </c>
      <c r="F26" s="1">
        <v>45475.416666666664</v>
      </c>
      <c r="G26" s="1">
        <v>45476.416666666664</v>
      </c>
      <c r="H26" s="1">
        <v>45477.645833333336</v>
      </c>
      <c r="I26" t="s">
        <v>13</v>
      </c>
      <c r="J26" t="s">
        <v>172</v>
      </c>
    </row>
    <row r="27" spans="1:10" x14ac:dyDescent="0.25">
      <c r="A27" t="s">
        <v>500</v>
      </c>
      <c r="B27" t="s">
        <v>501</v>
      </c>
      <c r="C27" t="s">
        <v>502</v>
      </c>
      <c r="D27" t="s">
        <v>502</v>
      </c>
      <c r="E27" s="1">
        <v>45470.00277777778</v>
      </c>
      <c r="F27" s="1">
        <v>45476.00277777778</v>
      </c>
      <c r="G27" s="1">
        <v>45477.00277777778</v>
      </c>
      <c r="H27" s="1">
        <v>45477.961111111108</v>
      </c>
      <c r="I27" t="s">
        <v>168</v>
      </c>
      <c r="J27" t="s">
        <v>168</v>
      </c>
    </row>
    <row r="28" spans="1:10" x14ac:dyDescent="0.25">
      <c r="A28" t="s">
        <v>171</v>
      </c>
      <c r="B28" t="s">
        <v>375</v>
      </c>
      <c r="C28" t="s">
        <v>376</v>
      </c>
      <c r="D28" t="s">
        <v>377</v>
      </c>
      <c r="E28" s="1">
        <v>45470</v>
      </c>
      <c r="F28" s="1">
        <v>45476.708333333336</v>
      </c>
      <c r="G28" s="1">
        <v>45477.208333333336</v>
      </c>
      <c r="H28" s="1">
        <v>45477.958333333336</v>
      </c>
      <c r="I28" t="s">
        <v>23</v>
      </c>
      <c r="J28" t="s">
        <v>23</v>
      </c>
    </row>
    <row r="29" spans="1:10" x14ac:dyDescent="0.25">
      <c r="A29" t="s">
        <v>250</v>
      </c>
      <c r="B29" t="s">
        <v>384</v>
      </c>
      <c r="C29" t="s">
        <v>306</v>
      </c>
      <c r="D29" t="s">
        <v>258</v>
      </c>
      <c r="E29" s="1">
        <v>45470</v>
      </c>
      <c r="F29" s="1">
        <v>45476.25</v>
      </c>
      <c r="G29" s="1">
        <v>45477.25</v>
      </c>
      <c r="H29" s="1">
        <v>45479.3125</v>
      </c>
      <c r="I29" t="s">
        <v>180</v>
      </c>
      <c r="J29" t="s">
        <v>23</v>
      </c>
    </row>
    <row r="30" spans="1:10" x14ac:dyDescent="0.25">
      <c r="A30" t="s">
        <v>503</v>
      </c>
      <c r="B30" t="s">
        <v>504</v>
      </c>
      <c r="C30" t="s">
        <v>505</v>
      </c>
      <c r="D30" t="s">
        <v>505</v>
      </c>
      <c r="E30" s="1">
        <v>45471.00277777778</v>
      </c>
      <c r="F30" s="1">
        <v>45477.00277777778</v>
      </c>
      <c r="G30" s="1">
        <v>45478.00277777778</v>
      </c>
      <c r="H30" s="1">
        <v>45479.961111111108</v>
      </c>
      <c r="I30" t="s">
        <v>168</v>
      </c>
      <c r="J30" t="s">
        <v>168</v>
      </c>
    </row>
    <row r="31" spans="1:10" x14ac:dyDescent="0.25">
      <c r="A31" t="s">
        <v>245</v>
      </c>
      <c r="B31" t="s">
        <v>305</v>
      </c>
      <c r="C31" t="s">
        <v>385</v>
      </c>
      <c r="D31" t="s">
        <v>323</v>
      </c>
      <c r="E31" s="1">
        <v>45471</v>
      </c>
      <c r="F31" s="1">
        <v>45477.125</v>
      </c>
      <c r="G31" s="1">
        <v>45478.125</v>
      </c>
      <c r="H31" s="1">
        <v>45480.3125</v>
      </c>
      <c r="I31" t="s">
        <v>294</v>
      </c>
      <c r="J31" t="s">
        <v>23</v>
      </c>
    </row>
    <row r="32" spans="1:10" x14ac:dyDescent="0.25">
      <c r="A32" t="s">
        <v>378</v>
      </c>
      <c r="B32" t="s">
        <v>379</v>
      </c>
      <c r="C32" t="s">
        <v>380</v>
      </c>
      <c r="D32" t="s">
        <v>380</v>
      </c>
      <c r="E32" s="1">
        <v>45471.208333333336</v>
      </c>
      <c r="F32" s="1">
        <v>45477.208333333336</v>
      </c>
      <c r="G32" s="1">
        <v>45478.208333333336</v>
      </c>
      <c r="H32" s="1">
        <v>45478.961111111108</v>
      </c>
      <c r="I32" t="s">
        <v>182</v>
      </c>
      <c r="J32" t="s">
        <v>16</v>
      </c>
    </row>
    <row r="33" spans="1:10" x14ac:dyDescent="0.25">
      <c r="A33" t="s">
        <v>187</v>
      </c>
      <c r="B33" t="s">
        <v>438</v>
      </c>
      <c r="C33" t="s">
        <v>439</v>
      </c>
      <c r="D33" t="s">
        <v>440</v>
      </c>
      <c r="E33" s="1">
        <v>45472</v>
      </c>
      <c r="F33" s="1">
        <v>45478</v>
      </c>
      <c r="G33" s="1">
        <v>45479</v>
      </c>
      <c r="H33" s="1">
        <v>45480</v>
      </c>
      <c r="I33" t="s">
        <v>23</v>
      </c>
      <c r="J33" t="s">
        <v>176</v>
      </c>
    </row>
    <row r="34" spans="1:10" x14ac:dyDescent="0.25">
      <c r="A34" t="s">
        <v>651</v>
      </c>
      <c r="B34" t="s">
        <v>652</v>
      </c>
      <c r="C34" t="s">
        <v>653</v>
      </c>
      <c r="D34" t="s">
        <v>653</v>
      </c>
      <c r="E34" s="1">
        <v>45474.291666666664</v>
      </c>
      <c r="F34" s="1">
        <v>45478.5</v>
      </c>
      <c r="G34" s="1">
        <v>45479.211111111108</v>
      </c>
      <c r="H34" s="1">
        <v>45479.794444444444</v>
      </c>
      <c r="I34" t="s">
        <v>168</v>
      </c>
      <c r="J34" t="s">
        <v>168</v>
      </c>
    </row>
    <row r="35" spans="1:10" x14ac:dyDescent="0.25">
      <c r="A35" t="s">
        <v>437</v>
      </c>
      <c r="B35" t="s">
        <v>706</v>
      </c>
      <c r="C35" t="s">
        <v>707</v>
      </c>
      <c r="D35" t="s">
        <v>707</v>
      </c>
      <c r="E35" s="1">
        <v>45472.229166666664</v>
      </c>
      <c r="F35" s="1">
        <v>45478.229166666664</v>
      </c>
      <c r="G35" s="1">
        <v>45479.229166666664</v>
      </c>
      <c r="H35" s="1">
        <v>45480.979166666664</v>
      </c>
      <c r="I35" t="s">
        <v>168</v>
      </c>
      <c r="J35" t="s">
        <v>168</v>
      </c>
    </row>
    <row r="36" spans="1:10" x14ac:dyDescent="0.25">
      <c r="A36" t="s">
        <v>266</v>
      </c>
      <c r="B36" t="s">
        <v>441</v>
      </c>
      <c r="C36" t="s">
        <v>386</v>
      </c>
      <c r="D36" t="s">
        <v>386</v>
      </c>
      <c r="E36" s="1">
        <v>45472</v>
      </c>
      <c r="F36" s="1">
        <v>45478.708333333336</v>
      </c>
      <c r="G36" s="1">
        <v>45479.708333333336</v>
      </c>
      <c r="H36" s="1">
        <v>45480.958333333336</v>
      </c>
      <c r="I36" t="s">
        <v>177</v>
      </c>
      <c r="J36" t="s">
        <v>13</v>
      </c>
    </row>
    <row r="37" spans="1:10" x14ac:dyDescent="0.25">
      <c r="A37" t="s">
        <v>149</v>
      </c>
      <c r="B37" t="s">
        <v>343</v>
      </c>
      <c r="C37" t="s">
        <v>874</v>
      </c>
      <c r="D37" t="s">
        <v>798</v>
      </c>
      <c r="E37" s="1">
        <v>45473</v>
      </c>
      <c r="F37" s="1">
        <v>45479.211111111108</v>
      </c>
      <c r="G37" s="1">
        <v>45480.211111111108</v>
      </c>
      <c r="H37" s="1">
        <v>45481.794444444444</v>
      </c>
      <c r="I37" t="s">
        <v>294</v>
      </c>
      <c r="J37" t="s">
        <v>23</v>
      </c>
    </row>
    <row r="38" spans="1:10" x14ac:dyDescent="0.25">
      <c r="A38" t="s">
        <v>184</v>
      </c>
      <c r="B38" t="s">
        <v>574</v>
      </c>
      <c r="C38" t="s">
        <v>292</v>
      </c>
      <c r="D38" t="s">
        <v>575</v>
      </c>
      <c r="E38" s="1">
        <v>45473</v>
      </c>
      <c r="F38" s="1">
        <v>45479.875</v>
      </c>
      <c r="G38" s="1">
        <v>45480.875</v>
      </c>
      <c r="H38" s="1">
        <v>45481.8125</v>
      </c>
      <c r="I38" t="s">
        <v>19</v>
      </c>
      <c r="J38" t="s">
        <v>120</v>
      </c>
    </row>
    <row r="39" spans="1:10" x14ac:dyDescent="0.25">
      <c r="A39" t="s">
        <v>354</v>
      </c>
      <c r="B39" t="s">
        <v>355</v>
      </c>
      <c r="C39" t="s">
        <v>316</v>
      </c>
      <c r="D39" t="s">
        <v>316</v>
      </c>
      <c r="E39" s="1">
        <v>45474</v>
      </c>
      <c r="F39" s="1">
        <v>45480</v>
      </c>
      <c r="G39" s="1">
        <v>45481</v>
      </c>
      <c r="H39" s="1">
        <v>45481.5</v>
      </c>
      <c r="I39" t="s">
        <v>168</v>
      </c>
      <c r="J39" t="s">
        <v>168</v>
      </c>
    </row>
    <row r="40" spans="1:10" x14ac:dyDescent="0.25">
      <c r="A40" t="s">
        <v>136</v>
      </c>
      <c r="B40" t="s">
        <v>334</v>
      </c>
      <c r="C40" t="s">
        <v>313</v>
      </c>
      <c r="D40" t="s">
        <v>314</v>
      </c>
      <c r="E40" s="1">
        <v>45474</v>
      </c>
      <c r="F40" s="1">
        <v>45480.1875</v>
      </c>
      <c r="G40" s="1">
        <v>45481.1875</v>
      </c>
      <c r="H40" s="1">
        <v>45482.125</v>
      </c>
      <c r="I40" t="s">
        <v>19</v>
      </c>
      <c r="J40" t="s">
        <v>178</v>
      </c>
    </row>
    <row r="41" spans="1:10" x14ac:dyDescent="0.25">
      <c r="A41" t="s">
        <v>442</v>
      </c>
      <c r="B41" t="s">
        <v>168</v>
      </c>
      <c r="C41" t="s">
        <v>168</v>
      </c>
      <c r="D41" t="s">
        <v>168</v>
      </c>
      <c r="E41" s="1">
        <v>45474.229166666664</v>
      </c>
      <c r="F41" s="1">
        <v>45480.229166666664</v>
      </c>
      <c r="G41" s="1">
        <v>45481.229166666664</v>
      </c>
      <c r="H41" s="1">
        <v>45481.666666666664</v>
      </c>
      <c r="I41" t="s">
        <v>13</v>
      </c>
      <c r="J41" t="s">
        <v>30</v>
      </c>
    </row>
    <row r="42" spans="1:10" x14ac:dyDescent="0.25">
      <c r="A42" t="s">
        <v>725</v>
      </c>
      <c r="B42" t="s">
        <v>726</v>
      </c>
      <c r="C42" t="s">
        <v>727</v>
      </c>
      <c r="D42" t="s">
        <v>727</v>
      </c>
      <c r="E42" s="1">
        <v>45474.836111111108</v>
      </c>
      <c r="F42" s="1">
        <v>45480.836111111108</v>
      </c>
      <c r="G42" s="1">
        <v>45481.836111111108</v>
      </c>
      <c r="H42" s="1">
        <v>45482.711111111108</v>
      </c>
      <c r="I42" t="s">
        <v>168</v>
      </c>
      <c r="J42" t="s">
        <v>168</v>
      </c>
    </row>
    <row r="43" spans="1:10" x14ac:dyDescent="0.25">
      <c r="A43" t="s">
        <v>64</v>
      </c>
      <c r="B43" t="s">
        <v>579</v>
      </c>
      <c r="C43" t="s">
        <v>580</v>
      </c>
      <c r="D43" t="s">
        <v>581</v>
      </c>
      <c r="E43" s="1">
        <v>45474</v>
      </c>
      <c r="F43" s="1">
        <v>45481.375</v>
      </c>
      <c r="G43" s="1">
        <v>45481.958333333336</v>
      </c>
      <c r="H43" s="1">
        <v>45482.645833333336</v>
      </c>
      <c r="I43" t="s">
        <v>169</v>
      </c>
      <c r="J43" t="s">
        <v>23</v>
      </c>
    </row>
    <row r="44" spans="1:10" x14ac:dyDescent="0.25">
      <c r="A44" t="s">
        <v>617</v>
      </c>
      <c r="B44" t="s">
        <v>618</v>
      </c>
      <c r="C44" t="s">
        <v>619</v>
      </c>
      <c r="D44" t="s">
        <v>619</v>
      </c>
      <c r="E44" s="1">
        <v>45475</v>
      </c>
      <c r="F44" s="1">
        <v>45481.416666666664</v>
      </c>
      <c r="G44" s="1">
        <v>45482.875</v>
      </c>
      <c r="H44" s="1">
        <v>45484.3125</v>
      </c>
      <c r="I44" t="s">
        <v>13</v>
      </c>
      <c r="J44" t="s">
        <v>172</v>
      </c>
    </row>
    <row r="45" spans="1:10" x14ac:dyDescent="0.25">
      <c r="A45" t="s">
        <v>143</v>
      </c>
      <c r="B45" t="s">
        <v>447</v>
      </c>
      <c r="C45" t="s">
        <v>359</v>
      </c>
      <c r="D45" t="s">
        <v>360</v>
      </c>
      <c r="E45" s="1">
        <v>45476</v>
      </c>
      <c r="F45" s="1">
        <v>45482.208333333336</v>
      </c>
      <c r="G45" s="1">
        <v>45483.208333333336</v>
      </c>
      <c r="H45" s="1">
        <v>45483.979166666664</v>
      </c>
      <c r="I45" t="s">
        <v>19</v>
      </c>
      <c r="J45" t="s">
        <v>172</v>
      </c>
    </row>
    <row r="46" spans="1:10" x14ac:dyDescent="0.25">
      <c r="A46" t="s">
        <v>171</v>
      </c>
      <c r="B46" t="s">
        <v>457</v>
      </c>
      <c r="C46" t="s">
        <v>458</v>
      </c>
      <c r="D46" t="s">
        <v>459</v>
      </c>
      <c r="E46" s="1">
        <v>45477</v>
      </c>
      <c r="F46" s="1">
        <v>45483.708333333336</v>
      </c>
      <c r="G46" s="1">
        <v>45484.208333333336</v>
      </c>
      <c r="H46" s="1">
        <v>45485.125</v>
      </c>
      <c r="I46" t="s">
        <v>134</v>
      </c>
      <c r="J46" t="s">
        <v>23</v>
      </c>
    </row>
    <row r="47" spans="1:10" x14ac:dyDescent="0.25">
      <c r="A47" t="s">
        <v>733</v>
      </c>
      <c r="B47" t="s">
        <v>734</v>
      </c>
      <c r="C47" t="s">
        <v>735</v>
      </c>
      <c r="D47" t="s">
        <v>735</v>
      </c>
      <c r="E47" s="1">
        <v>45477.231944444444</v>
      </c>
      <c r="F47" s="1">
        <v>45483.231944444444</v>
      </c>
      <c r="G47" s="1">
        <v>45484.231944444444</v>
      </c>
      <c r="H47" s="1">
        <v>45485.231944444444</v>
      </c>
      <c r="I47" t="s">
        <v>174</v>
      </c>
      <c r="J47" t="s">
        <v>169</v>
      </c>
    </row>
    <row r="48" spans="1:10" x14ac:dyDescent="0.25">
      <c r="A48" t="s">
        <v>128</v>
      </c>
      <c r="B48" t="s">
        <v>460</v>
      </c>
      <c r="C48" t="s">
        <v>461</v>
      </c>
      <c r="D48" t="s">
        <v>462</v>
      </c>
      <c r="E48" s="1">
        <v>45477</v>
      </c>
      <c r="F48" s="1">
        <v>45483.729166666664</v>
      </c>
      <c r="G48" s="1">
        <v>45484.729166666664</v>
      </c>
      <c r="H48" s="1">
        <v>45485.145833333336</v>
      </c>
      <c r="I48" t="s">
        <v>30</v>
      </c>
      <c r="J48" t="s">
        <v>169</v>
      </c>
    </row>
    <row r="49" spans="1:10" x14ac:dyDescent="0.25">
      <c r="A49" t="s">
        <v>63</v>
      </c>
      <c r="B49" t="s">
        <v>463</v>
      </c>
      <c r="C49" t="s">
        <v>313</v>
      </c>
      <c r="D49" t="s">
        <v>314</v>
      </c>
      <c r="E49" s="1">
        <v>45477</v>
      </c>
      <c r="F49" s="1">
        <v>45483.875</v>
      </c>
      <c r="G49" s="1">
        <v>45484.875</v>
      </c>
      <c r="H49" s="1">
        <v>45486.125</v>
      </c>
      <c r="I49" t="s">
        <v>19</v>
      </c>
      <c r="J49" t="s">
        <v>178</v>
      </c>
    </row>
    <row r="50" spans="1:10" x14ac:dyDescent="0.25">
      <c r="A50" t="s">
        <v>278</v>
      </c>
      <c r="B50" t="s">
        <v>662</v>
      </c>
      <c r="C50" t="s">
        <v>663</v>
      </c>
      <c r="D50" t="s">
        <v>663</v>
      </c>
      <c r="E50" s="1">
        <v>45478</v>
      </c>
      <c r="F50" s="1">
        <v>45484</v>
      </c>
      <c r="G50" s="1">
        <v>45485</v>
      </c>
      <c r="H50" s="1">
        <v>45485.5</v>
      </c>
      <c r="I50" t="s">
        <v>168</v>
      </c>
      <c r="J50" t="s">
        <v>168</v>
      </c>
    </row>
    <row r="51" spans="1:10" x14ac:dyDescent="0.25">
      <c r="A51" t="s">
        <v>508</v>
      </c>
      <c r="B51" t="s">
        <v>509</v>
      </c>
      <c r="C51" t="s">
        <v>510</v>
      </c>
      <c r="D51" t="s">
        <v>510</v>
      </c>
      <c r="E51" s="1">
        <v>45478</v>
      </c>
      <c r="F51" s="1">
        <v>45484</v>
      </c>
      <c r="G51" s="1">
        <v>45485</v>
      </c>
      <c r="H51" s="1">
        <v>45485.5</v>
      </c>
      <c r="I51" t="s">
        <v>168</v>
      </c>
      <c r="J51" t="s">
        <v>168</v>
      </c>
    </row>
    <row r="52" spans="1:10" x14ac:dyDescent="0.25">
      <c r="A52" t="s">
        <v>660</v>
      </c>
      <c r="B52" t="s">
        <v>661</v>
      </c>
      <c r="C52" t="s">
        <v>510</v>
      </c>
      <c r="D52" t="s">
        <v>510</v>
      </c>
      <c r="E52" s="1">
        <v>45478</v>
      </c>
      <c r="F52" s="1">
        <v>45484</v>
      </c>
      <c r="G52" s="1">
        <v>45485</v>
      </c>
      <c r="H52" s="1">
        <v>45486</v>
      </c>
      <c r="I52" t="s">
        <v>168</v>
      </c>
      <c r="J52" t="s">
        <v>168</v>
      </c>
    </row>
    <row r="53" spans="1:10" x14ac:dyDescent="0.25">
      <c r="A53" t="s">
        <v>356</v>
      </c>
      <c r="B53" t="s">
        <v>506</v>
      </c>
      <c r="C53" t="s">
        <v>507</v>
      </c>
      <c r="D53" t="s">
        <v>507</v>
      </c>
      <c r="E53" s="1">
        <v>45478.041666666664</v>
      </c>
      <c r="F53" s="1">
        <v>45484.041666666664</v>
      </c>
      <c r="G53" s="1">
        <v>45485.041666666664</v>
      </c>
      <c r="H53" s="1">
        <v>45487.125</v>
      </c>
      <c r="I53" t="s">
        <v>168</v>
      </c>
      <c r="J53" t="s">
        <v>168</v>
      </c>
    </row>
    <row r="54" spans="1:10" x14ac:dyDescent="0.25">
      <c r="A54" t="s">
        <v>140</v>
      </c>
      <c r="B54" t="s">
        <v>381</v>
      </c>
      <c r="C54" t="s">
        <v>382</v>
      </c>
      <c r="D54" t="s">
        <v>383</v>
      </c>
      <c r="E54" s="1">
        <v>45478</v>
      </c>
      <c r="F54" s="1">
        <v>45484.208333333336</v>
      </c>
      <c r="G54" s="1">
        <v>45485.208333333336</v>
      </c>
      <c r="H54" s="1">
        <v>45486.458333333336</v>
      </c>
      <c r="I54" t="s">
        <v>16</v>
      </c>
      <c r="J54" t="s">
        <v>23</v>
      </c>
    </row>
    <row r="55" spans="1:10" x14ac:dyDescent="0.25">
      <c r="A55" t="s">
        <v>153</v>
      </c>
      <c r="B55" t="s">
        <v>466</v>
      </c>
      <c r="C55" t="s">
        <v>467</v>
      </c>
      <c r="D55" t="s">
        <v>467</v>
      </c>
      <c r="E55" s="1">
        <v>45479</v>
      </c>
      <c r="F55" s="1">
        <v>45485.208333333336</v>
      </c>
      <c r="G55" s="1">
        <v>45486.208333333336</v>
      </c>
      <c r="H55" s="1">
        <v>45486.958333333336</v>
      </c>
      <c r="I55" t="s">
        <v>177</v>
      </c>
      <c r="J55" t="s">
        <v>13</v>
      </c>
    </row>
    <row r="56" spans="1:10" x14ac:dyDescent="0.25">
      <c r="A56" t="s">
        <v>190</v>
      </c>
      <c r="B56" t="s">
        <v>728</v>
      </c>
      <c r="C56" t="s">
        <v>729</v>
      </c>
      <c r="D56" t="s">
        <v>729</v>
      </c>
      <c r="E56" s="1">
        <v>45479.211111111108</v>
      </c>
      <c r="F56" s="1">
        <v>45485.211111111108</v>
      </c>
      <c r="G56" s="1">
        <v>45486.211111111108</v>
      </c>
      <c r="H56" s="1">
        <v>45487.211111111108</v>
      </c>
      <c r="I56" t="s">
        <v>176</v>
      </c>
      <c r="J56" t="s">
        <v>176</v>
      </c>
    </row>
    <row r="57" spans="1:10" x14ac:dyDescent="0.25">
      <c r="A57" t="s">
        <v>145</v>
      </c>
      <c r="B57" t="s">
        <v>317</v>
      </c>
      <c r="C57" t="s">
        <v>318</v>
      </c>
      <c r="D57" t="s">
        <v>302</v>
      </c>
      <c r="E57" s="1">
        <v>45479</v>
      </c>
      <c r="F57" s="1">
        <v>45485.25</v>
      </c>
      <c r="G57" s="1">
        <v>45486.25</v>
      </c>
      <c r="H57" s="1">
        <v>45487.8125</v>
      </c>
      <c r="I57" t="s">
        <v>294</v>
      </c>
      <c r="J57" t="s">
        <v>23</v>
      </c>
    </row>
    <row r="58" spans="1:10" x14ac:dyDescent="0.25">
      <c r="A58" t="s">
        <v>745</v>
      </c>
      <c r="B58" t="s">
        <v>746</v>
      </c>
      <c r="C58" t="s">
        <v>747</v>
      </c>
      <c r="D58" t="s">
        <v>747</v>
      </c>
      <c r="E58" s="1">
        <v>45479.645833333336</v>
      </c>
      <c r="F58" s="1">
        <v>45485.645833333336</v>
      </c>
      <c r="G58" s="1">
        <v>45486.645833333336</v>
      </c>
      <c r="H58" s="1">
        <v>45489.875</v>
      </c>
      <c r="I58" t="s">
        <v>876</v>
      </c>
      <c r="J58" t="s">
        <v>134</v>
      </c>
    </row>
    <row r="59" spans="1:10" x14ac:dyDescent="0.25">
      <c r="A59" t="s">
        <v>137</v>
      </c>
      <c r="B59" t="s">
        <v>468</v>
      </c>
      <c r="C59" t="s">
        <v>469</v>
      </c>
      <c r="D59" t="s">
        <v>423</v>
      </c>
      <c r="E59" s="1">
        <v>45480</v>
      </c>
      <c r="F59" s="1">
        <v>45486.208333333336</v>
      </c>
      <c r="G59" s="1">
        <v>45487.208333333336</v>
      </c>
      <c r="H59" s="1">
        <v>45488.791666666664</v>
      </c>
      <c r="I59" t="s">
        <v>294</v>
      </c>
      <c r="J59" t="s">
        <v>23</v>
      </c>
    </row>
    <row r="60" spans="1:10" x14ac:dyDescent="0.25">
      <c r="A60" t="s">
        <v>613</v>
      </c>
      <c r="B60" t="s">
        <v>614</v>
      </c>
      <c r="C60" t="s">
        <v>615</v>
      </c>
      <c r="D60" t="s">
        <v>615</v>
      </c>
      <c r="E60" s="1">
        <v>45480</v>
      </c>
      <c r="F60" s="1">
        <v>45485.416666666664</v>
      </c>
      <c r="G60" s="1">
        <v>45487.25</v>
      </c>
      <c r="H60" s="1">
        <v>45488.645833333336</v>
      </c>
      <c r="I60" t="s">
        <v>13</v>
      </c>
      <c r="J60" t="s">
        <v>172</v>
      </c>
    </row>
    <row r="61" spans="1:10" x14ac:dyDescent="0.25">
      <c r="A61" t="s">
        <v>155</v>
      </c>
      <c r="B61" t="s">
        <v>627</v>
      </c>
      <c r="C61" t="s">
        <v>491</v>
      </c>
      <c r="D61" t="s">
        <v>628</v>
      </c>
      <c r="E61" s="1">
        <v>45480</v>
      </c>
      <c r="F61" s="1">
        <v>45486.958333333336</v>
      </c>
      <c r="G61" s="1">
        <v>45487.958333333336</v>
      </c>
      <c r="H61" s="1">
        <v>45488.625</v>
      </c>
      <c r="I61" t="s">
        <v>19</v>
      </c>
      <c r="J61" t="s">
        <v>120</v>
      </c>
    </row>
    <row r="62" spans="1:10" x14ac:dyDescent="0.25">
      <c r="A62" t="s">
        <v>188</v>
      </c>
      <c r="B62" t="s">
        <v>621</v>
      </c>
      <c r="C62" t="s">
        <v>622</v>
      </c>
      <c r="D62" t="s">
        <v>622</v>
      </c>
      <c r="E62" s="1">
        <v>45481.211111111108</v>
      </c>
      <c r="F62" s="1">
        <v>45487.211111111108</v>
      </c>
      <c r="G62" s="1">
        <v>45488.211111111108</v>
      </c>
      <c r="H62" s="1">
        <v>45488.75277777778</v>
      </c>
      <c r="I62" t="s">
        <v>483</v>
      </c>
      <c r="J62" t="s">
        <v>23</v>
      </c>
    </row>
    <row r="63" spans="1:10" x14ac:dyDescent="0.25">
      <c r="A63" t="s">
        <v>127</v>
      </c>
      <c r="B63" t="s">
        <v>443</v>
      </c>
      <c r="C63" t="s">
        <v>444</v>
      </c>
      <c r="D63" t="s">
        <v>445</v>
      </c>
      <c r="E63" s="1">
        <v>45481</v>
      </c>
      <c r="F63" s="1">
        <v>45487.708333333336</v>
      </c>
      <c r="G63" s="1">
        <v>45488.708333333336</v>
      </c>
      <c r="H63" s="1">
        <v>45489.8125</v>
      </c>
      <c r="I63" t="s">
        <v>13</v>
      </c>
      <c r="J63" t="s">
        <v>19</v>
      </c>
    </row>
    <row r="64" spans="1:10" x14ac:dyDescent="0.25">
      <c r="A64" t="s">
        <v>132</v>
      </c>
      <c r="B64" t="s">
        <v>464</v>
      </c>
      <c r="C64" t="s">
        <v>465</v>
      </c>
      <c r="D64" t="s">
        <v>387</v>
      </c>
      <c r="E64" s="1">
        <v>45481</v>
      </c>
      <c r="F64" s="1">
        <v>45487.958333333336</v>
      </c>
      <c r="G64" s="1">
        <v>45488.958333333336</v>
      </c>
      <c r="H64" s="1">
        <v>45490.8125</v>
      </c>
      <c r="I64" t="s">
        <v>180</v>
      </c>
      <c r="J64" t="s">
        <v>23</v>
      </c>
    </row>
    <row r="65" spans="1:10" x14ac:dyDescent="0.25">
      <c r="A65" t="s">
        <v>64</v>
      </c>
      <c r="B65" t="s">
        <v>582</v>
      </c>
      <c r="C65" t="s">
        <v>583</v>
      </c>
      <c r="D65" t="s">
        <v>584</v>
      </c>
      <c r="E65" s="1">
        <v>45481</v>
      </c>
      <c r="F65" s="1">
        <v>45488.375</v>
      </c>
      <c r="G65" s="1">
        <v>45488.958333333336</v>
      </c>
      <c r="H65" s="1">
        <v>45489.625</v>
      </c>
      <c r="I65" t="s">
        <v>169</v>
      </c>
      <c r="J65" t="s">
        <v>23</v>
      </c>
    </row>
    <row r="66" spans="1:10" x14ac:dyDescent="0.25">
      <c r="A66" t="s">
        <v>158</v>
      </c>
      <c r="B66" t="s">
        <v>675</v>
      </c>
      <c r="C66" t="s">
        <v>676</v>
      </c>
      <c r="D66" t="s">
        <v>676</v>
      </c>
      <c r="E66" s="1">
        <v>45482</v>
      </c>
      <c r="F66" s="1">
        <v>45488.416666666664</v>
      </c>
      <c r="G66" s="1">
        <v>45489.958333333336</v>
      </c>
      <c r="H66" s="1">
        <v>45491.8125</v>
      </c>
      <c r="I66" t="s">
        <v>13</v>
      </c>
      <c r="J66" t="s">
        <v>172</v>
      </c>
    </row>
    <row r="67" spans="1:10" x14ac:dyDescent="0.25">
      <c r="A67" t="s">
        <v>479</v>
      </c>
      <c r="B67" t="s">
        <v>480</v>
      </c>
      <c r="C67" t="s">
        <v>481</v>
      </c>
      <c r="D67" t="s">
        <v>482</v>
      </c>
      <c r="E67" s="1">
        <v>45483</v>
      </c>
      <c r="F67" s="1">
        <v>45489.166666666664</v>
      </c>
      <c r="G67" s="1">
        <v>45490.166666666664</v>
      </c>
      <c r="H67" s="1">
        <v>45490.979166666664</v>
      </c>
      <c r="I67" t="s">
        <v>19</v>
      </c>
      <c r="J67" t="s">
        <v>172</v>
      </c>
    </row>
    <row r="68" spans="1:10" x14ac:dyDescent="0.25">
      <c r="A68" t="s">
        <v>515</v>
      </c>
      <c r="B68" t="s">
        <v>516</v>
      </c>
      <c r="C68" t="s">
        <v>380</v>
      </c>
      <c r="D68" t="s">
        <v>380</v>
      </c>
      <c r="E68" s="1">
        <v>45483.208333333336</v>
      </c>
      <c r="F68" s="1">
        <v>45489.208333333336</v>
      </c>
      <c r="G68" s="1">
        <v>45490.208333333336</v>
      </c>
      <c r="H68" s="1">
        <v>45490.961111111108</v>
      </c>
      <c r="I68" t="s">
        <v>182</v>
      </c>
      <c r="J68" t="s">
        <v>16</v>
      </c>
    </row>
    <row r="69" spans="1:10" x14ac:dyDescent="0.25">
      <c r="A69" t="s">
        <v>442</v>
      </c>
      <c r="B69" t="s">
        <v>168</v>
      </c>
      <c r="C69" t="s">
        <v>168</v>
      </c>
      <c r="D69" t="s">
        <v>168</v>
      </c>
      <c r="E69" s="1">
        <v>45483.229166666664</v>
      </c>
      <c r="F69" s="1">
        <v>45489.229166666664</v>
      </c>
      <c r="G69" s="1">
        <v>45490.229166666664</v>
      </c>
      <c r="H69" s="1">
        <v>45490.666666666664</v>
      </c>
      <c r="I69" t="s">
        <v>748</v>
      </c>
      <c r="J69" t="s">
        <v>749</v>
      </c>
    </row>
    <row r="70" spans="1:10" x14ac:dyDescent="0.25">
      <c r="A70" t="s">
        <v>350</v>
      </c>
      <c r="B70" t="s">
        <v>664</v>
      </c>
      <c r="C70" t="s">
        <v>665</v>
      </c>
      <c r="D70" t="s">
        <v>665</v>
      </c>
      <c r="E70" s="1">
        <v>45484</v>
      </c>
      <c r="F70" s="1">
        <v>45490</v>
      </c>
      <c r="G70" s="1">
        <v>45491</v>
      </c>
      <c r="H70" s="1">
        <v>45492</v>
      </c>
      <c r="I70" t="s">
        <v>168</v>
      </c>
      <c r="J70" t="s">
        <v>168</v>
      </c>
    </row>
    <row r="71" spans="1:10" x14ac:dyDescent="0.25">
      <c r="A71" t="s">
        <v>171</v>
      </c>
      <c r="B71" t="s">
        <v>484</v>
      </c>
      <c r="C71" t="s">
        <v>485</v>
      </c>
      <c r="D71" t="s">
        <v>486</v>
      </c>
      <c r="E71" s="1">
        <v>45484</v>
      </c>
      <c r="F71" s="1">
        <v>45490.708333333336</v>
      </c>
      <c r="G71" s="1">
        <v>45491.208333333336</v>
      </c>
      <c r="H71" s="1">
        <v>45492.125</v>
      </c>
      <c r="I71" t="s">
        <v>23</v>
      </c>
      <c r="J71" t="s">
        <v>23</v>
      </c>
    </row>
    <row r="72" spans="1:10" x14ac:dyDescent="0.25">
      <c r="A72" t="s">
        <v>277</v>
      </c>
      <c r="B72" t="s">
        <v>487</v>
      </c>
      <c r="C72" t="s">
        <v>313</v>
      </c>
      <c r="D72" t="s">
        <v>314</v>
      </c>
      <c r="E72" s="1">
        <v>45484</v>
      </c>
      <c r="F72" s="1">
        <v>45490.875</v>
      </c>
      <c r="G72" s="1">
        <v>45491.875</v>
      </c>
      <c r="H72" s="1">
        <v>45493.125</v>
      </c>
      <c r="I72" t="s">
        <v>19</v>
      </c>
      <c r="J72" t="s">
        <v>178</v>
      </c>
    </row>
    <row r="73" spans="1:10" x14ac:dyDescent="0.25">
      <c r="A73" t="s">
        <v>142</v>
      </c>
      <c r="B73" t="s">
        <v>576</v>
      </c>
      <c r="C73" t="s">
        <v>577</v>
      </c>
      <c r="D73" t="s">
        <v>556</v>
      </c>
      <c r="E73" s="1">
        <v>45485</v>
      </c>
      <c r="F73" s="1">
        <v>45491.208333333336</v>
      </c>
      <c r="G73" s="1">
        <v>45492.208333333336</v>
      </c>
      <c r="H73" s="1">
        <v>45493.458333333336</v>
      </c>
      <c r="I73" t="s">
        <v>16</v>
      </c>
      <c r="J73" t="s">
        <v>23</v>
      </c>
    </row>
    <row r="74" spans="1:10" x14ac:dyDescent="0.25">
      <c r="A74" t="s">
        <v>253</v>
      </c>
      <c r="B74" t="s">
        <v>512</v>
      </c>
      <c r="C74" t="s">
        <v>283</v>
      </c>
      <c r="D74" t="s">
        <v>388</v>
      </c>
      <c r="E74" s="1">
        <v>45485</v>
      </c>
      <c r="F74" s="1">
        <v>45491.958333333336</v>
      </c>
      <c r="G74" s="1">
        <v>45492.958333333336</v>
      </c>
      <c r="H74" s="1">
        <v>45494.291666666664</v>
      </c>
      <c r="I74" t="s">
        <v>180</v>
      </c>
      <c r="J74" t="s">
        <v>23</v>
      </c>
    </row>
    <row r="75" spans="1:10" x14ac:dyDescent="0.25">
      <c r="A75" t="s">
        <v>179</v>
      </c>
      <c r="B75" t="s">
        <v>517</v>
      </c>
      <c r="C75" t="s">
        <v>518</v>
      </c>
      <c r="D75" t="s">
        <v>518</v>
      </c>
      <c r="E75" s="1">
        <v>45486</v>
      </c>
      <c r="F75" s="1">
        <v>45492.208333333336</v>
      </c>
      <c r="G75" s="1">
        <v>45493.208333333336</v>
      </c>
      <c r="H75" s="1">
        <v>45493.958333333336</v>
      </c>
      <c r="I75" t="s">
        <v>177</v>
      </c>
      <c r="J75" t="s">
        <v>13</v>
      </c>
    </row>
    <row r="76" spans="1:10" x14ac:dyDescent="0.25">
      <c r="A76" t="s">
        <v>527</v>
      </c>
      <c r="B76" t="s">
        <v>528</v>
      </c>
      <c r="C76" t="s">
        <v>150</v>
      </c>
      <c r="D76" t="s">
        <v>150</v>
      </c>
      <c r="E76" s="1">
        <v>45487</v>
      </c>
      <c r="F76" s="1">
        <v>45493</v>
      </c>
      <c r="G76" s="1">
        <v>45494</v>
      </c>
      <c r="H76" s="1">
        <v>45494.5</v>
      </c>
      <c r="I76" t="s">
        <v>174</v>
      </c>
      <c r="J76" t="s">
        <v>30</v>
      </c>
    </row>
    <row r="77" spans="1:10" x14ac:dyDescent="0.25">
      <c r="A77" t="s">
        <v>148</v>
      </c>
      <c r="B77" t="s">
        <v>715</v>
      </c>
      <c r="C77" t="s">
        <v>295</v>
      </c>
      <c r="D77" t="s">
        <v>716</v>
      </c>
      <c r="E77" s="1">
        <v>45487</v>
      </c>
      <c r="F77" s="1">
        <v>45493.958333333336</v>
      </c>
      <c r="G77" s="1">
        <v>45494.958333333336</v>
      </c>
      <c r="H77" s="1">
        <v>45495.625</v>
      </c>
      <c r="I77" t="s">
        <v>19</v>
      </c>
      <c r="J77" t="s">
        <v>120</v>
      </c>
    </row>
    <row r="78" spans="1:10" x14ac:dyDescent="0.25">
      <c r="A78" t="s">
        <v>308</v>
      </c>
      <c r="B78" t="s">
        <v>521</v>
      </c>
      <c r="C78" t="s">
        <v>522</v>
      </c>
      <c r="D78" t="s">
        <v>523</v>
      </c>
      <c r="E78" s="1">
        <v>45488</v>
      </c>
      <c r="F78" s="1">
        <v>45494</v>
      </c>
      <c r="G78" s="1">
        <v>45495</v>
      </c>
      <c r="H78" s="1">
        <v>45496</v>
      </c>
      <c r="I78" t="s">
        <v>168</v>
      </c>
      <c r="J78" t="s">
        <v>168</v>
      </c>
    </row>
    <row r="79" spans="1:10" x14ac:dyDescent="0.25">
      <c r="A79" t="s">
        <v>251</v>
      </c>
      <c r="B79" t="s">
        <v>524</v>
      </c>
      <c r="C79" t="s">
        <v>525</v>
      </c>
      <c r="D79" t="s">
        <v>526</v>
      </c>
      <c r="E79" s="1">
        <v>45488</v>
      </c>
      <c r="F79" s="1">
        <v>45494</v>
      </c>
      <c r="G79" s="1">
        <v>45495</v>
      </c>
      <c r="H79" s="1">
        <v>45496</v>
      </c>
      <c r="I79" t="s">
        <v>252</v>
      </c>
      <c r="J79" t="s">
        <v>168</v>
      </c>
    </row>
    <row r="80" spans="1:10" x14ac:dyDescent="0.25">
      <c r="A80" t="s">
        <v>126</v>
      </c>
      <c r="B80" t="s">
        <v>603</v>
      </c>
      <c r="C80" t="s">
        <v>604</v>
      </c>
      <c r="D80" t="s">
        <v>605</v>
      </c>
      <c r="E80" s="1">
        <v>45488</v>
      </c>
      <c r="F80" s="1">
        <v>45494.708333333336</v>
      </c>
      <c r="G80" s="1">
        <v>45495.708333333336</v>
      </c>
      <c r="H80" s="1">
        <v>45496.458333333336</v>
      </c>
      <c r="I80" t="s">
        <v>13</v>
      </c>
      <c r="J80" t="s">
        <v>19</v>
      </c>
    </row>
    <row r="81" spans="1:10" x14ac:dyDescent="0.25">
      <c r="A81" t="s">
        <v>64</v>
      </c>
      <c r="B81" t="s">
        <v>585</v>
      </c>
      <c r="C81" t="s">
        <v>586</v>
      </c>
      <c r="D81" t="s">
        <v>587</v>
      </c>
      <c r="E81" s="1">
        <v>45488</v>
      </c>
      <c r="F81" s="1">
        <v>45495.375</v>
      </c>
      <c r="G81" s="1">
        <v>45495.958333333336</v>
      </c>
      <c r="H81" s="1">
        <v>45496.625</v>
      </c>
      <c r="I81" t="s">
        <v>169</v>
      </c>
      <c r="J81" t="s">
        <v>23</v>
      </c>
    </row>
    <row r="82" spans="1:10" x14ac:dyDescent="0.25">
      <c r="A82" t="s">
        <v>499</v>
      </c>
      <c r="B82" t="s">
        <v>529</v>
      </c>
      <c r="C82" t="s">
        <v>302</v>
      </c>
      <c r="D82" t="s">
        <v>302</v>
      </c>
      <c r="E82" s="1">
        <v>45489</v>
      </c>
      <c r="F82" s="1">
        <v>45495</v>
      </c>
      <c r="G82" s="1">
        <v>45496</v>
      </c>
      <c r="H82" s="1">
        <v>45497</v>
      </c>
      <c r="I82" t="s">
        <v>168</v>
      </c>
      <c r="J82" t="s">
        <v>168</v>
      </c>
    </row>
    <row r="83" spans="1:10" x14ac:dyDescent="0.25">
      <c r="A83" t="s">
        <v>175</v>
      </c>
      <c r="B83" t="s">
        <v>513</v>
      </c>
      <c r="C83" t="s">
        <v>514</v>
      </c>
      <c r="D83" t="s">
        <v>514</v>
      </c>
      <c r="E83" s="1">
        <v>45489</v>
      </c>
      <c r="F83" s="1">
        <v>45495</v>
      </c>
      <c r="G83" s="1">
        <v>45496</v>
      </c>
      <c r="H83" s="1">
        <v>45497</v>
      </c>
      <c r="I83" t="s">
        <v>176</v>
      </c>
      <c r="J83" t="s">
        <v>176</v>
      </c>
    </row>
    <row r="84" spans="1:10" x14ac:dyDescent="0.25">
      <c r="A84" t="s">
        <v>171</v>
      </c>
      <c r="B84" t="s">
        <v>530</v>
      </c>
      <c r="C84" t="s">
        <v>531</v>
      </c>
      <c r="D84" t="s">
        <v>532</v>
      </c>
      <c r="E84" s="1">
        <v>45491</v>
      </c>
      <c r="F84" s="1">
        <v>45497.708333333336</v>
      </c>
      <c r="G84" s="1">
        <v>45498.208333333336</v>
      </c>
      <c r="H84" s="1">
        <v>45499.125</v>
      </c>
      <c r="I84" t="s">
        <v>134</v>
      </c>
      <c r="J84" t="s">
        <v>23</v>
      </c>
    </row>
    <row r="85" spans="1:10" x14ac:dyDescent="0.25">
      <c r="A85" t="s">
        <v>442</v>
      </c>
      <c r="B85" t="s">
        <v>168</v>
      </c>
      <c r="C85" t="s">
        <v>168</v>
      </c>
      <c r="D85" t="s">
        <v>168</v>
      </c>
      <c r="E85" s="1">
        <v>45491.3125</v>
      </c>
      <c r="F85" s="1">
        <v>45497.3125</v>
      </c>
      <c r="G85" s="1">
        <v>45498.3125</v>
      </c>
      <c r="H85" s="1">
        <v>45498.75</v>
      </c>
      <c r="I85" t="s">
        <v>120</v>
      </c>
      <c r="J85" t="s">
        <v>30</v>
      </c>
    </row>
    <row r="86" spans="1:10" x14ac:dyDescent="0.25">
      <c r="A86" t="s">
        <v>128</v>
      </c>
      <c r="B86" t="s">
        <v>591</v>
      </c>
      <c r="C86" t="s">
        <v>592</v>
      </c>
      <c r="D86" t="s">
        <v>593</v>
      </c>
      <c r="E86" s="1">
        <v>45491</v>
      </c>
      <c r="F86" s="1">
        <v>45497.729166666664</v>
      </c>
      <c r="G86" s="1">
        <v>45498.729166666664</v>
      </c>
      <c r="H86" s="1">
        <v>45499.145833333336</v>
      </c>
      <c r="I86" t="s">
        <v>30</v>
      </c>
      <c r="J86" t="s">
        <v>169</v>
      </c>
    </row>
    <row r="87" spans="1:10" x14ac:dyDescent="0.25">
      <c r="A87" t="s">
        <v>135</v>
      </c>
      <c r="B87" t="s">
        <v>533</v>
      </c>
      <c r="C87" t="s">
        <v>534</v>
      </c>
      <c r="D87" t="s">
        <v>535</v>
      </c>
      <c r="E87" s="1">
        <v>45491</v>
      </c>
      <c r="F87" s="1">
        <v>45497.875</v>
      </c>
      <c r="G87" s="1">
        <v>45498.875</v>
      </c>
      <c r="H87" s="1">
        <v>45500.145833333336</v>
      </c>
      <c r="I87" t="s">
        <v>19</v>
      </c>
      <c r="J87" t="s">
        <v>178</v>
      </c>
    </row>
    <row r="88" spans="1:10" x14ac:dyDescent="0.25">
      <c r="A88" t="s">
        <v>498</v>
      </c>
      <c r="B88" t="s">
        <v>536</v>
      </c>
      <c r="C88" t="s">
        <v>537</v>
      </c>
      <c r="D88" t="s">
        <v>538</v>
      </c>
      <c r="E88" s="1">
        <v>45492</v>
      </c>
      <c r="F88" s="1">
        <v>45498</v>
      </c>
      <c r="G88" s="1">
        <v>45499</v>
      </c>
      <c r="H88" s="1">
        <v>45499.5</v>
      </c>
      <c r="I88" t="s">
        <v>23</v>
      </c>
      <c r="J88" t="s">
        <v>28</v>
      </c>
    </row>
    <row r="89" spans="1:10" x14ac:dyDescent="0.25">
      <c r="A89" t="s">
        <v>349</v>
      </c>
      <c r="B89" t="s">
        <v>666</v>
      </c>
      <c r="C89" t="s">
        <v>667</v>
      </c>
      <c r="D89" t="s">
        <v>667</v>
      </c>
      <c r="E89" s="1">
        <v>45492</v>
      </c>
      <c r="F89" s="1">
        <v>45498</v>
      </c>
      <c r="G89" s="1">
        <v>45499</v>
      </c>
      <c r="H89" s="1">
        <v>45499.5</v>
      </c>
      <c r="I89" t="s">
        <v>168</v>
      </c>
      <c r="J89" t="s">
        <v>168</v>
      </c>
    </row>
    <row r="90" spans="1:10" x14ac:dyDescent="0.25">
      <c r="A90" t="s">
        <v>130</v>
      </c>
      <c r="B90" t="s">
        <v>578</v>
      </c>
      <c r="C90" t="s">
        <v>543</v>
      </c>
      <c r="D90" t="s">
        <v>553</v>
      </c>
      <c r="E90" s="1">
        <v>45492</v>
      </c>
      <c r="F90" s="1">
        <v>45498.208333333336</v>
      </c>
      <c r="G90" s="1">
        <v>45499.208333333336</v>
      </c>
      <c r="H90" s="1">
        <v>45500.458333333336</v>
      </c>
      <c r="I90" t="s">
        <v>16</v>
      </c>
      <c r="J90" t="s">
        <v>23</v>
      </c>
    </row>
    <row r="91" spans="1:10" x14ac:dyDescent="0.25">
      <c r="A91" t="s">
        <v>326</v>
      </c>
      <c r="B91" t="s">
        <v>623</v>
      </c>
      <c r="C91" t="s">
        <v>385</v>
      </c>
      <c r="D91" t="s">
        <v>389</v>
      </c>
      <c r="E91" s="1">
        <v>45492.958333333336</v>
      </c>
      <c r="F91" s="1">
        <v>45498.958333333336</v>
      </c>
      <c r="G91" s="1">
        <v>45499.958333333336</v>
      </c>
      <c r="H91" s="1">
        <v>45501.291666666664</v>
      </c>
      <c r="I91" t="s">
        <v>180</v>
      </c>
      <c r="J91" t="s">
        <v>23</v>
      </c>
    </row>
    <row r="92" spans="1:10" x14ac:dyDescent="0.25">
      <c r="A92" t="s">
        <v>710</v>
      </c>
      <c r="B92" t="s">
        <v>711</v>
      </c>
      <c r="C92" t="s">
        <v>511</v>
      </c>
      <c r="D92" t="s">
        <v>511</v>
      </c>
      <c r="E92" s="1">
        <v>45493</v>
      </c>
      <c r="F92" s="1">
        <v>45499</v>
      </c>
      <c r="G92" s="1">
        <v>45500</v>
      </c>
      <c r="H92" s="1">
        <v>45503</v>
      </c>
      <c r="I92" t="s">
        <v>168</v>
      </c>
      <c r="J92" t="s">
        <v>168</v>
      </c>
    </row>
    <row r="93" spans="1:10" x14ac:dyDescent="0.25">
      <c r="A93" t="s">
        <v>187</v>
      </c>
      <c r="B93" t="s">
        <v>539</v>
      </c>
      <c r="C93" t="s">
        <v>540</v>
      </c>
      <c r="D93" t="s">
        <v>541</v>
      </c>
      <c r="E93" s="1">
        <v>45493</v>
      </c>
      <c r="F93" s="1">
        <v>45499</v>
      </c>
      <c r="G93" s="1">
        <v>45500</v>
      </c>
      <c r="H93" s="1">
        <v>45501</v>
      </c>
      <c r="I93" t="s">
        <v>23</v>
      </c>
      <c r="J93" t="s">
        <v>176</v>
      </c>
    </row>
    <row r="94" spans="1:10" x14ac:dyDescent="0.25">
      <c r="A94" t="s">
        <v>668</v>
      </c>
      <c r="B94" t="s">
        <v>669</v>
      </c>
      <c r="C94" t="s">
        <v>670</v>
      </c>
      <c r="D94" t="s">
        <v>670</v>
      </c>
      <c r="E94" s="1">
        <v>45493</v>
      </c>
      <c r="F94" s="1">
        <v>45499</v>
      </c>
      <c r="G94" s="1">
        <v>45500</v>
      </c>
      <c r="H94" s="1">
        <v>45500.5</v>
      </c>
      <c r="I94" t="s">
        <v>168</v>
      </c>
      <c r="J94" t="s">
        <v>168</v>
      </c>
    </row>
    <row r="95" spans="1:10" x14ac:dyDescent="0.25">
      <c r="A95" t="s">
        <v>183</v>
      </c>
      <c r="B95" t="s">
        <v>542</v>
      </c>
      <c r="C95" t="s">
        <v>543</v>
      </c>
      <c r="D95" t="s">
        <v>543</v>
      </c>
      <c r="E95" s="1">
        <v>45493.208333333336</v>
      </c>
      <c r="F95" s="1">
        <v>45499.208333333336</v>
      </c>
      <c r="G95" s="1">
        <v>45500.208333333336</v>
      </c>
      <c r="H95" s="1">
        <v>45500.958333333336</v>
      </c>
      <c r="I95" t="s">
        <v>177</v>
      </c>
      <c r="J95" t="s">
        <v>13</v>
      </c>
    </row>
    <row r="96" spans="1:10" x14ac:dyDescent="0.25">
      <c r="A96" t="s">
        <v>357</v>
      </c>
      <c r="B96" t="s">
        <v>519</v>
      </c>
      <c r="C96" t="s">
        <v>520</v>
      </c>
      <c r="D96" t="s">
        <v>425</v>
      </c>
      <c r="E96" s="1">
        <v>45494.208333333336</v>
      </c>
      <c r="F96" s="1">
        <v>45500.208333333336</v>
      </c>
      <c r="G96" s="1">
        <v>45501.208333333336</v>
      </c>
      <c r="H96" s="1">
        <v>45502.791666666664</v>
      </c>
      <c r="I96" t="s">
        <v>167</v>
      </c>
      <c r="J96" t="s">
        <v>23</v>
      </c>
    </row>
    <row r="97" spans="1:10" x14ac:dyDescent="0.25">
      <c r="A97" t="s">
        <v>184</v>
      </c>
      <c r="B97" t="s">
        <v>828</v>
      </c>
      <c r="C97" t="s">
        <v>689</v>
      </c>
      <c r="D97" t="s">
        <v>829</v>
      </c>
      <c r="E97" s="1">
        <v>45494.958333333336</v>
      </c>
      <c r="F97" s="1">
        <v>45500.958333333336</v>
      </c>
      <c r="G97" s="1">
        <v>45501.958333333336</v>
      </c>
      <c r="H97" s="1">
        <v>45502.625</v>
      </c>
      <c r="I97" t="s">
        <v>19</v>
      </c>
      <c r="J97" t="s">
        <v>120</v>
      </c>
    </row>
    <row r="98" spans="1:10" x14ac:dyDescent="0.25">
      <c r="A98" t="s">
        <v>437</v>
      </c>
      <c r="B98" t="s">
        <v>730</v>
      </c>
      <c r="C98" t="s">
        <v>731</v>
      </c>
      <c r="D98" t="s">
        <v>731</v>
      </c>
      <c r="E98" s="1">
        <v>45495.211111111108</v>
      </c>
      <c r="F98" s="1">
        <v>45501.211111111108</v>
      </c>
      <c r="G98" s="1">
        <v>45502.211111111108</v>
      </c>
      <c r="H98" s="1">
        <v>45503.211111111108</v>
      </c>
      <c r="I98" t="s">
        <v>176</v>
      </c>
      <c r="J98" t="s">
        <v>176</v>
      </c>
    </row>
    <row r="99" spans="1:10" x14ac:dyDescent="0.25">
      <c r="A99" t="s">
        <v>127</v>
      </c>
      <c r="B99" t="s">
        <v>606</v>
      </c>
      <c r="C99" t="s">
        <v>607</v>
      </c>
      <c r="D99" t="s">
        <v>608</v>
      </c>
      <c r="E99" s="1">
        <v>45495.708333333336</v>
      </c>
      <c r="F99" s="1">
        <v>45501.708333333336</v>
      </c>
      <c r="G99" s="1">
        <v>45502.708333333336</v>
      </c>
      <c r="H99" s="1">
        <v>45503.458333333336</v>
      </c>
      <c r="I99" t="s">
        <v>13</v>
      </c>
      <c r="J99" t="s">
        <v>19</v>
      </c>
    </row>
    <row r="100" spans="1:10" x14ac:dyDescent="0.25">
      <c r="A100" t="s">
        <v>64</v>
      </c>
      <c r="B100" t="s">
        <v>588</v>
      </c>
      <c r="C100" t="s">
        <v>589</v>
      </c>
      <c r="D100" t="s">
        <v>590</v>
      </c>
      <c r="E100" s="1">
        <v>45495.958333333336</v>
      </c>
      <c r="F100" s="1">
        <v>45501.958333333336</v>
      </c>
      <c r="G100" s="1">
        <v>45502.958333333336</v>
      </c>
      <c r="H100" s="1">
        <v>45503.625</v>
      </c>
      <c r="I100" t="s">
        <v>169</v>
      </c>
      <c r="J100" t="s">
        <v>23</v>
      </c>
    </row>
    <row r="101" spans="1:10" x14ac:dyDescent="0.25">
      <c r="A101" t="s">
        <v>193</v>
      </c>
      <c r="B101" t="s">
        <v>677</v>
      </c>
      <c r="C101" t="s">
        <v>678</v>
      </c>
      <c r="D101" t="s">
        <v>678</v>
      </c>
      <c r="E101" s="1">
        <v>45496.958333333336</v>
      </c>
      <c r="F101" s="1">
        <v>45502.958333333336</v>
      </c>
      <c r="G101" s="1">
        <v>45503.958333333336</v>
      </c>
      <c r="H101" s="1">
        <v>45504.125</v>
      </c>
      <c r="I101" t="s">
        <v>13</v>
      </c>
      <c r="J101" t="s">
        <v>172</v>
      </c>
    </row>
    <row r="102" spans="1:10" x14ac:dyDescent="0.25">
      <c r="A102" t="s">
        <v>596</v>
      </c>
      <c r="B102" t="s">
        <v>597</v>
      </c>
      <c r="C102" t="s">
        <v>598</v>
      </c>
      <c r="D102" t="s">
        <v>602</v>
      </c>
      <c r="E102" s="1">
        <v>45497.208333333336</v>
      </c>
      <c r="F102" s="1">
        <v>45503.208333333336</v>
      </c>
      <c r="G102" s="1">
        <v>45504.208333333336</v>
      </c>
      <c r="H102" s="1">
        <v>45504.958333333336</v>
      </c>
      <c r="I102" t="s">
        <v>19</v>
      </c>
      <c r="J102" t="s">
        <v>172</v>
      </c>
    </row>
    <row r="103" spans="1:10" x14ac:dyDescent="0.25">
      <c r="A103" t="s">
        <v>171</v>
      </c>
      <c r="B103" t="s">
        <v>629</v>
      </c>
      <c r="C103" t="s">
        <v>630</v>
      </c>
      <c r="D103" t="s">
        <v>631</v>
      </c>
      <c r="E103" s="1">
        <v>45498.208333333336</v>
      </c>
      <c r="F103" s="1">
        <v>45504.208333333336</v>
      </c>
      <c r="G103" s="1">
        <v>45505.208333333336</v>
      </c>
      <c r="H103" s="1">
        <v>45506.125</v>
      </c>
      <c r="I103" t="s">
        <v>23</v>
      </c>
      <c r="J103" t="s">
        <v>23</v>
      </c>
    </row>
    <row r="104" spans="1:10" x14ac:dyDescent="0.25">
      <c r="A104" t="s">
        <v>599</v>
      </c>
      <c r="B104" t="s">
        <v>600</v>
      </c>
      <c r="C104" t="s">
        <v>601</v>
      </c>
      <c r="D104" t="s">
        <v>601</v>
      </c>
      <c r="E104" s="1">
        <v>45498.211111111108</v>
      </c>
      <c r="F104" s="1">
        <v>45504.211111111108</v>
      </c>
      <c r="G104" s="1">
        <v>45505.211111111108</v>
      </c>
      <c r="H104" s="1">
        <v>45505.711111111108</v>
      </c>
      <c r="I104" t="s">
        <v>28</v>
      </c>
      <c r="J104" t="s">
        <v>30</v>
      </c>
    </row>
    <row r="105" spans="1:10" x14ac:dyDescent="0.25">
      <c r="A105" t="s">
        <v>136</v>
      </c>
      <c r="B105" t="s">
        <v>635</v>
      </c>
      <c r="C105" t="s">
        <v>534</v>
      </c>
      <c r="D105" t="s">
        <v>535</v>
      </c>
      <c r="E105" s="1">
        <v>45498.875</v>
      </c>
      <c r="F105" s="1">
        <v>45504.875</v>
      </c>
      <c r="G105" s="1">
        <v>45505.875</v>
      </c>
      <c r="H105" s="1">
        <v>45507.125</v>
      </c>
      <c r="I105" t="s">
        <v>19</v>
      </c>
      <c r="J105" t="s">
        <v>178</v>
      </c>
    </row>
    <row r="106" spans="1:10" x14ac:dyDescent="0.25">
      <c r="A106" t="s">
        <v>147</v>
      </c>
      <c r="B106" t="s">
        <v>636</v>
      </c>
      <c r="C106" t="s">
        <v>637</v>
      </c>
      <c r="D106" t="s">
        <v>559</v>
      </c>
      <c r="E106" s="1">
        <v>45499.208333333336</v>
      </c>
      <c r="F106" s="1">
        <v>45505.208333333336</v>
      </c>
      <c r="G106" s="1">
        <v>45506.208333333336</v>
      </c>
      <c r="H106" s="1">
        <v>45507.458333333336</v>
      </c>
      <c r="I106" t="s">
        <v>16</v>
      </c>
      <c r="J106" t="s">
        <v>23</v>
      </c>
    </row>
    <row r="107" spans="1:10" x14ac:dyDescent="0.25">
      <c r="A107" t="s">
        <v>152</v>
      </c>
      <c r="B107" t="s">
        <v>645</v>
      </c>
      <c r="C107" t="s">
        <v>646</v>
      </c>
      <c r="D107" t="s">
        <v>392</v>
      </c>
      <c r="E107" s="1">
        <v>45499.958333333336</v>
      </c>
      <c r="F107" s="1">
        <v>45505.958333333336</v>
      </c>
      <c r="G107" s="1">
        <v>45506.958333333336</v>
      </c>
      <c r="H107" s="1">
        <v>45509.291666666664</v>
      </c>
      <c r="I107" t="s">
        <v>180</v>
      </c>
      <c r="J107" t="s">
        <v>23</v>
      </c>
    </row>
    <row r="108" spans="1:10" x14ac:dyDescent="0.25">
      <c r="A108" t="s">
        <v>194</v>
      </c>
      <c r="B108" t="s">
        <v>647</v>
      </c>
      <c r="C108" t="s">
        <v>637</v>
      </c>
      <c r="D108" t="s">
        <v>637</v>
      </c>
      <c r="E108" s="1">
        <v>45500.208333333336</v>
      </c>
      <c r="F108" s="1">
        <v>45506.208333333336</v>
      </c>
      <c r="G108" s="1">
        <v>45507.208333333336</v>
      </c>
      <c r="H108" s="1">
        <v>45507.958333333336</v>
      </c>
      <c r="I108" t="s">
        <v>177</v>
      </c>
      <c r="J108" t="s">
        <v>13</v>
      </c>
    </row>
    <row r="109" spans="1:10" x14ac:dyDescent="0.25">
      <c r="A109" t="s">
        <v>442</v>
      </c>
      <c r="B109" t="s">
        <v>168</v>
      </c>
      <c r="C109" t="s">
        <v>168</v>
      </c>
      <c r="D109" t="s">
        <v>168</v>
      </c>
      <c r="E109" s="1">
        <v>45500.229166666664</v>
      </c>
      <c r="F109" s="1">
        <v>45506.229166666664</v>
      </c>
      <c r="G109" s="1">
        <v>45507.229166666664</v>
      </c>
      <c r="H109" s="1">
        <v>45507.666666666664</v>
      </c>
      <c r="I109" t="s">
        <v>748</v>
      </c>
      <c r="J109" t="s">
        <v>176</v>
      </c>
    </row>
    <row r="110" spans="1:10" x14ac:dyDescent="0.25">
      <c r="A110" t="s">
        <v>133</v>
      </c>
      <c r="B110" t="s">
        <v>565</v>
      </c>
      <c r="C110" t="s">
        <v>566</v>
      </c>
      <c r="D110" t="s">
        <v>567</v>
      </c>
      <c r="E110" s="1">
        <v>45501.208333333336</v>
      </c>
      <c r="F110" s="1">
        <v>45507.208333333336</v>
      </c>
      <c r="G110" s="1">
        <v>45508.208333333336</v>
      </c>
      <c r="H110" s="1">
        <v>45509.791666666664</v>
      </c>
      <c r="I110" t="s">
        <v>294</v>
      </c>
      <c r="J110" t="s">
        <v>23</v>
      </c>
    </row>
    <row r="111" spans="1:10" x14ac:dyDescent="0.25">
      <c r="A111" t="s">
        <v>277</v>
      </c>
      <c r="B111" t="s">
        <v>650</v>
      </c>
      <c r="C111" t="s">
        <v>534</v>
      </c>
      <c r="D111" t="s">
        <v>535</v>
      </c>
      <c r="E111" s="1">
        <v>45502.708333333336</v>
      </c>
      <c r="F111" s="1">
        <v>45508.708333333336</v>
      </c>
      <c r="G111" s="1">
        <v>45509.708333333336</v>
      </c>
      <c r="H111" s="1">
        <v>45510.5</v>
      </c>
      <c r="I111" t="s">
        <v>19</v>
      </c>
      <c r="J111" t="s">
        <v>178</v>
      </c>
    </row>
    <row r="112" spans="1:10" x14ac:dyDescent="0.25">
      <c r="A112" t="s">
        <v>126</v>
      </c>
      <c r="B112" t="s">
        <v>682</v>
      </c>
      <c r="C112" t="s">
        <v>683</v>
      </c>
      <c r="D112" t="s">
        <v>684</v>
      </c>
      <c r="E112" s="1">
        <v>45502.708333333336</v>
      </c>
      <c r="F112" s="1">
        <v>45508.708333333336</v>
      </c>
      <c r="G112" s="1">
        <v>45509.708333333336</v>
      </c>
      <c r="H112" s="1">
        <v>45510.208333333336</v>
      </c>
      <c r="I112" t="s">
        <v>13</v>
      </c>
      <c r="J112" t="s">
        <v>19</v>
      </c>
    </row>
    <row r="113" spans="1:10" x14ac:dyDescent="0.25">
      <c r="A113" t="s">
        <v>64</v>
      </c>
      <c r="B113" t="s">
        <v>679</v>
      </c>
      <c r="C113" t="s">
        <v>680</v>
      </c>
      <c r="D113" t="s">
        <v>681</v>
      </c>
      <c r="E113" s="1">
        <v>45502.958333333336</v>
      </c>
      <c r="F113" s="1">
        <v>45508.958333333336</v>
      </c>
      <c r="G113" s="1">
        <v>45509.958333333336</v>
      </c>
      <c r="H113" s="1">
        <v>45510.625</v>
      </c>
      <c r="I113" t="s">
        <v>169</v>
      </c>
      <c r="J113" t="s">
        <v>23</v>
      </c>
    </row>
    <row r="114" spans="1:10" x14ac:dyDescent="0.25">
      <c r="A114" t="s">
        <v>888</v>
      </c>
      <c r="B114" t="s">
        <v>889</v>
      </c>
      <c r="C114" t="s">
        <v>686</v>
      </c>
      <c r="D114" t="s">
        <v>687</v>
      </c>
      <c r="E114" s="1">
        <v>45504</v>
      </c>
      <c r="F114" s="1">
        <v>45510</v>
      </c>
      <c r="G114" s="1">
        <v>45511</v>
      </c>
      <c r="H114" s="1">
        <v>45511.5</v>
      </c>
      <c r="I114" t="s">
        <v>19</v>
      </c>
      <c r="J114" t="s">
        <v>172</v>
      </c>
    </row>
    <row r="115" spans="1:10" x14ac:dyDescent="0.25">
      <c r="A115" t="s">
        <v>143</v>
      </c>
      <c r="B115" t="s">
        <v>685</v>
      </c>
      <c r="C115" t="s">
        <v>686</v>
      </c>
      <c r="D115" t="s">
        <v>687</v>
      </c>
      <c r="E115" s="1">
        <v>45504.208333333336</v>
      </c>
      <c r="F115" s="1">
        <v>45510.208333333336</v>
      </c>
      <c r="G115" s="1">
        <v>45511.208333333336</v>
      </c>
      <c r="H115" s="1">
        <v>45511.958333333336</v>
      </c>
      <c r="I115" t="s">
        <v>19</v>
      </c>
      <c r="J115" t="s">
        <v>172</v>
      </c>
    </row>
    <row r="116" spans="1:10" x14ac:dyDescent="0.25">
      <c r="A116" t="s">
        <v>356</v>
      </c>
      <c r="B116" t="s">
        <v>693</v>
      </c>
      <c r="C116" t="s">
        <v>185</v>
      </c>
      <c r="D116" t="s">
        <v>185</v>
      </c>
      <c r="E116" s="1">
        <v>45505</v>
      </c>
      <c r="F116" s="1">
        <v>45511</v>
      </c>
      <c r="G116" s="1">
        <v>45512</v>
      </c>
      <c r="H116" s="1">
        <v>45513</v>
      </c>
      <c r="I116" t="s">
        <v>168</v>
      </c>
      <c r="J116" t="s">
        <v>168</v>
      </c>
    </row>
    <row r="117" spans="1:10" x14ac:dyDescent="0.25">
      <c r="A117" t="s">
        <v>128</v>
      </c>
      <c r="B117" t="s">
        <v>703</v>
      </c>
      <c r="C117" t="s">
        <v>704</v>
      </c>
      <c r="D117" t="s">
        <v>705</v>
      </c>
      <c r="E117" s="1">
        <v>45505.729166666664</v>
      </c>
      <c r="F117" s="1">
        <v>45511.729166666664</v>
      </c>
      <c r="G117" s="1">
        <v>45512.729166666664</v>
      </c>
      <c r="H117" s="1">
        <v>45513.145833333336</v>
      </c>
      <c r="I117" t="s">
        <v>30</v>
      </c>
      <c r="J117" t="s">
        <v>169</v>
      </c>
    </row>
    <row r="118" spans="1:10" x14ac:dyDescent="0.25">
      <c r="A118" t="s">
        <v>63</v>
      </c>
      <c r="B118" t="s">
        <v>697</v>
      </c>
      <c r="C118" t="s">
        <v>534</v>
      </c>
      <c r="D118" t="s">
        <v>535</v>
      </c>
      <c r="E118" s="1">
        <v>45505.875</v>
      </c>
      <c r="F118" s="1">
        <v>45511.875</v>
      </c>
      <c r="G118" s="1">
        <v>45512.875</v>
      </c>
      <c r="H118" s="1">
        <v>45514.125</v>
      </c>
      <c r="I118" t="s">
        <v>19</v>
      </c>
      <c r="J118" t="s">
        <v>178</v>
      </c>
    </row>
    <row r="119" spans="1:10" x14ac:dyDescent="0.25">
      <c r="A119" t="s">
        <v>171</v>
      </c>
      <c r="B119" t="s">
        <v>698</v>
      </c>
      <c r="C119" t="s">
        <v>699</v>
      </c>
      <c r="D119" t="s">
        <v>700</v>
      </c>
      <c r="E119" s="1">
        <v>45505.958333333336</v>
      </c>
      <c r="F119" s="1">
        <v>45511.958333333336</v>
      </c>
      <c r="G119" s="1">
        <v>45512.958333333336</v>
      </c>
      <c r="H119" s="1">
        <v>45513.125</v>
      </c>
      <c r="I119" t="s">
        <v>134</v>
      </c>
      <c r="J119" t="s">
        <v>23</v>
      </c>
    </row>
    <row r="120" spans="1:10" x14ac:dyDescent="0.25">
      <c r="A120" t="s">
        <v>151</v>
      </c>
      <c r="B120" t="s">
        <v>694</v>
      </c>
      <c r="C120" t="s">
        <v>695</v>
      </c>
      <c r="D120" t="s">
        <v>696</v>
      </c>
      <c r="E120" s="1">
        <v>45506.208333333336</v>
      </c>
      <c r="F120" s="1">
        <v>45512.208333333336</v>
      </c>
      <c r="G120" s="1">
        <v>45513.208333333336</v>
      </c>
      <c r="H120" s="1">
        <v>45514.5</v>
      </c>
      <c r="I120" t="s">
        <v>16</v>
      </c>
      <c r="J120" t="s">
        <v>23</v>
      </c>
    </row>
    <row r="121" spans="1:10" x14ac:dyDescent="0.25">
      <c r="A121" t="s">
        <v>267</v>
      </c>
      <c r="B121" t="s">
        <v>701</v>
      </c>
      <c r="C121" t="s">
        <v>702</v>
      </c>
      <c r="D121" t="s">
        <v>393</v>
      </c>
      <c r="E121" s="1">
        <v>45506.958333333336</v>
      </c>
      <c r="F121" s="1">
        <v>45512.958333333336</v>
      </c>
      <c r="G121" s="1">
        <v>45513.958333333336</v>
      </c>
      <c r="H121" s="1">
        <v>45515.291666666664</v>
      </c>
      <c r="I121" t="s">
        <v>180</v>
      </c>
      <c r="J121" t="s">
        <v>23</v>
      </c>
    </row>
    <row r="122" spans="1:10" x14ac:dyDescent="0.25">
      <c r="A122" t="s">
        <v>189</v>
      </c>
      <c r="B122" t="s">
        <v>708</v>
      </c>
      <c r="C122" t="s">
        <v>709</v>
      </c>
      <c r="D122" t="s">
        <v>709</v>
      </c>
      <c r="E122" s="1">
        <v>45507.208333333336</v>
      </c>
      <c r="F122" s="1">
        <v>45513.208333333336</v>
      </c>
      <c r="G122" s="1">
        <v>45514.208333333336</v>
      </c>
      <c r="H122" s="1">
        <v>45514.958333333336</v>
      </c>
      <c r="I122" t="s">
        <v>177</v>
      </c>
      <c r="J122" t="s">
        <v>13</v>
      </c>
    </row>
    <row r="123" spans="1:10" x14ac:dyDescent="0.25">
      <c r="A123" t="s">
        <v>127</v>
      </c>
      <c r="B123" t="s">
        <v>740</v>
      </c>
      <c r="C123" t="s">
        <v>741</v>
      </c>
      <c r="D123" t="s">
        <v>742</v>
      </c>
      <c r="E123" s="1">
        <v>45509.708333333336</v>
      </c>
      <c r="F123" s="1">
        <v>45515.708333333336</v>
      </c>
      <c r="G123" s="1">
        <v>45516.708333333336</v>
      </c>
      <c r="H123" s="1">
        <v>45517.5</v>
      </c>
      <c r="I123" t="s">
        <v>13</v>
      </c>
      <c r="J123" t="s">
        <v>19</v>
      </c>
    </row>
    <row r="124" spans="1:10" x14ac:dyDescent="0.25">
      <c r="A124" t="s">
        <v>64</v>
      </c>
      <c r="B124" t="s">
        <v>737</v>
      </c>
      <c r="C124" t="s">
        <v>738</v>
      </c>
      <c r="D124" t="s">
        <v>739</v>
      </c>
      <c r="E124" s="1">
        <v>45509.958333333336</v>
      </c>
      <c r="F124" s="1">
        <v>45515.958333333336</v>
      </c>
      <c r="G124" s="1">
        <v>45516.958333333336</v>
      </c>
      <c r="H124" s="1">
        <v>45517.625</v>
      </c>
      <c r="I124" t="s">
        <v>169</v>
      </c>
      <c r="J124" t="s">
        <v>23</v>
      </c>
    </row>
    <row r="125" spans="1:10" x14ac:dyDescent="0.25">
      <c r="A125" t="s">
        <v>479</v>
      </c>
      <c r="B125" t="s">
        <v>751</v>
      </c>
      <c r="C125" t="s">
        <v>752</v>
      </c>
      <c r="D125" t="s">
        <v>687</v>
      </c>
      <c r="E125" s="1">
        <v>45511.208333333336</v>
      </c>
      <c r="F125" s="1">
        <v>45517.208333333336</v>
      </c>
      <c r="G125" s="1">
        <v>45518.208333333336</v>
      </c>
      <c r="H125" s="1">
        <v>45518.958333333336</v>
      </c>
      <c r="I125" t="s">
        <v>19</v>
      </c>
      <c r="J125" t="s">
        <v>13</v>
      </c>
    </row>
    <row r="126" spans="1:10" x14ac:dyDescent="0.25">
      <c r="A126" t="s">
        <v>171</v>
      </c>
      <c r="B126" t="s">
        <v>757</v>
      </c>
      <c r="C126" t="s">
        <v>758</v>
      </c>
      <c r="D126" t="s">
        <v>759</v>
      </c>
      <c r="E126" s="1">
        <v>45512.208333333336</v>
      </c>
      <c r="F126" s="1">
        <v>45518.208333333336</v>
      </c>
      <c r="G126" s="1">
        <v>45519.208333333336</v>
      </c>
      <c r="H126" s="1">
        <v>45520.125</v>
      </c>
      <c r="I126" t="s">
        <v>23</v>
      </c>
      <c r="J126" t="s">
        <v>23</v>
      </c>
    </row>
    <row r="127" spans="1:10" x14ac:dyDescent="0.25">
      <c r="A127" t="s">
        <v>763</v>
      </c>
      <c r="B127" t="s">
        <v>168</v>
      </c>
      <c r="C127" t="s">
        <v>168</v>
      </c>
      <c r="D127" t="s">
        <v>168</v>
      </c>
      <c r="E127" s="1">
        <v>45512.229166666664</v>
      </c>
      <c r="F127" s="1">
        <v>45518.229166666664</v>
      </c>
      <c r="G127" s="1">
        <v>45519.229166666664</v>
      </c>
      <c r="H127" s="1">
        <v>45519.791666666664</v>
      </c>
      <c r="I127" t="s">
        <v>764</v>
      </c>
      <c r="J127" t="s">
        <v>765</v>
      </c>
    </row>
    <row r="128" spans="1:10" x14ac:dyDescent="0.25">
      <c r="A128" t="s">
        <v>277</v>
      </c>
      <c r="B128" t="s">
        <v>760</v>
      </c>
      <c r="C128" t="s">
        <v>761</v>
      </c>
      <c r="D128" t="s">
        <v>762</v>
      </c>
      <c r="E128" s="1">
        <v>45512.875</v>
      </c>
      <c r="F128" s="1">
        <v>45518.875</v>
      </c>
      <c r="G128" s="1">
        <v>45519.875</v>
      </c>
      <c r="H128" s="1">
        <v>45521.125</v>
      </c>
      <c r="I128" t="s">
        <v>19</v>
      </c>
      <c r="J128" t="s">
        <v>178</v>
      </c>
    </row>
    <row r="129" spans="1:10" x14ac:dyDescent="0.25">
      <c r="A129" t="s">
        <v>154</v>
      </c>
      <c r="B129" t="s">
        <v>766</v>
      </c>
      <c r="C129" t="s">
        <v>689</v>
      </c>
      <c r="D129" t="s">
        <v>575</v>
      </c>
      <c r="E129" s="1">
        <v>45513.208333333336</v>
      </c>
      <c r="F129" s="1">
        <v>45519.208333333336</v>
      </c>
      <c r="G129" s="1">
        <v>45520.208333333336</v>
      </c>
      <c r="H129" s="1">
        <v>45521.5</v>
      </c>
      <c r="I129" t="s">
        <v>16</v>
      </c>
      <c r="J129" t="s">
        <v>23</v>
      </c>
    </row>
    <row r="130" spans="1:10" x14ac:dyDescent="0.25">
      <c r="A130" t="s">
        <v>442</v>
      </c>
      <c r="B130" t="s">
        <v>168</v>
      </c>
      <c r="C130" t="s">
        <v>168</v>
      </c>
      <c r="D130" t="s">
        <v>168</v>
      </c>
      <c r="E130" s="1">
        <v>45513.3125</v>
      </c>
      <c r="F130" s="1">
        <v>45519.3125</v>
      </c>
      <c r="G130" s="1">
        <v>45520.3125</v>
      </c>
      <c r="H130" s="1">
        <v>45520.75</v>
      </c>
      <c r="I130" t="s">
        <v>252</v>
      </c>
      <c r="J130" t="s">
        <v>21</v>
      </c>
    </row>
    <row r="131" spans="1:10" x14ac:dyDescent="0.25">
      <c r="A131" t="s">
        <v>191</v>
      </c>
      <c r="B131" t="s">
        <v>767</v>
      </c>
      <c r="C131" t="s">
        <v>340</v>
      </c>
      <c r="D131" t="s">
        <v>768</v>
      </c>
      <c r="E131" s="1">
        <v>45513.958333333336</v>
      </c>
      <c r="F131" s="1">
        <v>45519.958333333336</v>
      </c>
      <c r="G131" s="1">
        <v>45520.958333333336</v>
      </c>
      <c r="H131" s="1">
        <v>45522.291666666664</v>
      </c>
      <c r="I131" t="s">
        <v>180</v>
      </c>
      <c r="J131" t="s">
        <v>23</v>
      </c>
    </row>
    <row r="132" spans="1:10" x14ac:dyDescent="0.25">
      <c r="A132" t="s">
        <v>498</v>
      </c>
      <c r="B132" t="s">
        <v>774</v>
      </c>
      <c r="C132" t="s">
        <v>775</v>
      </c>
      <c r="D132" t="s">
        <v>776</v>
      </c>
      <c r="E132" s="1">
        <v>45514</v>
      </c>
      <c r="F132" s="1">
        <v>45520</v>
      </c>
      <c r="G132" s="1">
        <v>45521</v>
      </c>
      <c r="H132" s="1">
        <v>45521.5</v>
      </c>
      <c r="I132" t="s">
        <v>23</v>
      </c>
      <c r="J132" t="s">
        <v>28</v>
      </c>
    </row>
    <row r="133" spans="1:10" x14ac:dyDescent="0.25">
      <c r="A133" t="s">
        <v>192</v>
      </c>
      <c r="B133" t="s">
        <v>777</v>
      </c>
      <c r="C133" t="s">
        <v>778</v>
      </c>
      <c r="D133" t="s">
        <v>778</v>
      </c>
      <c r="E133" s="1">
        <v>45514.208333333336</v>
      </c>
      <c r="F133" s="1">
        <v>45520.208333333336</v>
      </c>
      <c r="G133" s="1">
        <v>45521.208333333336</v>
      </c>
      <c r="H133" s="1">
        <v>45521.958333333336</v>
      </c>
      <c r="I133" t="s">
        <v>177</v>
      </c>
      <c r="J133" t="s">
        <v>13</v>
      </c>
    </row>
    <row r="134" spans="1:10" x14ac:dyDescent="0.25">
      <c r="A134" t="s">
        <v>308</v>
      </c>
      <c r="B134" t="s">
        <v>833</v>
      </c>
      <c r="C134" t="s">
        <v>834</v>
      </c>
      <c r="D134" t="s">
        <v>835</v>
      </c>
      <c r="E134" s="1">
        <v>45515</v>
      </c>
      <c r="F134" s="1">
        <v>45521</v>
      </c>
      <c r="G134" s="1">
        <v>45522</v>
      </c>
      <c r="H134" s="1">
        <v>45523</v>
      </c>
      <c r="I134" t="s">
        <v>168</v>
      </c>
      <c r="J134" t="s">
        <v>168</v>
      </c>
    </row>
    <row r="135" spans="1:10" x14ac:dyDescent="0.25">
      <c r="A135" t="s">
        <v>830</v>
      </c>
      <c r="B135" t="s">
        <v>831</v>
      </c>
      <c r="C135" t="s">
        <v>832</v>
      </c>
      <c r="D135" t="s">
        <v>832</v>
      </c>
      <c r="E135" s="1">
        <v>45515</v>
      </c>
      <c r="F135" s="1">
        <v>45521</v>
      </c>
      <c r="G135" s="1">
        <v>45522</v>
      </c>
      <c r="H135" s="1">
        <v>45523</v>
      </c>
      <c r="I135" t="s">
        <v>174</v>
      </c>
      <c r="J135" t="s">
        <v>30</v>
      </c>
    </row>
    <row r="136" spans="1:10" x14ac:dyDescent="0.25">
      <c r="A136" t="s">
        <v>836</v>
      </c>
      <c r="B136" t="s">
        <v>837</v>
      </c>
      <c r="C136" t="s">
        <v>838</v>
      </c>
      <c r="D136" t="s">
        <v>838</v>
      </c>
      <c r="E136" s="1">
        <v>45515</v>
      </c>
      <c r="F136" s="1">
        <v>45521</v>
      </c>
      <c r="G136" s="1">
        <v>45522</v>
      </c>
      <c r="H136" s="1">
        <v>45522.5</v>
      </c>
      <c r="I136" t="s">
        <v>168</v>
      </c>
      <c r="J136" t="s">
        <v>16</v>
      </c>
    </row>
    <row r="137" spans="1:10" x14ac:dyDescent="0.25">
      <c r="A137" t="s">
        <v>149</v>
      </c>
      <c r="B137" t="s">
        <v>842</v>
      </c>
      <c r="C137" t="s">
        <v>843</v>
      </c>
      <c r="D137" t="s">
        <v>432</v>
      </c>
      <c r="E137" s="1">
        <v>45515</v>
      </c>
      <c r="F137" s="1">
        <v>45521</v>
      </c>
      <c r="G137" s="1">
        <v>45522</v>
      </c>
      <c r="H137" s="1">
        <v>45522.5</v>
      </c>
      <c r="I137" t="s">
        <v>167</v>
      </c>
      <c r="J137" t="s">
        <v>23</v>
      </c>
    </row>
    <row r="138" spans="1:10" x14ac:dyDescent="0.25">
      <c r="A138" t="s">
        <v>839</v>
      </c>
      <c r="B138" t="s">
        <v>840</v>
      </c>
      <c r="C138" t="s">
        <v>841</v>
      </c>
      <c r="D138" t="s">
        <v>841</v>
      </c>
      <c r="E138" s="1">
        <v>45515</v>
      </c>
      <c r="F138" s="1">
        <v>45521</v>
      </c>
      <c r="G138" s="1">
        <v>45522</v>
      </c>
      <c r="H138" s="1">
        <v>45525</v>
      </c>
      <c r="I138" t="s">
        <v>181</v>
      </c>
      <c r="J138" t="s">
        <v>134</v>
      </c>
    </row>
    <row r="139" spans="1:10" x14ac:dyDescent="0.25">
      <c r="A139" t="s">
        <v>145</v>
      </c>
      <c r="B139" t="s">
        <v>717</v>
      </c>
      <c r="C139" t="s">
        <v>718</v>
      </c>
      <c r="D139" t="s">
        <v>429</v>
      </c>
      <c r="E139" s="1">
        <v>45515.208333333336</v>
      </c>
      <c r="F139" s="1">
        <v>45521.208333333336</v>
      </c>
      <c r="G139" s="1">
        <v>45522.208333333336</v>
      </c>
      <c r="H139" s="1">
        <v>45523.791666666664</v>
      </c>
      <c r="I139" t="s">
        <v>167</v>
      </c>
      <c r="J139" t="s">
        <v>23</v>
      </c>
    </row>
    <row r="140" spans="1:10" x14ac:dyDescent="0.25">
      <c r="A140" t="s">
        <v>442</v>
      </c>
      <c r="B140" t="s">
        <v>168</v>
      </c>
      <c r="C140" t="s">
        <v>168</v>
      </c>
      <c r="D140" t="s">
        <v>168</v>
      </c>
      <c r="E140" s="1">
        <v>45516.229166666664</v>
      </c>
      <c r="F140" s="1">
        <v>45522.229166666664</v>
      </c>
      <c r="G140" s="1">
        <v>45523.229166666664</v>
      </c>
      <c r="H140" s="1">
        <v>45523.666666666664</v>
      </c>
      <c r="I140" t="s">
        <v>21</v>
      </c>
      <c r="J140" t="s">
        <v>176</v>
      </c>
    </row>
    <row r="141" spans="1:10" x14ac:dyDescent="0.25">
      <c r="A141" t="s">
        <v>126</v>
      </c>
      <c r="B141" t="s">
        <v>877</v>
      </c>
      <c r="C141" t="s">
        <v>878</v>
      </c>
      <c r="D141" t="s">
        <v>879</v>
      </c>
      <c r="E141" s="1">
        <v>45516.708333333336</v>
      </c>
      <c r="F141" s="1">
        <v>45522.708333333336</v>
      </c>
      <c r="G141" s="1">
        <v>45523.708333333336</v>
      </c>
      <c r="H141" s="1">
        <v>45524.208333333336</v>
      </c>
      <c r="I141" t="s">
        <v>13</v>
      </c>
      <c r="J141" t="s">
        <v>19</v>
      </c>
    </row>
    <row r="142" spans="1:10" x14ac:dyDescent="0.25">
      <c r="A142" t="s">
        <v>64</v>
      </c>
      <c r="B142" t="s">
        <v>880</v>
      </c>
      <c r="C142" t="s">
        <v>881</v>
      </c>
      <c r="D142" t="s">
        <v>882</v>
      </c>
      <c r="E142" s="1">
        <v>45517.958333333336</v>
      </c>
      <c r="F142" s="1">
        <v>45523.958333333336</v>
      </c>
      <c r="G142" s="1">
        <v>45524.958333333336</v>
      </c>
      <c r="H142" s="1">
        <v>45525.625</v>
      </c>
      <c r="I142" t="s">
        <v>169</v>
      </c>
      <c r="J142" t="s">
        <v>23</v>
      </c>
    </row>
    <row r="143" spans="1:10" x14ac:dyDescent="0.25">
      <c r="A143" t="s">
        <v>596</v>
      </c>
      <c r="B143" t="s">
        <v>883</v>
      </c>
      <c r="C143" t="s">
        <v>884</v>
      </c>
      <c r="D143" t="s">
        <v>885</v>
      </c>
      <c r="E143" s="1">
        <v>45518.208333333336</v>
      </c>
      <c r="F143" s="1">
        <v>45524.208333333336</v>
      </c>
      <c r="G143" s="1">
        <v>45525.208333333336</v>
      </c>
      <c r="H143" s="1">
        <v>45525.958333333336</v>
      </c>
      <c r="I143" t="s">
        <v>19</v>
      </c>
      <c r="J143" t="s">
        <v>172</v>
      </c>
    </row>
    <row r="144" spans="1:10" x14ac:dyDescent="0.25">
      <c r="A144" t="s">
        <v>171</v>
      </c>
      <c r="B144" t="s">
        <v>898</v>
      </c>
      <c r="C144" t="s">
        <v>899</v>
      </c>
      <c r="D144" t="s">
        <v>900</v>
      </c>
      <c r="E144" s="1">
        <v>45519.208333333336</v>
      </c>
      <c r="F144" s="1">
        <v>45525.208333333336</v>
      </c>
      <c r="G144" s="1">
        <v>45526.208333333336</v>
      </c>
      <c r="H144" s="1">
        <v>45527.125</v>
      </c>
      <c r="I144" t="s">
        <v>134</v>
      </c>
      <c r="J144" t="s">
        <v>23</v>
      </c>
    </row>
    <row r="145" spans="1:10" x14ac:dyDescent="0.25">
      <c r="A145" t="s">
        <v>128</v>
      </c>
      <c r="B145" t="s">
        <v>901</v>
      </c>
      <c r="C145" t="s">
        <v>902</v>
      </c>
      <c r="D145" t="s">
        <v>903</v>
      </c>
      <c r="E145" s="1">
        <v>45519.729166666664</v>
      </c>
      <c r="F145" s="1">
        <v>45525.729166666664</v>
      </c>
      <c r="G145" s="1">
        <v>45526.729166666664</v>
      </c>
      <c r="H145" s="1">
        <v>45527.145833333336</v>
      </c>
      <c r="I145" t="s">
        <v>30</v>
      </c>
      <c r="J145" t="s">
        <v>169</v>
      </c>
    </row>
    <row r="146" spans="1:10" x14ac:dyDescent="0.25">
      <c r="A146" t="s">
        <v>135</v>
      </c>
      <c r="B146" t="s">
        <v>904</v>
      </c>
      <c r="C146" t="s">
        <v>761</v>
      </c>
      <c r="D146" t="s">
        <v>762</v>
      </c>
      <c r="E146" s="1">
        <v>45519.875</v>
      </c>
      <c r="F146" s="1">
        <v>45525.875</v>
      </c>
      <c r="G146" s="1">
        <v>45526.875</v>
      </c>
      <c r="H146" s="1">
        <v>45528.125</v>
      </c>
      <c r="I146" t="s">
        <v>19</v>
      </c>
      <c r="J146" t="s">
        <v>178</v>
      </c>
    </row>
    <row r="147" spans="1:10" x14ac:dyDescent="0.25">
      <c r="A147" t="s">
        <v>245</v>
      </c>
      <c r="B147" t="s">
        <v>905</v>
      </c>
      <c r="C147" t="s">
        <v>906</v>
      </c>
      <c r="D147" t="s">
        <v>396</v>
      </c>
      <c r="E147" s="1">
        <v>45520.958333333336</v>
      </c>
      <c r="F147" s="1">
        <v>45526.958333333336</v>
      </c>
      <c r="G147" s="1">
        <v>45527.958333333336</v>
      </c>
      <c r="H147" s="1">
        <v>45529.291666666664</v>
      </c>
      <c r="I147" t="s">
        <v>294</v>
      </c>
      <c r="J147" t="s">
        <v>23</v>
      </c>
    </row>
    <row r="148" spans="1:10" x14ac:dyDescent="0.25">
      <c r="A148" t="s">
        <v>137</v>
      </c>
      <c r="B148" t="s">
        <v>934</v>
      </c>
      <c r="C148" t="s">
        <v>874</v>
      </c>
      <c r="D148" t="s">
        <v>798</v>
      </c>
      <c r="E148" s="1">
        <v>45522.208333333336</v>
      </c>
      <c r="F148" s="1">
        <v>45528.208333333336</v>
      </c>
      <c r="G148" s="1">
        <v>45529.208333333336</v>
      </c>
      <c r="H148" s="1">
        <v>45530.791666666664</v>
      </c>
      <c r="I148" t="s">
        <v>167</v>
      </c>
      <c r="J148" t="s">
        <v>23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4A4BC-6519-4AAA-BC50-064B53029CB8}">
  <dimension ref="A1:H21"/>
  <sheetViews>
    <sheetView workbookViewId="0">
      <selection activeCell="A11" sqref="A11:XFD11"/>
    </sheetView>
  </sheetViews>
  <sheetFormatPr defaultRowHeight="15" x14ac:dyDescent="0.25"/>
  <cols>
    <col min="1" max="1" width="15" bestFit="1" customWidth="1"/>
    <col min="2" max="2" width="21" bestFit="1" customWidth="1"/>
    <col min="3" max="3" width="13.7109375" bestFit="1" customWidth="1"/>
    <col min="4" max="5" width="15.85546875" bestFit="1" customWidth="1"/>
    <col min="6" max="6" width="16.42578125" bestFit="1" customWidth="1"/>
    <col min="7" max="8" width="15.85546875" bestFit="1" customWidth="1"/>
  </cols>
  <sheetData>
    <row r="1" spans="1:8" x14ac:dyDescent="0.25">
      <c r="A1" t="s">
        <v>196</v>
      </c>
      <c r="B1" t="s">
        <v>0</v>
      </c>
      <c r="C1" t="s">
        <v>197</v>
      </c>
      <c r="D1" t="s">
        <v>58</v>
      </c>
      <c r="E1" t="s">
        <v>198</v>
      </c>
      <c r="F1" t="s">
        <v>199</v>
      </c>
      <c r="G1" t="s">
        <v>200</v>
      </c>
      <c r="H1" t="s">
        <v>201</v>
      </c>
    </row>
    <row r="2" spans="1:8" x14ac:dyDescent="0.25">
      <c r="A2" t="s">
        <v>638</v>
      </c>
      <c r="B2" t="s">
        <v>133</v>
      </c>
      <c r="C2" t="s">
        <v>186</v>
      </c>
      <c r="D2" s="1">
        <v>45470.125</v>
      </c>
      <c r="E2" s="1">
        <v>45463.520833333336</v>
      </c>
      <c r="F2" s="1">
        <v>45463.520833333336</v>
      </c>
      <c r="G2" s="1">
        <v>45463.520833333336</v>
      </c>
      <c r="H2" s="1">
        <v>45469.625</v>
      </c>
    </row>
    <row r="3" spans="1:8" x14ac:dyDescent="0.25">
      <c r="A3" t="s">
        <v>721</v>
      </c>
      <c r="B3" t="s">
        <v>277</v>
      </c>
      <c r="C3" t="s">
        <v>157</v>
      </c>
      <c r="D3" s="1">
        <v>45470.6875</v>
      </c>
      <c r="E3" s="1">
        <v>45464.458333333336</v>
      </c>
      <c r="F3" s="1">
        <v>45464.458333333336</v>
      </c>
      <c r="G3" s="1">
        <v>45464.458333333336</v>
      </c>
      <c r="H3" s="1">
        <v>45470.1875</v>
      </c>
    </row>
    <row r="4" spans="1:8" x14ac:dyDescent="0.25">
      <c r="A4" t="s">
        <v>712</v>
      </c>
      <c r="B4" t="s">
        <v>64</v>
      </c>
      <c r="C4" t="s">
        <v>368</v>
      </c>
      <c r="D4" s="1">
        <v>45471.208333333336</v>
      </c>
      <c r="E4" s="1">
        <v>45463.625</v>
      </c>
      <c r="F4" s="1">
        <v>45463.625</v>
      </c>
      <c r="G4" s="1">
        <v>45463.625</v>
      </c>
      <c r="H4" s="1">
        <v>45470.708333333336</v>
      </c>
    </row>
    <row r="5" spans="1:8" x14ac:dyDescent="0.25">
      <c r="A5" t="s">
        <v>744</v>
      </c>
      <c r="B5" t="s">
        <v>171</v>
      </c>
      <c r="C5" t="s">
        <v>376</v>
      </c>
      <c r="D5" s="1">
        <v>45472.833333333336</v>
      </c>
      <c r="E5" s="1">
        <v>45465.833333333336</v>
      </c>
      <c r="F5" s="1">
        <v>45465.833333333336</v>
      </c>
      <c r="G5" s="1">
        <v>45465.833333333336</v>
      </c>
      <c r="H5" s="1">
        <v>45472.333333333336</v>
      </c>
    </row>
    <row r="6" spans="1:8" x14ac:dyDescent="0.25">
      <c r="A6" t="s">
        <v>753</v>
      </c>
      <c r="B6" t="s">
        <v>154</v>
      </c>
      <c r="C6" t="s">
        <v>293</v>
      </c>
      <c r="D6" s="1">
        <v>45474.25</v>
      </c>
      <c r="E6" s="1">
        <v>45467.520833333336</v>
      </c>
      <c r="F6" s="1">
        <v>45467.520833333336</v>
      </c>
      <c r="G6" s="1">
        <v>45467.520833333336</v>
      </c>
      <c r="H6" s="1">
        <v>45473.75</v>
      </c>
    </row>
    <row r="7" spans="1:8" x14ac:dyDescent="0.25">
      <c r="A7" t="s">
        <v>723</v>
      </c>
      <c r="B7" t="s">
        <v>490</v>
      </c>
      <c r="C7" t="s">
        <v>471</v>
      </c>
      <c r="D7" s="1">
        <v>45475.125</v>
      </c>
      <c r="E7" s="1">
        <v>45464.833333333336</v>
      </c>
      <c r="F7" s="1">
        <v>45464.833333333336</v>
      </c>
      <c r="G7" s="1">
        <v>45464.833333333336</v>
      </c>
      <c r="H7" s="1">
        <v>45474.625</v>
      </c>
    </row>
    <row r="8" spans="1:8" x14ac:dyDescent="0.25">
      <c r="A8" t="s">
        <v>632</v>
      </c>
      <c r="B8" t="s">
        <v>422</v>
      </c>
      <c r="C8" t="s">
        <v>633</v>
      </c>
      <c r="D8" s="1">
        <v>45475.333333333336</v>
      </c>
      <c r="E8" s="1">
        <v>45468.333333333336</v>
      </c>
      <c r="F8" s="1">
        <v>45468.333333333336</v>
      </c>
      <c r="G8" s="1">
        <v>45468.333333333336</v>
      </c>
      <c r="H8" s="1">
        <v>45474.833333333336</v>
      </c>
    </row>
    <row r="9" spans="1:8" x14ac:dyDescent="0.25">
      <c r="A9" t="s">
        <v>755</v>
      </c>
      <c r="B9" t="s">
        <v>191</v>
      </c>
      <c r="C9" t="s">
        <v>692</v>
      </c>
      <c r="D9" s="1">
        <v>45476.1875</v>
      </c>
      <c r="E9" s="1">
        <v>45469.1875</v>
      </c>
      <c r="F9" s="1">
        <v>45469.1875</v>
      </c>
      <c r="G9" s="1">
        <v>45469.1875</v>
      </c>
      <c r="H9" s="1">
        <v>45475.6875</v>
      </c>
    </row>
    <row r="10" spans="1:8" x14ac:dyDescent="0.25">
      <c r="A10" t="s">
        <v>544</v>
      </c>
      <c r="B10" t="s">
        <v>357</v>
      </c>
      <c r="C10" t="s">
        <v>255</v>
      </c>
      <c r="D10" s="1">
        <v>45476.854166666664</v>
      </c>
      <c r="E10" s="1">
        <v>45469.854166666664</v>
      </c>
      <c r="F10" s="1">
        <v>45469.854166666664</v>
      </c>
      <c r="G10" s="1">
        <v>45469.854166666664</v>
      </c>
      <c r="H10" s="1">
        <v>45476.354166666664</v>
      </c>
    </row>
    <row r="11" spans="1:8" x14ac:dyDescent="0.25">
      <c r="A11" t="s">
        <v>787</v>
      </c>
      <c r="B11" t="s">
        <v>64</v>
      </c>
      <c r="C11" t="s">
        <v>580</v>
      </c>
      <c r="D11" s="1">
        <v>45477.625</v>
      </c>
      <c r="E11" s="1">
        <v>45470.625</v>
      </c>
      <c r="F11" s="1">
        <v>45470.625</v>
      </c>
      <c r="G11" s="1">
        <v>45470.625</v>
      </c>
      <c r="H11" s="1">
        <v>45477.125</v>
      </c>
    </row>
    <row r="12" spans="1:8" x14ac:dyDescent="0.25">
      <c r="A12" t="s">
        <v>844</v>
      </c>
      <c r="B12" t="s">
        <v>135</v>
      </c>
      <c r="C12" t="s">
        <v>314</v>
      </c>
      <c r="D12" s="1">
        <v>45477.791666666664</v>
      </c>
      <c r="E12" s="1">
        <v>45470.791666666664</v>
      </c>
      <c r="F12" s="1">
        <v>45470.791666666664</v>
      </c>
      <c r="G12" s="1">
        <v>45470.791666666664</v>
      </c>
      <c r="H12" s="1">
        <v>45477.291666666664</v>
      </c>
    </row>
    <row r="13" spans="1:8" x14ac:dyDescent="0.25">
      <c r="A13" t="s">
        <v>869</v>
      </c>
      <c r="B13" t="s">
        <v>634</v>
      </c>
      <c r="C13" t="s">
        <v>472</v>
      </c>
      <c r="D13" s="1">
        <v>45478.791666666664</v>
      </c>
      <c r="E13" s="1">
        <v>45471.791666666664</v>
      </c>
      <c r="F13" s="1">
        <v>45471.791666666664</v>
      </c>
      <c r="G13" s="1">
        <v>45471.791666666664</v>
      </c>
      <c r="H13" s="1">
        <v>45478.291666666664</v>
      </c>
    </row>
    <row r="14" spans="1:8" x14ac:dyDescent="0.25">
      <c r="A14" t="s">
        <v>870</v>
      </c>
      <c r="B14" t="s">
        <v>171</v>
      </c>
      <c r="C14" t="s">
        <v>458</v>
      </c>
      <c r="D14" s="1">
        <v>45479.791666666664</v>
      </c>
      <c r="E14" s="1">
        <v>45472.791666666664</v>
      </c>
      <c r="F14" s="1">
        <v>45472.791666666664</v>
      </c>
      <c r="G14" s="1">
        <v>45472.791666666664</v>
      </c>
      <c r="H14" s="1">
        <v>45479.291666666664</v>
      </c>
    </row>
    <row r="15" spans="1:8" x14ac:dyDescent="0.25">
      <c r="A15" t="s">
        <v>779</v>
      </c>
      <c r="B15" t="s">
        <v>250</v>
      </c>
      <c r="C15" t="s">
        <v>258</v>
      </c>
      <c r="D15" s="1">
        <v>45479.833333333336</v>
      </c>
      <c r="E15" s="1">
        <v>45472.833333333336</v>
      </c>
      <c r="F15" s="1">
        <v>45472.833333333336</v>
      </c>
      <c r="G15" s="1">
        <v>45472.833333333336</v>
      </c>
      <c r="H15" s="1">
        <v>45479.333333333336</v>
      </c>
    </row>
    <row r="16" spans="1:8" x14ac:dyDescent="0.25">
      <c r="A16" t="s">
        <v>893</v>
      </c>
      <c r="B16" t="s">
        <v>245</v>
      </c>
      <c r="C16" t="s">
        <v>323</v>
      </c>
      <c r="D16" s="1">
        <v>45482.125</v>
      </c>
      <c r="E16" s="1">
        <v>45475.125</v>
      </c>
      <c r="F16" s="1">
        <v>45475.125</v>
      </c>
      <c r="G16" s="1">
        <v>45475.125</v>
      </c>
      <c r="H16" s="1">
        <v>45481.625</v>
      </c>
    </row>
    <row r="17" spans="1:8" x14ac:dyDescent="0.25">
      <c r="A17" t="s">
        <v>894</v>
      </c>
      <c r="B17" t="s">
        <v>311</v>
      </c>
      <c r="C17" t="s">
        <v>895</v>
      </c>
      <c r="D17" s="1">
        <v>45482.541666666664</v>
      </c>
      <c r="E17" s="1">
        <v>45475.541666666664</v>
      </c>
      <c r="F17" s="1">
        <v>45475.541666666664</v>
      </c>
      <c r="G17" s="1">
        <v>45475.541666666664</v>
      </c>
      <c r="H17" s="1">
        <v>45482.041666666664</v>
      </c>
    </row>
    <row r="18" spans="1:8" x14ac:dyDescent="0.25">
      <c r="A18" t="s">
        <v>896</v>
      </c>
      <c r="B18" t="s">
        <v>617</v>
      </c>
      <c r="C18" t="s">
        <v>897</v>
      </c>
      <c r="D18" s="1">
        <v>45483.125</v>
      </c>
      <c r="E18" s="1">
        <v>45476.125</v>
      </c>
      <c r="F18" s="1">
        <v>45476.125</v>
      </c>
      <c r="G18" s="1">
        <v>45476.125</v>
      </c>
      <c r="H18" s="1">
        <v>45482.625</v>
      </c>
    </row>
    <row r="19" spans="1:8" x14ac:dyDescent="0.25">
      <c r="A19" t="s">
        <v>909</v>
      </c>
      <c r="B19" t="s">
        <v>145</v>
      </c>
      <c r="C19" t="s">
        <v>302</v>
      </c>
      <c r="D19" s="1">
        <v>45483.791666666664</v>
      </c>
      <c r="E19" s="1">
        <v>45476.791666666664</v>
      </c>
      <c r="F19" s="1">
        <v>45476.791666666664</v>
      </c>
      <c r="G19" s="1">
        <v>45476.791666666664</v>
      </c>
      <c r="H19" s="1">
        <v>45483.291666666664</v>
      </c>
    </row>
    <row r="20" spans="1:8" x14ac:dyDescent="0.25">
      <c r="A20" t="s">
        <v>929</v>
      </c>
      <c r="B20" t="s">
        <v>64</v>
      </c>
      <c r="C20" t="s">
        <v>583</v>
      </c>
      <c r="D20" s="1">
        <v>45484.625</v>
      </c>
      <c r="E20" s="1">
        <v>45477.625</v>
      </c>
      <c r="F20" s="1">
        <v>45477.625</v>
      </c>
      <c r="G20" s="1">
        <v>45477.625</v>
      </c>
      <c r="H20" s="1">
        <v>45484.125</v>
      </c>
    </row>
    <row r="21" spans="1:8" x14ac:dyDescent="0.25">
      <c r="A21" t="s">
        <v>946</v>
      </c>
      <c r="B21" t="s">
        <v>136</v>
      </c>
      <c r="C21" t="s">
        <v>314</v>
      </c>
      <c r="D21" s="1">
        <v>45484.791666666664</v>
      </c>
      <c r="E21" s="1">
        <v>45477.791666666664</v>
      </c>
      <c r="F21" s="1">
        <v>45477.791666666664</v>
      </c>
      <c r="G21" s="1">
        <v>45477.791666666664</v>
      </c>
      <c r="H21" s="1">
        <v>45484.291666666664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351CA-24FA-4124-A62D-F4E3E48A6604}">
  <dimension ref="A1:H76"/>
  <sheetViews>
    <sheetView workbookViewId="0">
      <selection activeCell="C6" sqref="C6"/>
    </sheetView>
  </sheetViews>
  <sheetFormatPr defaultRowHeight="15" x14ac:dyDescent="0.25"/>
  <cols>
    <col min="1" max="1" width="20.28515625" bestFit="1" customWidth="1"/>
    <col min="2" max="2" width="7.140625" bestFit="1" customWidth="1"/>
    <col min="3" max="4" width="12.28515625" bestFit="1" customWidth="1"/>
    <col min="5" max="5" width="26.28515625" bestFit="1" customWidth="1"/>
    <col min="6" max="6" width="10.85546875" bestFit="1" customWidth="1"/>
    <col min="7" max="7" width="9" bestFit="1" customWidth="1"/>
    <col min="8" max="9" width="18.140625" bestFit="1" customWidth="1"/>
  </cols>
  <sheetData>
    <row r="1" spans="1:8" x14ac:dyDescent="0.25">
      <c r="A1" t="s">
        <v>202</v>
      </c>
      <c r="B1" t="s">
        <v>203</v>
      </c>
      <c r="C1" t="s">
        <v>204</v>
      </c>
      <c r="D1" t="s">
        <v>59</v>
      </c>
      <c r="E1" t="s">
        <v>205</v>
      </c>
      <c r="F1" t="s">
        <v>206</v>
      </c>
      <c r="G1" t="s">
        <v>207</v>
      </c>
      <c r="H1" t="s">
        <v>208</v>
      </c>
    </row>
    <row r="2" spans="1:8" x14ac:dyDescent="0.25">
      <c r="A2" t="s">
        <v>470</v>
      </c>
      <c r="B2" t="s">
        <v>471</v>
      </c>
      <c r="C2" t="s">
        <v>910</v>
      </c>
      <c r="D2" t="s">
        <v>919</v>
      </c>
      <c r="E2" t="s">
        <v>690</v>
      </c>
      <c r="F2" t="s">
        <v>169</v>
      </c>
      <c r="G2" t="s">
        <v>23</v>
      </c>
      <c r="H2" t="s">
        <v>212</v>
      </c>
    </row>
    <row r="3" spans="1:8" x14ac:dyDescent="0.25">
      <c r="A3" t="s">
        <v>223</v>
      </c>
      <c r="B3" t="s">
        <v>286</v>
      </c>
      <c r="C3" t="s">
        <v>920</v>
      </c>
      <c r="D3" t="s">
        <v>921</v>
      </c>
      <c r="E3" t="s">
        <v>724</v>
      </c>
      <c r="F3" t="s">
        <v>23</v>
      </c>
      <c r="G3" t="s">
        <v>169</v>
      </c>
      <c r="H3" t="s">
        <v>210</v>
      </c>
    </row>
    <row r="4" spans="1:8" x14ac:dyDescent="0.25">
      <c r="A4" t="s">
        <v>270</v>
      </c>
      <c r="B4" t="s">
        <v>257</v>
      </c>
      <c r="C4" t="s">
        <v>922</v>
      </c>
      <c r="D4" t="s">
        <v>935</v>
      </c>
      <c r="E4" t="s">
        <v>791</v>
      </c>
      <c r="F4" t="s">
        <v>173</v>
      </c>
      <c r="G4" t="s">
        <v>169</v>
      </c>
      <c r="H4" t="s">
        <v>213</v>
      </c>
    </row>
    <row r="5" spans="1:8" x14ac:dyDescent="0.25">
      <c r="A5" t="s">
        <v>372</v>
      </c>
      <c r="B5" t="s">
        <v>255</v>
      </c>
      <c r="C5" t="s">
        <v>936</v>
      </c>
      <c r="D5" t="s">
        <v>937</v>
      </c>
      <c r="E5" t="s">
        <v>791</v>
      </c>
      <c r="F5" t="s">
        <v>23</v>
      </c>
      <c r="G5" t="s">
        <v>169</v>
      </c>
      <c r="H5" t="s">
        <v>212</v>
      </c>
    </row>
    <row r="6" spans="1:8" x14ac:dyDescent="0.25">
      <c r="A6" t="s">
        <v>229</v>
      </c>
      <c r="B6" t="s">
        <v>186</v>
      </c>
      <c r="C6" t="s">
        <v>938</v>
      </c>
      <c r="D6" t="s">
        <v>923</v>
      </c>
      <c r="E6" t="s">
        <v>791</v>
      </c>
      <c r="F6" t="s">
        <v>173</v>
      </c>
      <c r="G6" t="s">
        <v>169</v>
      </c>
      <c r="H6" t="s">
        <v>212</v>
      </c>
    </row>
    <row r="7" spans="1:8" x14ac:dyDescent="0.25">
      <c r="A7" t="s">
        <v>234</v>
      </c>
      <c r="B7" t="s">
        <v>472</v>
      </c>
      <c r="C7" t="s">
        <v>924</v>
      </c>
      <c r="D7" t="s">
        <v>925</v>
      </c>
      <c r="E7" t="s">
        <v>911</v>
      </c>
      <c r="F7" t="s">
        <v>169</v>
      </c>
      <c r="G7" t="s">
        <v>23</v>
      </c>
      <c r="H7" t="s">
        <v>212</v>
      </c>
    </row>
    <row r="8" spans="1:8" x14ac:dyDescent="0.25">
      <c r="A8" t="s">
        <v>473</v>
      </c>
      <c r="B8" t="s">
        <v>293</v>
      </c>
      <c r="C8" t="s">
        <v>926</v>
      </c>
      <c r="D8" t="s">
        <v>927</v>
      </c>
      <c r="E8" t="s">
        <v>886</v>
      </c>
      <c r="F8" t="s">
        <v>23</v>
      </c>
      <c r="G8" t="s">
        <v>169</v>
      </c>
      <c r="H8" t="s">
        <v>210</v>
      </c>
    </row>
    <row r="9" spans="1:8" x14ac:dyDescent="0.25">
      <c r="A9" t="s">
        <v>272</v>
      </c>
      <c r="B9" t="s">
        <v>157</v>
      </c>
      <c r="C9" t="s">
        <v>928</v>
      </c>
      <c r="D9" t="s">
        <v>780</v>
      </c>
      <c r="E9" t="s">
        <v>886</v>
      </c>
      <c r="F9" t="s">
        <v>172</v>
      </c>
      <c r="G9" t="s">
        <v>169</v>
      </c>
      <c r="H9" t="s">
        <v>215</v>
      </c>
    </row>
    <row r="10" spans="1:8" x14ac:dyDescent="0.25">
      <c r="A10" t="s">
        <v>269</v>
      </c>
      <c r="B10" t="s">
        <v>671</v>
      </c>
      <c r="C10" t="s">
        <v>907</v>
      </c>
      <c r="D10" t="s">
        <v>781</v>
      </c>
      <c r="E10" t="s">
        <v>886</v>
      </c>
      <c r="F10" t="s">
        <v>217</v>
      </c>
      <c r="G10" t="s">
        <v>169</v>
      </c>
      <c r="H10" t="s">
        <v>218</v>
      </c>
    </row>
    <row r="11" spans="1:8" x14ac:dyDescent="0.25">
      <c r="A11" t="s">
        <v>231</v>
      </c>
      <c r="B11" t="s">
        <v>692</v>
      </c>
      <c r="C11" t="s">
        <v>913</v>
      </c>
      <c r="D11" t="s">
        <v>914</v>
      </c>
      <c r="E11" t="s">
        <v>912</v>
      </c>
      <c r="F11" t="s">
        <v>173</v>
      </c>
      <c r="G11" t="s">
        <v>169</v>
      </c>
      <c r="H11" t="s">
        <v>232</v>
      </c>
    </row>
    <row r="12" spans="1:8" x14ac:dyDescent="0.25">
      <c r="A12" t="s">
        <v>235</v>
      </c>
      <c r="B12" t="s">
        <v>474</v>
      </c>
      <c r="C12" t="s">
        <v>547</v>
      </c>
      <c r="D12" t="s">
        <v>475</v>
      </c>
      <c r="E12" t="s">
        <v>222</v>
      </c>
      <c r="F12" t="s">
        <v>169</v>
      </c>
      <c r="G12" t="s">
        <v>23</v>
      </c>
      <c r="H12" t="s">
        <v>212</v>
      </c>
    </row>
    <row r="13" spans="1:8" x14ac:dyDescent="0.25">
      <c r="A13" t="s">
        <v>296</v>
      </c>
      <c r="B13" t="s">
        <v>297</v>
      </c>
      <c r="C13" t="s">
        <v>915</v>
      </c>
      <c r="D13" t="s">
        <v>916</v>
      </c>
      <c r="E13" t="s">
        <v>222</v>
      </c>
      <c r="F13" t="s">
        <v>217</v>
      </c>
      <c r="G13" t="s">
        <v>169</v>
      </c>
      <c r="H13" t="s">
        <v>212</v>
      </c>
    </row>
    <row r="14" spans="1:8" x14ac:dyDescent="0.25">
      <c r="A14" t="s">
        <v>214</v>
      </c>
      <c r="B14" t="s">
        <v>314</v>
      </c>
      <c r="C14" t="s">
        <v>327</v>
      </c>
      <c r="D14" t="s">
        <v>328</v>
      </c>
      <c r="E14" t="s">
        <v>222</v>
      </c>
      <c r="F14" t="s">
        <v>172</v>
      </c>
      <c r="G14" t="s">
        <v>169</v>
      </c>
      <c r="H14" t="s">
        <v>215</v>
      </c>
    </row>
    <row r="15" spans="1:8" x14ac:dyDescent="0.25">
      <c r="A15" t="s">
        <v>254</v>
      </c>
      <c r="B15" t="s">
        <v>258</v>
      </c>
      <c r="C15" t="s">
        <v>917</v>
      </c>
      <c r="D15" t="s">
        <v>918</v>
      </c>
      <c r="E15" t="s">
        <v>222</v>
      </c>
      <c r="F15" t="s">
        <v>173</v>
      </c>
      <c r="G15" t="s">
        <v>169</v>
      </c>
      <c r="H15" t="s">
        <v>212</v>
      </c>
    </row>
    <row r="16" spans="1:8" x14ac:dyDescent="0.25">
      <c r="A16" t="s">
        <v>233</v>
      </c>
      <c r="B16" t="s">
        <v>323</v>
      </c>
      <c r="C16" t="s">
        <v>324</v>
      </c>
      <c r="D16" t="s">
        <v>325</v>
      </c>
      <c r="E16" t="s">
        <v>222</v>
      </c>
      <c r="F16" t="s">
        <v>173</v>
      </c>
      <c r="G16" t="s">
        <v>169</v>
      </c>
      <c r="H16" t="s">
        <v>212</v>
      </c>
    </row>
    <row r="17" spans="1:8" x14ac:dyDescent="0.25">
      <c r="A17" t="s">
        <v>221</v>
      </c>
      <c r="B17" t="s">
        <v>303</v>
      </c>
      <c r="C17" t="s">
        <v>373</v>
      </c>
      <c r="D17" t="s">
        <v>374</v>
      </c>
      <c r="E17" t="s">
        <v>222</v>
      </c>
      <c r="F17" t="s">
        <v>173</v>
      </c>
      <c r="G17" t="s">
        <v>169</v>
      </c>
      <c r="H17" t="s">
        <v>212</v>
      </c>
    </row>
    <row r="18" spans="1:8" x14ac:dyDescent="0.25">
      <c r="A18" t="s">
        <v>850</v>
      </c>
      <c r="B18" t="s">
        <v>548</v>
      </c>
      <c r="C18" t="s">
        <v>549</v>
      </c>
      <c r="D18" t="s">
        <v>550</v>
      </c>
      <c r="E18" t="s">
        <v>222</v>
      </c>
      <c r="F18" t="s">
        <v>23</v>
      </c>
      <c r="G18" t="s">
        <v>169</v>
      </c>
      <c r="H18" t="s">
        <v>212</v>
      </c>
    </row>
    <row r="19" spans="1:8" x14ac:dyDescent="0.25">
      <c r="A19" t="s">
        <v>216</v>
      </c>
      <c r="B19" t="s">
        <v>302</v>
      </c>
      <c r="C19" t="s">
        <v>939</v>
      </c>
      <c r="D19" t="s">
        <v>940</v>
      </c>
      <c r="E19" t="s">
        <v>222</v>
      </c>
      <c r="F19" t="s">
        <v>173</v>
      </c>
      <c r="G19" t="s">
        <v>169</v>
      </c>
      <c r="H19" t="s">
        <v>212</v>
      </c>
    </row>
    <row r="20" spans="1:8" x14ac:dyDescent="0.25">
      <c r="A20" t="s">
        <v>230</v>
      </c>
      <c r="B20" t="s">
        <v>383</v>
      </c>
      <c r="C20" t="s">
        <v>551</v>
      </c>
      <c r="D20" t="s">
        <v>552</v>
      </c>
      <c r="E20" t="s">
        <v>222</v>
      </c>
      <c r="F20" t="s">
        <v>23</v>
      </c>
      <c r="G20" t="s">
        <v>169</v>
      </c>
      <c r="H20" t="s">
        <v>210</v>
      </c>
    </row>
    <row r="21" spans="1:8" x14ac:dyDescent="0.25">
      <c r="A21" t="s">
        <v>219</v>
      </c>
      <c r="B21" t="s">
        <v>314</v>
      </c>
      <c r="C21" t="s">
        <v>476</v>
      </c>
      <c r="D21" t="s">
        <v>477</v>
      </c>
      <c r="E21" t="s">
        <v>222</v>
      </c>
      <c r="F21" t="s">
        <v>172</v>
      </c>
      <c r="G21" t="s">
        <v>169</v>
      </c>
      <c r="H21" t="s">
        <v>215</v>
      </c>
    </row>
    <row r="22" spans="1:8" x14ac:dyDescent="0.25">
      <c r="A22" t="s">
        <v>271</v>
      </c>
      <c r="B22" t="s">
        <v>298</v>
      </c>
      <c r="C22" t="s">
        <v>552</v>
      </c>
      <c r="D22" t="s">
        <v>948</v>
      </c>
      <c r="E22" t="s">
        <v>222</v>
      </c>
      <c r="F22" t="s">
        <v>217</v>
      </c>
      <c r="G22" t="s">
        <v>169</v>
      </c>
      <c r="H22" t="s">
        <v>218</v>
      </c>
    </row>
    <row r="23" spans="1:8" x14ac:dyDescent="0.25">
      <c r="A23" t="s">
        <v>225</v>
      </c>
      <c r="B23" t="s">
        <v>423</v>
      </c>
      <c r="C23" t="s">
        <v>672</v>
      </c>
      <c r="D23" t="s">
        <v>424</v>
      </c>
      <c r="E23" t="s">
        <v>222</v>
      </c>
      <c r="F23" t="s">
        <v>173</v>
      </c>
      <c r="G23" t="s">
        <v>169</v>
      </c>
      <c r="H23" t="s">
        <v>212</v>
      </c>
    </row>
    <row r="24" spans="1:8" x14ac:dyDescent="0.25">
      <c r="A24" t="s">
        <v>211</v>
      </c>
      <c r="B24" t="s">
        <v>387</v>
      </c>
      <c r="C24" t="s">
        <v>792</v>
      </c>
      <c r="D24" t="s">
        <v>793</v>
      </c>
      <c r="E24" t="s">
        <v>222</v>
      </c>
      <c r="F24" t="s">
        <v>173</v>
      </c>
      <c r="G24" t="s">
        <v>169</v>
      </c>
      <c r="H24" t="s">
        <v>212</v>
      </c>
    </row>
    <row r="25" spans="1:8" x14ac:dyDescent="0.25">
      <c r="A25" t="s">
        <v>782</v>
      </c>
      <c r="B25" t="s">
        <v>722</v>
      </c>
      <c r="C25" t="s">
        <v>783</v>
      </c>
      <c r="D25" t="s">
        <v>784</v>
      </c>
      <c r="E25" t="s">
        <v>222</v>
      </c>
      <c r="F25" t="s">
        <v>217</v>
      </c>
      <c r="G25" t="s">
        <v>169</v>
      </c>
      <c r="H25" t="s">
        <v>218</v>
      </c>
    </row>
    <row r="26" spans="1:8" x14ac:dyDescent="0.25">
      <c r="A26" t="s">
        <v>319</v>
      </c>
      <c r="B26" t="s">
        <v>553</v>
      </c>
      <c r="C26" t="s">
        <v>554</v>
      </c>
      <c r="D26" t="s">
        <v>555</v>
      </c>
      <c r="E26" t="s">
        <v>222</v>
      </c>
      <c r="F26" t="s">
        <v>169</v>
      </c>
      <c r="G26" t="s">
        <v>23</v>
      </c>
      <c r="H26" t="s">
        <v>212</v>
      </c>
    </row>
    <row r="27" spans="1:8" x14ac:dyDescent="0.25">
      <c r="A27" t="s">
        <v>209</v>
      </c>
      <c r="B27" t="s">
        <v>556</v>
      </c>
      <c r="C27" t="s">
        <v>557</v>
      </c>
      <c r="D27" t="s">
        <v>558</v>
      </c>
      <c r="E27" t="s">
        <v>222</v>
      </c>
      <c r="F27" t="s">
        <v>23</v>
      </c>
      <c r="G27" t="s">
        <v>169</v>
      </c>
      <c r="H27" t="s">
        <v>210</v>
      </c>
    </row>
    <row r="28" spans="1:8" x14ac:dyDescent="0.25">
      <c r="A28" t="s">
        <v>226</v>
      </c>
      <c r="B28" t="s">
        <v>314</v>
      </c>
      <c r="C28" t="s">
        <v>639</v>
      </c>
      <c r="D28" t="s">
        <v>640</v>
      </c>
      <c r="E28" t="s">
        <v>222</v>
      </c>
      <c r="F28" t="s">
        <v>172</v>
      </c>
      <c r="G28" t="s">
        <v>169</v>
      </c>
      <c r="H28" t="s">
        <v>215</v>
      </c>
    </row>
    <row r="29" spans="1:8" x14ac:dyDescent="0.25">
      <c r="A29" t="s">
        <v>248</v>
      </c>
      <c r="B29" t="s">
        <v>388</v>
      </c>
      <c r="C29" t="s">
        <v>260</v>
      </c>
      <c r="D29" t="s">
        <v>261</v>
      </c>
      <c r="E29" t="s">
        <v>222</v>
      </c>
      <c r="F29" t="s">
        <v>23</v>
      </c>
      <c r="G29" t="s">
        <v>169</v>
      </c>
      <c r="H29" t="s">
        <v>213</v>
      </c>
    </row>
    <row r="30" spans="1:8" x14ac:dyDescent="0.25">
      <c r="A30" t="s">
        <v>220</v>
      </c>
      <c r="B30" t="s">
        <v>259</v>
      </c>
      <c r="C30" t="s">
        <v>260</v>
      </c>
      <c r="D30" t="s">
        <v>261</v>
      </c>
      <c r="E30" t="s">
        <v>222</v>
      </c>
      <c r="F30" t="s">
        <v>173</v>
      </c>
      <c r="G30" t="s">
        <v>169</v>
      </c>
      <c r="H30" t="s">
        <v>213</v>
      </c>
    </row>
    <row r="31" spans="1:8" x14ac:dyDescent="0.25">
      <c r="A31" t="s">
        <v>268</v>
      </c>
      <c r="B31" t="s">
        <v>722</v>
      </c>
      <c r="C31" t="s">
        <v>299</v>
      </c>
      <c r="D31" t="s">
        <v>300</v>
      </c>
      <c r="E31" t="s">
        <v>222</v>
      </c>
      <c r="F31" t="s">
        <v>173</v>
      </c>
      <c r="G31" t="s">
        <v>169</v>
      </c>
      <c r="H31" t="s">
        <v>212</v>
      </c>
    </row>
    <row r="32" spans="1:8" x14ac:dyDescent="0.25">
      <c r="A32" t="s">
        <v>227</v>
      </c>
      <c r="B32" t="s">
        <v>559</v>
      </c>
      <c r="C32" t="s">
        <v>560</v>
      </c>
      <c r="D32" t="s">
        <v>561</v>
      </c>
      <c r="E32" t="s">
        <v>222</v>
      </c>
      <c r="F32" t="s">
        <v>169</v>
      </c>
      <c r="G32" t="s">
        <v>23</v>
      </c>
      <c r="H32" t="s">
        <v>212</v>
      </c>
    </row>
    <row r="33" spans="1:8" x14ac:dyDescent="0.25">
      <c r="A33" t="s">
        <v>321</v>
      </c>
      <c r="B33" t="s">
        <v>553</v>
      </c>
      <c r="C33" t="s">
        <v>562</v>
      </c>
      <c r="D33" t="s">
        <v>563</v>
      </c>
      <c r="E33" t="s">
        <v>222</v>
      </c>
      <c r="F33" t="s">
        <v>23</v>
      </c>
      <c r="G33" t="s">
        <v>169</v>
      </c>
      <c r="H33" t="s">
        <v>210</v>
      </c>
    </row>
    <row r="34" spans="1:8" x14ac:dyDescent="0.25">
      <c r="A34" t="s">
        <v>272</v>
      </c>
      <c r="B34" t="s">
        <v>314</v>
      </c>
      <c r="C34" t="s">
        <v>641</v>
      </c>
      <c r="D34" t="s">
        <v>673</v>
      </c>
      <c r="E34" t="s">
        <v>222</v>
      </c>
      <c r="F34" t="s">
        <v>172</v>
      </c>
      <c r="G34" t="s">
        <v>169</v>
      </c>
      <c r="H34" t="s">
        <v>215</v>
      </c>
    </row>
    <row r="35" spans="1:8" x14ac:dyDescent="0.25">
      <c r="A35" t="s">
        <v>307</v>
      </c>
      <c r="B35" t="s">
        <v>389</v>
      </c>
      <c r="C35" t="s">
        <v>390</v>
      </c>
      <c r="D35" t="s">
        <v>391</v>
      </c>
      <c r="E35" t="s">
        <v>222</v>
      </c>
      <c r="F35" t="s">
        <v>173</v>
      </c>
      <c r="G35" t="s">
        <v>169</v>
      </c>
      <c r="H35" t="s">
        <v>213</v>
      </c>
    </row>
    <row r="36" spans="1:8" x14ac:dyDescent="0.25">
      <c r="A36" t="s">
        <v>372</v>
      </c>
      <c r="B36" t="s">
        <v>425</v>
      </c>
      <c r="C36" t="s">
        <v>908</v>
      </c>
      <c r="D36" t="s">
        <v>941</v>
      </c>
      <c r="E36" t="s">
        <v>222</v>
      </c>
      <c r="F36" t="s">
        <v>173</v>
      </c>
      <c r="G36" t="s">
        <v>169</v>
      </c>
      <c r="H36" t="s">
        <v>212</v>
      </c>
    </row>
    <row r="37" spans="1:8" x14ac:dyDescent="0.25">
      <c r="A37" t="s">
        <v>785</v>
      </c>
      <c r="B37" t="s">
        <v>786</v>
      </c>
      <c r="C37" t="s">
        <v>851</v>
      </c>
      <c r="D37" t="s">
        <v>852</v>
      </c>
      <c r="E37" t="s">
        <v>222</v>
      </c>
      <c r="F37" t="s">
        <v>23</v>
      </c>
      <c r="G37" t="s">
        <v>169</v>
      </c>
      <c r="H37" t="s">
        <v>212</v>
      </c>
    </row>
    <row r="38" spans="1:8" x14ac:dyDescent="0.25">
      <c r="A38" t="s">
        <v>853</v>
      </c>
      <c r="B38" t="s">
        <v>559</v>
      </c>
      <c r="C38" t="s">
        <v>854</v>
      </c>
      <c r="D38" t="s">
        <v>855</v>
      </c>
      <c r="E38" t="s">
        <v>222</v>
      </c>
      <c r="F38" t="s">
        <v>23</v>
      </c>
      <c r="G38" t="s">
        <v>169</v>
      </c>
      <c r="H38" t="s">
        <v>210</v>
      </c>
    </row>
    <row r="39" spans="1:8" x14ac:dyDescent="0.25">
      <c r="A39" t="s">
        <v>214</v>
      </c>
      <c r="B39" t="s">
        <v>535</v>
      </c>
      <c r="C39" t="s">
        <v>769</v>
      </c>
      <c r="D39" t="s">
        <v>770</v>
      </c>
      <c r="E39" t="s">
        <v>222</v>
      </c>
      <c r="F39" t="s">
        <v>172</v>
      </c>
      <c r="G39" t="s">
        <v>169</v>
      </c>
      <c r="H39" t="s">
        <v>215</v>
      </c>
    </row>
    <row r="40" spans="1:8" x14ac:dyDescent="0.25">
      <c r="A40" t="s">
        <v>228</v>
      </c>
      <c r="B40" t="s">
        <v>259</v>
      </c>
      <c r="C40" t="s">
        <v>262</v>
      </c>
      <c r="D40" t="s">
        <v>263</v>
      </c>
      <c r="E40" t="s">
        <v>222</v>
      </c>
      <c r="F40" t="s">
        <v>173</v>
      </c>
      <c r="G40" t="s">
        <v>169</v>
      </c>
      <c r="H40" t="s">
        <v>213</v>
      </c>
    </row>
    <row r="41" spans="1:8" x14ac:dyDescent="0.25">
      <c r="A41" t="s">
        <v>229</v>
      </c>
      <c r="B41" t="s">
        <v>244</v>
      </c>
      <c r="C41" t="s">
        <v>427</v>
      </c>
      <c r="D41" t="s">
        <v>428</v>
      </c>
      <c r="E41" t="s">
        <v>222</v>
      </c>
      <c r="F41" t="s">
        <v>23</v>
      </c>
      <c r="G41" t="s">
        <v>169</v>
      </c>
      <c r="H41" t="s">
        <v>212</v>
      </c>
    </row>
    <row r="42" spans="1:8" x14ac:dyDescent="0.25">
      <c r="A42" t="s">
        <v>224</v>
      </c>
      <c r="B42" t="s">
        <v>392</v>
      </c>
      <c r="C42" t="s">
        <v>794</v>
      </c>
      <c r="D42" t="s">
        <v>795</v>
      </c>
      <c r="E42" t="s">
        <v>222</v>
      </c>
      <c r="F42" t="s">
        <v>173</v>
      </c>
      <c r="G42" t="s">
        <v>169</v>
      </c>
      <c r="H42" t="s">
        <v>213</v>
      </c>
    </row>
    <row r="43" spans="1:8" x14ac:dyDescent="0.25">
      <c r="A43" t="s">
        <v>470</v>
      </c>
      <c r="B43" t="s">
        <v>856</v>
      </c>
      <c r="C43" t="s">
        <v>857</v>
      </c>
      <c r="D43" t="s">
        <v>858</v>
      </c>
      <c r="E43" t="s">
        <v>222</v>
      </c>
      <c r="F43" t="s">
        <v>169</v>
      </c>
      <c r="G43" t="s">
        <v>23</v>
      </c>
      <c r="H43" t="s">
        <v>212</v>
      </c>
    </row>
    <row r="44" spans="1:8" x14ac:dyDescent="0.25">
      <c r="A44" t="s">
        <v>223</v>
      </c>
      <c r="B44" t="s">
        <v>696</v>
      </c>
      <c r="C44" t="s">
        <v>859</v>
      </c>
      <c r="D44" t="s">
        <v>860</v>
      </c>
      <c r="E44" t="s">
        <v>222</v>
      </c>
      <c r="F44" t="s">
        <v>23</v>
      </c>
      <c r="G44" t="s">
        <v>169</v>
      </c>
      <c r="H44" t="s">
        <v>210</v>
      </c>
    </row>
    <row r="45" spans="1:8" x14ac:dyDescent="0.25">
      <c r="A45" t="s">
        <v>219</v>
      </c>
      <c r="B45" t="s">
        <v>535</v>
      </c>
      <c r="C45" t="s">
        <v>771</v>
      </c>
      <c r="D45" t="s">
        <v>772</v>
      </c>
      <c r="E45" t="s">
        <v>222</v>
      </c>
      <c r="F45" t="s">
        <v>172</v>
      </c>
      <c r="G45" t="s">
        <v>169</v>
      </c>
      <c r="H45" t="s">
        <v>215</v>
      </c>
    </row>
    <row r="46" spans="1:8" x14ac:dyDescent="0.25">
      <c r="A46" t="s">
        <v>270</v>
      </c>
      <c r="B46" t="s">
        <v>393</v>
      </c>
      <c r="C46" t="s">
        <v>264</v>
      </c>
      <c r="D46" t="s">
        <v>265</v>
      </c>
      <c r="E46" t="s">
        <v>222</v>
      </c>
      <c r="F46" t="s">
        <v>173</v>
      </c>
      <c r="G46" t="s">
        <v>169</v>
      </c>
      <c r="H46" t="s">
        <v>213</v>
      </c>
    </row>
    <row r="47" spans="1:8" x14ac:dyDescent="0.25">
      <c r="A47" t="s">
        <v>254</v>
      </c>
      <c r="B47" t="s">
        <v>426</v>
      </c>
      <c r="C47" t="s">
        <v>430</v>
      </c>
      <c r="D47" t="s">
        <v>431</v>
      </c>
      <c r="E47" t="s">
        <v>222</v>
      </c>
      <c r="F47" t="s">
        <v>173</v>
      </c>
      <c r="G47" t="s">
        <v>169</v>
      </c>
      <c r="H47" t="s">
        <v>212</v>
      </c>
    </row>
    <row r="48" spans="1:8" x14ac:dyDescent="0.25">
      <c r="A48" t="s">
        <v>234</v>
      </c>
      <c r="B48" t="s">
        <v>861</v>
      </c>
      <c r="C48" t="s">
        <v>862</v>
      </c>
      <c r="D48" t="s">
        <v>863</v>
      </c>
      <c r="E48" t="s">
        <v>222</v>
      </c>
      <c r="F48" t="s">
        <v>169</v>
      </c>
      <c r="G48" t="s">
        <v>23</v>
      </c>
      <c r="H48" t="s">
        <v>212</v>
      </c>
    </row>
    <row r="49" spans="1:8" x14ac:dyDescent="0.25">
      <c r="A49" t="s">
        <v>473</v>
      </c>
      <c r="B49" t="s">
        <v>575</v>
      </c>
      <c r="C49" t="s">
        <v>864</v>
      </c>
      <c r="D49" t="s">
        <v>865</v>
      </c>
      <c r="E49" t="s">
        <v>222</v>
      </c>
      <c r="F49" t="s">
        <v>23</v>
      </c>
      <c r="G49" t="s">
        <v>169</v>
      </c>
      <c r="H49" t="s">
        <v>210</v>
      </c>
    </row>
    <row r="50" spans="1:8" x14ac:dyDescent="0.25">
      <c r="A50" t="s">
        <v>231</v>
      </c>
      <c r="B50" t="s">
        <v>259</v>
      </c>
      <c r="C50" t="s">
        <v>394</v>
      </c>
      <c r="D50" t="s">
        <v>395</v>
      </c>
      <c r="E50" t="s">
        <v>222</v>
      </c>
      <c r="F50" t="s">
        <v>173</v>
      </c>
      <c r="G50" t="s">
        <v>169</v>
      </c>
      <c r="H50" t="s">
        <v>232</v>
      </c>
    </row>
    <row r="51" spans="1:8" x14ac:dyDescent="0.25">
      <c r="A51" t="s">
        <v>216</v>
      </c>
      <c r="B51" t="s">
        <v>429</v>
      </c>
      <c r="C51" t="s">
        <v>433</v>
      </c>
      <c r="D51" t="s">
        <v>434</v>
      </c>
      <c r="E51" t="s">
        <v>222</v>
      </c>
      <c r="F51" t="s">
        <v>173</v>
      </c>
      <c r="G51" t="s">
        <v>169</v>
      </c>
      <c r="H51" t="s">
        <v>212</v>
      </c>
    </row>
    <row r="52" spans="1:8" x14ac:dyDescent="0.25">
      <c r="A52" t="s">
        <v>221</v>
      </c>
      <c r="B52" t="s">
        <v>432</v>
      </c>
      <c r="C52" t="s">
        <v>433</v>
      </c>
      <c r="D52" t="s">
        <v>434</v>
      </c>
      <c r="E52" t="s">
        <v>222</v>
      </c>
      <c r="F52" t="s">
        <v>173</v>
      </c>
      <c r="G52" t="s">
        <v>169</v>
      </c>
      <c r="H52" t="s">
        <v>212</v>
      </c>
    </row>
    <row r="53" spans="1:8" x14ac:dyDescent="0.25">
      <c r="A53" t="s">
        <v>235</v>
      </c>
      <c r="B53" t="s">
        <v>866</v>
      </c>
      <c r="C53" t="s">
        <v>867</v>
      </c>
      <c r="D53" t="s">
        <v>868</v>
      </c>
      <c r="E53" t="s">
        <v>222</v>
      </c>
      <c r="F53" t="s">
        <v>169</v>
      </c>
      <c r="G53" t="s">
        <v>23</v>
      </c>
      <c r="H53" t="s">
        <v>212</v>
      </c>
    </row>
    <row r="54" spans="1:8" x14ac:dyDescent="0.25">
      <c r="A54" t="s">
        <v>272</v>
      </c>
      <c r="B54" t="s">
        <v>535</v>
      </c>
      <c r="C54" t="s">
        <v>942</v>
      </c>
      <c r="D54" t="s">
        <v>943</v>
      </c>
      <c r="E54" t="s">
        <v>222</v>
      </c>
      <c r="F54" t="s">
        <v>172</v>
      </c>
      <c r="G54" t="s">
        <v>169</v>
      </c>
      <c r="H54" t="s">
        <v>215</v>
      </c>
    </row>
    <row r="55" spans="1:8" x14ac:dyDescent="0.25">
      <c r="A55" t="s">
        <v>233</v>
      </c>
      <c r="B55" t="s">
        <v>396</v>
      </c>
      <c r="C55" t="s">
        <v>397</v>
      </c>
      <c r="D55" t="s">
        <v>398</v>
      </c>
      <c r="E55" t="s">
        <v>222</v>
      </c>
      <c r="F55" t="s">
        <v>173</v>
      </c>
      <c r="G55" t="s">
        <v>169</v>
      </c>
      <c r="H55" t="s">
        <v>212</v>
      </c>
    </row>
    <row r="56" spans="1:8" x14ac:dyDescent="0.25">
      <c r="A56" t="s">
        <v>225</v>
      </c>
      <c r="B56" t="s">
        <v>432</v>
      </c>
      <c r="C56" t="s">
        <v>796</v>
      </c>
      <c r="D56" t="s">
        <v>797</v>
      </c>
      <c r="E56" t="s">
        <v>222</v>
      </c>
      <c r="F56" t="s">
        <v>173</v>
      </c>
      <c r="G56" t="s">
        <v>169</v>
      </c>
      <c r="H56" t="s">
        <v>212</v>
      </c>
    </row>
    <row r="57" spans="1:8" x14ac:dyDescent="0.25">
      <c r="A57" t="s">
        <v>211</v>
      </c>
      <c r="B57" t="s">
        <v>399</v>
      </c>
      <c r="C57" t="s">
        <v>944</v>
      </c>
      <c r="D57" t="s">
        <v>945</v>
      </c>
      <c r="E57" t="s">
        <v>222</v>
      </c>
      <c r="F57" t="s">
        <v>173</v>
      </c>
      <c r="G57" t="s">
        <v>169</v>
      </c>
      <c r="H57" t="s">
        <v>212</v>
      </c>
    </row>
    <row r="58" spans="1:8" x14ac:dyDescent="0.25">
      <c r="A58" t="s">
        <v>221</v>
      </c>
      <c r="B58" t="s">
        <v>798</v>
      </c>
      <c r="C58" t="s">
        <v>799</v>
      </c>
      <c r="D58" t="s">
        <v>800</v>
      </c>
      <c r="E58" t="s">
        <v>222</v>
      </c>
      <c r="F58" t="s">
        <v>173</v>
      </c>
      <c r="G58" t="s">
        <v>169</v>
      </c>
      <c r="H58" t="s">
        <v>212</v>
      </c>
    </row>
    <row r="59" spans="1:8" x14ac:dyDescent="0.25">
      <c r="A59" t="s">
        <v>248</v>
      </c>
      <c r="B59" t="s">
        <v>247</v>
      </c>
      <c r="C59" t="s">
        <v>400</v>
      </c>
      <c r="D59" t="s">
        <v>401</v>
      </c>
      <c r="E59" t="s">
        <v>222</v>
      </c>
      <c r="F59" t="s">
        <v>23</v>
      </c>
      <c r="G59" t="s">
        <v>169</v>
      </c>
      <c r="H59" t="s">
        <v>213</v>
      </c>
    </row>
    <row r="60" spans="1:8" x14ac:dyDescent="0.25">
      <c r="A60" t="s">
        <v>372</v>
      </c>
      <c r="B60" t="s">
        <v>446</v>
      </c>
      <c r="C60" t="s">
        <v>801</v>
      </c>
      <c r="D60" t="s">
        <v>802</v>
      </c>
      <c r="E60" t="s">
        <v>222</v>
      </c>
      <c r="F60" t="s">
        <v>173</v>
      </c>
      <c r="G60" t="s">
        <v>169</v>
      </c>
      <c r="H60" t="s">
        <v>212</v>
      </c>
    </row>
    <row r="61" spans="1:8" x14ac:dyDescent="0.25">
      <c r="A61" t="s">
        <v>307</v>
      </c>
      <c r="B61" t="s">
        <v>323</v>
      </c>
      <c r="C61" t="s">
        <v>402</v>
      </c>
      <c r="D61" t="s">
        <v>403</v>
      </c>
      <c r="E61" t="s">
        <v>222</v>
      </c>
      <c r="F61" t="s">
        <v>173</v>
      </c>
      <c r="G61" t="s">
        <v>169</v>
      </c>
      <c r="H61" t="s">
        <v>213</v>
      </c>
    </row>
    <row r="62" spans="1:8" x14ac:dyDescent="0.25">
      <c r="A62" t="s">
        <v>229</v>
      </c>
      <c r="B62" t="s">
        <v>284</v>
      </c>
      <c r="C62" t="s">
        <v>803</v>
      </c>
      <c r="D62" t="s">
        <v>804</v>
      </c>
      <c r="E62" t="s">
        <v>222</v>
      </c>
      <c r="F62" t="s">
        <v>23</v>
      </c>
      <c r="G62" t="s">
        <v>169</v>
      </c>
      <c r="H62" t="s">
        <v>212</v>
      </c>
    </row>
    <row r="63" spans="1:8" x14ac:dyDescent="0.25">
      <c r="A63" t="s">
        <v>224</v>
      </c>
      <c r="B63" t="s">
        <v>404</v>
      </c>
      <c r="C63" t="s">
        <v>405</v>
      </c>
      <c r="D63" t="s">
        <v>406</v>
      </c>
      <c r="E63" t="s">
        <v>222</v>
      </c>
      <c r="F63" t="s">
        <v>173</v>
      </c>
      <c r="G63" t="s">
        <v>169</v>
      </c>
      <c r="H63" t="s">
        <v>213</v>
      </c>
    </row>
    <row r="64" spans="1:8" x14ac:dyDescent="0.25">
      <c r="A64" t="s">
        <v>254</v>
      </c>
      <c r="B64" t="s">
        <v>805</v>
      </c>
      <c r="C64" t="s">
        <v>806</v>
      </c>
      <c r="D64" t="s">
        <v>807</v>
      </c>
      <c r="E64" t="s">
        <v>222</v>
      </c>
      <c r="F64" t="s">
        <v>173</v>
      </c>
      <c r="G64" t="s">
        <v>169</v>
      </c>
      <c r="H64" t="s">
        <v>212</v>
      </c>
    </row>
    <row r="65" spans="1:8" x14ac:dyDescent="0.25">
      <c r="A65" t="s">
        <v>270</v>
      </c>
      <c r="B65" t="s">
        <v>407</v>
      </c>
      <c r="C65" t="s">
        <v>408</v>
      </c>
      <c r="D65" t="s">
        <v>808</v>
      </c>
      <c r="E65" t="s">
        <v>222</v>
      </c>
      <c r="F65" t="s">
        <v>173</v>
      </c>
      <c r="G65" t="s">
        <v>169</v>
      </c>
      <c r="H65" t="s">
        <v>213</v>
      </c>
    </row>
    <row r="66" spans="1:8" x14ac:dyDescent="0.25">
      <c r="A66" t="s">
        <v>216</v>
      </c>
      <c r="B66" t="s">
        <v>809</v>
      </c>
      <c r="C66" t="s">
        <v>810</v>
      </c>
      <c r="D66" t="s">
        <v>811</v>
      </c>
      <c r="E66" t="s">
        <v>222</v>
      </c>
      <c r="F66" t="s">
        <v>173</v>
      </c>
      <c r="G66" t="s">
        <v>169</v>
      </c>
      <c r="H66" t="s">
        <v>212</v>
      </c>
    </row>
    <row r="67" spans="1:8" x14ac:dyDescent="0.25">
      <c r="A67" t="s">
        <v>231</v>
      </c>
      <c r="B67" t="s">
        <v>409</v>
      </c>
      <c r="C67" t="s">
        <v>410</v>
      </c>
      <c r="D67" t="s">
        <v>411</v>
      </c>
      <c r="E67" t="s">
        <v>222</v>
      </c>
      <c r="F67" t="s">
        <v>173</v>
      </c>
      <c r="G67" t="s">
        <v>169</v>
      </c>
      <c r="H67" t="s">
        <v>212</v>
      </c>
    </row>
    <row r="68" spans="1:8" x14ac:dyDescent="0.25">
      <c r="A68" t="s">
        <v>233</v>
      </c>
      <c r="B68" t="s">
        <v>412</v>
      </c>
      <c r="C68" t="s">
        <v>413</v>
      </c>
      <c r="D68" t="s">
        <v>414</v>
      </c>
      <c r="E68" t="s">
        <v>222</v>
      </c>
      <c r="F68" t="s">
        <v>173</v>
      </c>
      <c r="G68" t="s">
        <v>169</v>
      </c>
      <c r="H68" t="s">
        <v>212</v>
      </c>
    </row>
    <row r="69" spans="1:8" x14ac:dyDescent="0.25">
      <c r="A69" t="s">
        <v>211</v>
      </c>
      <c r="B69" t="s">
        <v>415</v>
      </c>
      <c r="C69" t="s">
        <v>416</v>
      </c>
      <c r="D69" t="s">
        <v>417</v>
      </c>
      <c r="E69" t="s">
        <v>222</v>
      </c>
      <c r="F69" t="s">
        <v>173</v>
      </c>
      <c r="G69" t="s">
        <v>169</v>
      </c>
      <c r="H69" t="s">
        <v>212</v>
      </c>
    </row>
    <row r="70" spans="1:8" x14ac:dyDescent="0.25">
      <c r="A70" t="s">
        <v>248</v>
      </c>
      <c r="B70" t="s">
        <v>389</v>
      </c>
      <c r="C70" t="s">
        <v>418</v>
      </c>
      <c r="D70" t="s">
        <v>419</v>
      </c>
      <c r="E70" t="s">
        <v>222</v>
      </c>
      <c r="F70" t="s">
        <v>23</v>
      </c>
      <c r="G70" t="s">
        <v>169</v>
      </c>
      <c r="H70" t="s">
        <v>213</v>
      </c>
    </row>
    <row r="71" spans="1:8" x14ac:dyDescent="0.25">
      <c r="A71" t="s">
        <v>307</v>
      </c>
      <c r="B71" t="s">
        <v>420</v>
      </c>
      <c r="C71" t="s">
        <v>421</v>
      </c>
      <c r="D71" t="s">
        <v>812</v>
      </c>
      <c r="E71" t="s">
        <v>222</v>
      </c>
      <c r="F71" t="s">
        <v>173</v>
      </c>
      <c r="G71" t="s">
        <v>169</v>
      </c>
      <c r="H71" t="s">
        <v>213</v>
      </c>
    </row>
    <row r="72" spans="1:8" x14ac:dyDescent="0.25">
      <c r="A72" t="s">
        <v>224</v>
      </c>
      <c r="B72" t="s">
        <v>813</v>
      </c>
      <c r="C72" t="s">
        <v>814</v>
      </c>
      <c r="D72" t="s">
        <v>815</v>
      </c>
      <c r="E72" t="s">
        <v>222</v>
      </c>
      <c r="F72" t="s">
        <v>173</v>
      </c>
      <c r="G72" t="s">
        <v>169</v>
      </c>
      <c r="H72" t="s">
        <v>213</v>
      </c>
    </row>
    <row r="73" spans="1:8" x14ac:dyDescent="0.25">
      <c r="A73" t="s">
        <v>270</v>
      </c>
      <c r="B73" t="s">
        <v>816</v>
      </c>
      <c r="C73" t="s">
        <v>817</v>
      </c>
      <c r="D73" t="s">
        <v>818</v>
      </c>
      <c r="E73" t="s">
        <v>222</v>
      </c>
      <c r="F73" t="s">
        <v>173</v>
      </c>
      <c r="G73" t="s">
        <v>169</v>
      </c>
      <c r="H73" t="s">
        <v>213</v>
      </c>
    </row>
    <row r="74" spans="1:8" x14ac:dyDescent="0.25">
      <c r="A74" t="s">
        <v>231</v>
      </c>
      <c r="B74" t="s">
        <v>819</v>
      </c>
      <c r="C74" t="s">
        <v>820</v>
      </c>
      <c r="D74" t="s">
        <v>821</v>
      </c>
      <c r="E74" t="s">
        <v>222</v>
      </c>
      <c r="F74" t="s">
        <v>173</v>
      </c>
      <c r="G74" t="s">
        <v>169</v>
      </c>
      <c r="H74" t="s">
        <v>212</v>
      </c>
    </row>
    <row r="75" spans="1:8" x14ac:dyDescent="0.25">
      <c r="A75" t="s">
        <v>233</v>
      </c>
      <c r="B75" t="s">
        <v>822</v>
      </c>
      <c r="C75" t="s">
        <v>823</v>
      </c>
      <c r="D75" t="s">
        <v>824</v>
      </c>
      <c r="E75" t="s">
        <v>222</v>
      </c>
      <c r="F75" t="s">
        <v>173</v>
      </c>
      <c r="G75" t="s">
        <v>169</v>
      </c>
      <c r="H75" t="s">
        <v>212</v>
      </c>
    </row>
    <row r="76" spans="1:8" x14ac:dyDescent="0.25">
      <c r="A76" t="s">
        <v>211</v>
      </c>
      <c r="B76" t="s">
        <v>825</v>
      </c>
      <c r="C76" t="s">
        <v>826</v>
      </c>
      <c r="D76" t="s">
        <v>827</v>
      </c>
      <c r="E76" t="s">
        <v>222</v>
      </c>
      <c r="F76" t="s">
        <v>173</v>
      </c>
      <c r="G76" t="s">
        <v>169</v>
      </c>
      <c r="H76" t="s">
        <v>212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05716-6B15-4DD7-B781-BEAD8B8DE8A3}">
  <dimension ref="A1:H6"/>
  <sheetViews>
    <sheetView tabSelected="1" workbookViewId="0">
      <selection activeCell="E18" sqref="E18"/>
    </sheetView>
  </sheetViews>
  <sheetFormatPr defaultRowHeight="15" x14ac:dyDescent="0.25"/>
  <cols>
    <col min="1" max="1" width="19.140625" bestFit="1" customWidth="1"/>
    <col min="2" max="3" width="14.85546875" bestFit="1" customWidth="1"/>
    <col min="4" max="4" width="17.28515625" bestFit="1" customWidth="1"/>
    <col min="5" max="6" width="15.85546875" bestFit="1" customWidth="1"/>
    <col min="7" max="7" width="9.5703125" bestFit="1" customWidth="1"/>
    <col min="8" max="8" width="8.28515625" bestFit="1" customWidth="1"/>
    <col min="9" max="9" width="8.28515625" customWidth="1"/>
  </cols>
  <sheetData>
    <row r="1" spans="1:8" x14ac:dyDescent="0.25">
      <c r="A1" t="s">
        <v>236</v>
      </c>
      <c r="B1" t="s">
        <v>164</v>
      </c>
      <c r="C1" t="s">
        <v>237</v>
      </c>
      <c r="D1" t="s">
        <v>238</v>
      </c>
      <c r="E1" t="s">
        <v>239</v>
      </c>
      <c r="F1" t="s">
        <v>240</v>
      </c>
      <c r="G1" t="s">
        <v>241</v>
      </c>
      <c r="H1" t="s">
        <v>242</v>
      </c>
    </row>
    <row r="2" spans="1:8" x14ac:dyDescent="0.25">
      <c r="A2" t="s">
        <v>214</v>
      </c>
      <c r="B2" s="1">
        <v>45474.416666666664</v>
      </c>
      <c r="C2" s="1">
        <v>45474.416666666664</v>
      </c>
      <c r="D2" s="1">
        <v>45473.333333333336</v>
      </c>
      <c r="E2" s="1">
        <v>45473.416666666664</v>
      </c>
      <c r="F2" s="1">
        <v>45473.916666666664</v>
      </c>
      <c r="G2" t="s">
        <v>14</v>
      </c>
      <c r="H2" t="s">
        <v>243</v>
      </c>
    </row>
    <row r="3" spans="1:8" x14ac:dyDescent="0.25">
      <c r="A3" t="s">
        <v>219</v>
      </c>
      <c r="B3" s="1">
        <v>45474.416666666664</v>
      </c>
      <c r="C3" s="1">
        <v>45474.416666666664</v>
      </c>
      <c r="D3" s="1">
        <v>45473.333333333336</v>
      </c>
      <c r="E3" s="1">
        <v>45473.416666666664</v>
      </c>
      <c r="F3" s="1">
        <v>45473.916666666664</v>
      </c>
      <c r="G3" t="s">
        <v>14</v>
      </c>
      <c r="H3" t="s">
        <v>243</v>
      </c>
    </row>
    <row r="4" spans="1:8" x14ac:dyDescent="0.25">
      <c r="A4" t="s">
        <v>226</v>
      </c>
      <c r="B4" s="1">
        <v>45474.416666666664</v>
      </c>
      <c r="C4" s="1">
        <v>45474.416666666664</v>
      </c>
      <c r="D4" s="1">
        <v>45473.333333333336</v>
      </c>
      <c r="E4" s="1">
        <v>45473.416666666664</v>
      </c>
      <c r="F4" s="1">
        <v>45473.916666666664</v>
      </c>
      <c r="G4" t="s">
        <v>14</v>
      </c>
      <c r="H4" t="s">
        <v>243</v>
      </c>
    </row>
    <row r="5" spans="1:8" x14ac:dyDescent="0.25">
      <c r="A5" t="s">
        <v>214</v>
      </c>
      <c r="B5" s="1">
        <v>45474.416666666664</v>
      </c>
      <c r="C5" s="1">
        <v>45474.416666666664</v>
      </c>
      <c r="D5" s="1">
        <v>45473.333333333336</v>
      </c>
      <c r="E5" s="1">
        <v>45473.416666666664</v>
      </c>
      <c r="F5" s="1">
        <v>45473.916666666664</v>
      </c>
      <c r="G5" t="s">
        <v>14</v>
      </c>
      <c r="H5" t="s">
        <v>243</v>
      </c>
    </row>
    <row r="6" spans="1:8" x14ac:dyDescent="0.25">
      <c r="A6" t="s">
        <v>219</v>
      </c>
      <c r="B6" s="1">
        <v>45474.416666666664</v>
      </c>
      <c r="C6" s="1">
        <v>45474.416666666664</v>
      </c>
      <c r="D6" s="1">
        <v>45473.333333333336</v>
      </c>
      <c r="E6" s="1">
        <v>45473.416666666664</v>
      </c>
      <c r="F6" s="1">
        <v>45473.916666666664</v>
      </c>
      <c r="G6" t="s">
        <v>14</v>
      </c>
      <c r="H6" t="s">
        <v>243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A674-D77B-480E-B559-1F728D3136F2}">
  <sheetPr codeName="Sheet3"/>
  <dimension ref="A1:B11"/>
  <sheetViews>
    <sheetView workbookViewId="0">
      <selection activeCell="F15" sqref="F15"/>
    </sheetView>
  </sheetViews>
  <sheetFormatPr defaultRowHeight="15" x14ac:dyDescent="0.25"/>
  <cols>
    <col min="1" max="1" width="8" bestFit="1" customWidth="1"/>
    <col min="2" max="2" width="10.85546875" bestFit="1" customWidth="1"/>
  </cols>
  <sheetData>
    <row r="1" spans="1:2" x14ac:dyDescent="0.25">
      <c r="A1" t="s">
        <v>40</v>
      </c>
      <c r="B1" t="s">
        <v>41</v>
      </c>
    </row>
    <row r="2" spans="1:2" x14ac:dyDescent="0.25">
      <c r="A2" t="s">
        <v>24</v>
      </c>
      <c r="B2" t="s">
        <v>42</v>
      </c>
    </row>
    <row r="3" spans="1:2" x14ac:dyDescent="0.25">
      <c r="A3" t="s">
        <v>22</v>
      </c>
      <c r="B3" t="s">
        <v>43</v>
      </c>
    </row>
    <row r="4" spans="1:2" x14ac:dyDescent="0.25">
      <c r="A4" t="s">
        <v>29</v>
      </c>
      <c r="B4" t="s">
        <v>44</v>
      </c>
    </row>
    <row r="5" spans="1:2" x14ac:dyDescent="0.25">
      <c r="A5" t="s">
        <v>15</v>
      </c>
      <c r="B5" t="s">
        <v>45</v>
      </c>
    </row>
    <row r="6" spans="1:2" x14ac:dyDescent="0.25">
      <c r="A6" t="s">
        <v>26</v>
      </c>
      <c r="B6" t="s">
        <v>46</v>
      </c>
    </row>
    <row r="7" spans="1:2" x14ac:dyDescent="0.25">
      <c r="A7" t="s">
        <v>18</v>
      </c>
      <c r="B7" t="s">
        <v>18</v>
      </c>
    </row>
    <row r="8" spans="1:2" x14ac:dyDescent="0.25">
      <c r="A8" t="s">
        <v>25</v>
      </c>
      <c r="B8" t="s">
        <v>47</v>
      </c>
    </row>
    <row r="9" spans="1:2" x14ac:dyDescent="0.25">
      <c r="A9" t="s">
        <v>20</v>
      </c>
      <c r="B9" t="s">
        <v>49</v>
      </c>
    </row>
    <row r="10" spans="1:2" x14ac:dyDescent="0.25">
      <c r="A10" t="s">
        <v>37</v>
      </c>
      <c r="B10" t="s">
        <v>52</v>
      </c>
    </row>
    <row r="11" spans="1:2" x14ac:dyDescent="0.25">
      <c r="A11" t="s">
        <v>121</v>
      </c>
      <c r="B11" t="s">
        <v>121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77F1B-4679-4BFD-A762-77361F00DC3B}">
  <sheetPr codeName="Sheet5"/>
  <dimension ref="A1:P453"/>
  <sheetViews>
    <sheetView workbookViewId="0">
      <selection activeCell="A450" sqref="A450"/>
    </sheetView>
  </sheetViews>
  <sheetFormatPr defaultRowHeight="15" x14ac:dyDescent="0.25"/>
  <cols>
    <col min="1" max="1" width="15.85546875" bestFit="1" customWidth="1"/>
    <col min="2" max="2" width="23.85546875" bestFit="1" customWidth="1"/>
    <col min="3" max="3" width="19.28515625" bestFit="1" customWidth="1"/>
    <col min="4" max="4" width="21" bestFit="1" customWidth="1"/>
    <col min="5" max="5" width="20" bestFit="1" customWidth="1"/>
    <col min="6" max="6" width="31.140625" bestFit="1" customWidth="1"/>
    <col min="7" max="7" width="16.42578125" bestFit="1" customWidth="1"/>
    <col min="8" max="9" width="15.85546875" bestFit="1" customWidth="1"/>
    <col min="10" max="10" width="18.42578125" bestFit="1" customWidth="1"/>
    <col min="11" max="11" width="20.5703125" bestFit="1" customWidth="1"/>
    <col min="12" max="12" width="32" bestFit="1" customWidth="1"/>
    <col min="13" max="13" width="28.7109375" bestFit="1" customWidth="1"/>
    <col min="14" max="14" width="18.42578125" bestFit="1" customWidth="1"/>
    <col min="15" max="15" width="21.85546875" bestFit="1" customWidth="1"/>
    <col min="16" max="16" width="19.85546875" bestFit="1" customWidth="1"/>
    <col min="17" max="17" width="18.7109375" bestFit="1" customWidth="1"/>
    <col min="18" max="18" width="7.85546875" bestFit="1" customWidth="1"/>
  </cols>
  <sheetData>
    <row r="1" spans="1:16" x14ac:dyDescent="0.25">
      <c r="A1" t="s">
        <v>74</v>
      </c>
      <c r="B1" t="s">
        <v>0</v>
      </c>
      <c r="C1" t="s">
        <v>1</v>
      </c>
      <c r="D1" t="s">
        <v>2</v>
      </c>
      <c r="E1" t="s">
        <v>50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51</v>
      </c>
      <c r="P1" t="s">
        <v>38</v>
      </c>
    </row>
    <row r="2" spans="1:16" hidden="1" x14ac:dyDescent="0.25">
      <c r="A2" s="1">
        <v>45468.629861111112</v>
      </c>
      <c r="B2" t="s">
        <v>131</v>
      </c>
      <c r="C2" t="s">
        <v>289</v>
      </c>
      <c r="D2" t="s">
        <v>289</v>
      </c>
      <c r="E2" t="s">
        <v>273</v>
      </c>
      <c r="F2" t="s">
        <v>125</v>
      </c>
      <c r="G2" s="1">
        <v>45462.416666666664</v>
      </c>
      <c r="H2" s="1">
        <v>45464.629861111112</v>
      </c>
      <c r="I2" s="1">
        <v>45465.497916666667</v>
      </c>
      <c r="J2" t="s">
        <v>80</v>
      </c>
      <c r="K2" s="1">
        <v>45455.416666666664</v>
      </c>
      <c r="L2" s="1">
        <v>45462.604166666664</v>
      </c>
      <c r="M2" s="1">
        <v>45456.000694444447</v>
      </c>
      <c r="N2" s="1">
        <v>45462.5</v>
      </c>
      <c r="O2" s="1">
        <v>45453.916666666664</v>
      </c>
      <c r="P2" s="1">
        <v>45459.916666666664</v>
      </c>
    </row>
    <row r="3" spans="1:16" hidden="1" x14ac:dyDescent="0.25">
      <c r="A3" s="1">
        <v>45468.629861111112</v>
      </c>
      <c r="B3" t="s">
        <v>326</v>
      </c>
      <c r="C3" t="s">
        <v>283</v>
      </c>
      <c r="D3" t="s">
        <v>247</v>
      </c>
      <c r="E3" t="s">
        <v>42</v>
      </c>
      <c r="F3" t="s">
        <v>14</v>
      </c>
      <c r="G3" s="1">
        <v>45459.291666666664</v>
      </c>
      <c r="H3" s="1">
        <v>45466.612500000003</v>
      </c>
      <c r="I3" s="1">
        <v>45468.401388888888</v>
      </c>
      <c r="J3" t="s">
        <v>17</v>
      </c>
      <c r="K3" s="1">
        <v>45452.291666666664</v>
      </c>
      <c r="L3" s="1">
        <v>45464.583333333336</v>
      </c>
      <c r="M3" s="1">
        <v>45453.000694444447</v>
      </c>
      <c r="N3" s="1">
        <v>45464.625</v>
      </c>
      <c r="O3" s="1">
        <v>45450.791666666664</v>
      </c>
      <c r="P3" s="1">
        <v>45456.791666666664</v>
      </c>
    </row>
    <row r="4" spans="1:16" hidden="1" x14ac:dyDescent="0.25">
      <c r="A4" s="1">
        <v>45468.629861111112</v>
      </c>
      <c r="B4" t="s">
        <v>155</v>
      </c>
      <c r="C4" t="s">
        <v>571</v>
      </c>
      <c r="D4" t="s">
        <v>492</v>
      </c>
      <c r="E4" t="s">
        <v>121</v>
      </c>
      <c r="F4" t="s">
        <v>122</v>
      </c>
      <c r="G4" s="1">
        <v>45464.833333333336</v>
      </c>
      <c r="H4" s="1">
        <v>45464.888888888891</v>
      </c>
      <c r="I4" s="1">
        <v>45466.052083333336</v>
      </c>
      <c r="J4" t="s">
        <v>21</v>
      </c>
      <c r="K4" s="1">
        <v>45457.833333333336</v>
      </c>
      <c r="L4" s="1">
        <v>45462.854166666664</v>
      </c>
      <c r="M4" s="1">
        <v>45458.000694444447</v>
      </c>
      <c r="N4" s="1">
        <v>45463.5</v>
      </c>
      <c r="O4" s="1">
        <v>45454.833333333336</v>
      </c>
      <c r="P4" s="1">
        <v>45462.888888888891</v>
      </c>
    </row>
    <row r="5" spans="1:16" hidden="1" x14ac:dyDescent="0.25">
      <c r="A5" s="1">
        <v>45468.629861111112</v>
      </c>
      <c r="B5" t="s">
        <v>136</v>
      </c>
      <c r="C5" t="s">
        <v>156</v>
      </c>
      <c r="D5" t="s">
        <v>157</v>
      </c>
      <c r="E5" t="s">
        <v>43</v>
      </c>
      <c r="F5" t="s">
        <v>14</v>
      </c>
      <c r="G5" s="1">
        <v>45465.5</v>
      </c>
      <c r="H5" s="1">
        <v>45465.565972222219</v>
      </c>
      <c r="I5" s="1">
        <v>45466.54791666667</v>
      </c>
      <c r="J5" t="s">
        <v>13</v>
      </c>
      <c r="K5" s="1">
        <v>45458.5</v>
      </c>
      <c r="L5" s="1">
        <v>45463.583333333336</v>
      </c>
      <c r="M5" s="1">
        <v>45459.000694444447</v>
      </c>
      <c r="N5" s="1">
        <v>45463.625</v>
      </c>
      <c r="O5" s="1">
        <v>45457</v>
      </c>
      <c r="P5" s="1">
        <v>45463</v>
      </c>
    </row>
    <row r="6" spans="1:16" hidden="1" x14ac:dyDescent="0.25">
      <c r="A6" s="1">
        <v>45468.629861111112</v>
      </c>
      <c r="B6" t="s">
        <v>489</v>
      </c>
      <c r="C6" t="s">
        <v>342</v>
      </c>
      <c r="D6" t="s">
        <v>342</v>
      </c>
      <c r="E6" t="s">
        <v>436</v>
      </c>
      <c r="F6" t="s">
        <v>75</v>
      </c>
      <c r="G6" s="1">
        <v>45463.541666666664</v>
      </c>
      <c r="H6" s="1">
        <v>45465.03125</v>
      </c>
      <c r="I6" s="1">
        <v>45466.274305555555</v>
      </c>
      <c r="J6" t="s">
        <v>13</v>
      </c>
      <c r="K6" s="1">
        <v>45456.541666666664</v>
      </c>
      <c r="L6" s="1">
        <v>45463.010416666664</v>
      </c>
      <c r="M6" s="1">
        <v>45457.000694444447</v>
      </c>
      <c r="N6" s="1">
        <v>45462.5</v>
      </c>
      <c r="O6" s="1">
        <v>45455.041666666664</v>
      </c>
      <c r="P6" s="1">
        <v>45461.041666666664</v>
      </c>
    </row>
    <row r="7" spans="1:16" hidden="1" x14ac:dyDescent="0.25">
      <c r="A7" s="1">
        <v>45468.629861111112</v>
      </c>
      <c r="B7" t="s">
        <v>357</v>
      </c>
      <c r="C7" t="s">
        <v>284</v>
      </c>
      <c r="D7" t="s">
        <v>255</v>
      </c>
      <c r="E7" t="s">
        <v>45</v>
      </c>
      <c r="F7" t="s">
        <v>173</v>
      </c>
      <c r="G7" s="1">
        <v>45467.208333333336</v>
      </c>
      <c r="H7" s="1">
        <v>45468.475694444445</v>
      </c>
      <c r="I7" s="1">
        <v>45468.979166666664</v>
      </c>
      <c r="J7" t="s">
        <v>21</v>
      </c>
      <c r="K7" s="1">
        <v>45460.208333333336</v>
      </c>
      <c r="L7" s="1">
        <v>45466.4375</v>
      </c>
      <c r="M7" s="1">
        <v>45461.000694444447</v>
      </c>
      <c r="N7" s="1">
        <v>45466.625</v>
      </c>
      <c r="O7" s="1">
        <v>45458.708333333336</v>
      </c>
      <c r="P7" s="1">
        <v>45464.708333333336</v>
      </c>
    </row>
    <row r="8" spans="1:16" hidden="1" x14ac:dyDescent="0.25">
      <c r="A8" s="1">
        <v>45468.629861111112</v>
      </c>
      <c r="B8" t="s">
        <v>490</v>
      </c>
      <c r="C8" t="s">
        <v>386</v>
      </c>
      <c r="D8" t="s">
        <v>471</v>
      </c>
      <c r="E8" t="s">
        <v>78</v>
      </c>
      <c r="F8" t="s">
        <v>13</v>
      </c>
      <c r="G8" s="1">
        <v>45466</v>
      </c>
      <c r="H8" s="1">
        <v>45466.378472222219</v>
      </c>
      <c r="I8" s="1">
        <v>45468.364583333336</v>
      </c>
      <c r="J8" t="s">
        <v>14</v>
      </c>
      <c r="K8" s="1">
        <v>45459</v>
      </c>
      <c r="L8" s="1">
        <v>45464.322916666664</v>
      </c>
      <c r="M8" s="1">
        <v>45460.000694444447</v>
      </c>
      <c r="N8" s="1">
        <v>45464.5</v>
      </c>
      <c r="O8" s="1">
        <v>45456.5</v>
      </c>
      <c r="P8" s="1">
        <v>45462.5</v>
      </c>
    </row>
    <row r="9" spans="1:16" hidden="1" x14ac:dyDescent="0.25">
      <c r="A9" s="1">
        <v>45468.629861111112</v>
      </c>
      <c r="B9" t="s">
        <v>545</v>
      </c>
      <c r="C9" t="s">
        <v>546</v>
      </c>
      <c r="D9" t="s">
        <v>546</v>
      </c>
      <c r="E9" t="s">
        <v>18</v>
      </c>
      <c r="F9" t="s">
        <v>19</v>
      </c>
      <c r="G9" s="1">
        <v>45468.916666666664</v>
      </c>
      <c r="H9" s="1">
        <v>45469.229166666664</v>
      </c>
      <c r="I9" s="1">
        <v>45470.15625</v>
      </c>
      <c r="J9" t="s">
        <v>80</v>
      </c>
      <c r="K9" s="1">
        <v>45461.916666666664</v>
      </c>
      <c r="L9" s="1">
        <v>45467.229166666664</v>
      </c>
      <c r="M9" s="1">
        <v>45462.000694444447</v>
      </c>
      <c r="N9" s="1">
        <v>45467.625</v>
      </c>
      <c r="O9" s="1">
        <v>45460.416666666664</v>
      </c>
      <c r="P9" s="1">
        <v>45466.416666666664</v>
      </c>
    </row>
    <row r="10" spans="1:16" hidden="1" x14ac:dyDescent="0.25">
      <c r="A10" s="1">
        <v>45468.629861111112</v>
      </c>
      <c r="B10" t="s">
        <v>454</v>
      </c>
      <c r="C10" t="s">
        <v>455</v>
      </c>
      <c r="D10" t="s">
        <v>456</v>
      </c>
      <c r="E10" t="s">
        <v>79</v>
      </c>
      <c r="F10" t="s">
        <v>217</v>
      </c>
      <c r="G10" s="1">
        <v>45468</v>
      </c>
      <c r="H10" s="1">
        <v>45468.458333333336</v>
      </c>
      <c r="I10" s="1">
        <v>45469.1875</v>
      </c>
      <c r="J10" t="s">
        <v>16</v>
      </c>
      <c r="K10" s="1">
        <v>45461</v>
      </c>
      <c r="L10" s="1">
        <v>45466.458333333336</v>
      </c>
      <c r="M10" s="1">
        <v>45462.000694444447</v>
      </c>
      <c r="N10" s="1">
        <v>45465.625</v>
      </c>
      <c r="O10" s="1">
        <v>45459.5</v>
      </c>
      <c r="P10" s="1">
        <v>45465.5</v>
      </c>
    </row>
    <row r="11" spans="1:16" hidden="1" x14ac:dyDescent="0.25">
      <c r="A11" s="1">
        <v>45468.629861111112</v>
      </c>
      <c r="B11" t="s">
        <v>64</v>
      </c>
      <c r="C11" t="s">
        <v>329</v>
      </c>
      <c r="D11" t="s">
        <v>330</v>
      </c>
      <c r="E11" t="s">
        <v>52</v>
      </c>
      <c r="G11" s="1">
        <v>45468.333333333336</v>
      </c>
      <c r="H11" s="1">
        <v>45469.427083333336</v>
      </c>
      <c r="I11" s="1">
        <v>45469.958333333336</v>
      </c>
      <c r="J11" t="s">
        <v>23</v>
      </c>
      <c r="K11" s="1">
        <v>45461.333333333336</v>
      </c>
      <c r="L11" s="1">
        <v>45467.427083333336</v>
      </c>
      <c r="M11" s="1">
        <v>45462.000694444447</v>
      </c>
      <c r="N11" s="1">
        <v>45467.5</v>
      </c>
      <c r="O11" s="1">
        <v>45459.833333333336</v>
      </c>
      <c r="P11" s="1">
        <v>45465.833333333336</v>
      </c>
    </row>
    <row r="12" spans="1:16" hidden="1" x14ac:dyDescent="0.25">
      <c r="A12" s="1">
        <v>45468.629861111112</v>
      </c>
      <c r="B12" t="s">
        <v>249</v>
      </c>
      <c r="C12" t="s">
        <v>493</v>
      </c>
      <c r="D12" t="s">
        <v>493</v>
      </c>
      <c r="E12" t="s">
        <v>246</v>
      </c>
      <c r="F12" t="s">
        <v>23</v>
      </c>
      <c r="G12" s="1">
        <v>45466.291666666664</v>
      </c>
      <c r="H12" s="1">
        <v>45469.020833333336</v>
      </c>
      <c r="I12" s="1">
        <v>45469.385416666664</v>
      </c>
      <c r="J12" t="s">
        <v>76</v>
      </c>
      <c r="K12" s="1">
        <v>45459.291666666664</v>
      </c>
      <c r="L12" s="1">
        <v>45467.020833333336</v>
      </c>
      <c r="M12" s="1">
        <v>45460.000694444447</v>
      </c>
      <c r="N12" s="1">
        <v>45465.708333333336</v>
      </c>
      <c r="O12" s="1">
        <v>45456.291666666664</v>
      </c>
      <c r="P12" s="1">
        <v>45467.020833333336</v>
      </c>
    </row>
    <row r="13" spans="1:16" hidden="1" x14ac:dyDescent="0.25">
      <c r="A13" s="1">
        <v>45468.629861111112</v>
      </c>
      <c r="B13" t="s">
        <v>141</v>
      </c>
      <c r="C13" t="s">
        <v>358</v>
      </c>
      <c r="D13" t="s">
        <v>358</v>
      </c>
      <c r="E13" t="s">
        <v>732</v>
      </c>
      <c r="F13" t="s">
        <v>125</v>
      </c>
      <c r="G13" s="1">
        <v>45468.5</v>
      </c>
      <c r="H13" s="1">
        <v>45470</v>
      </c>
      <c r="I13" s="1">
        <v>45470.833333333336</v>
      </c>
      <c r="J13" t="s">
        <v>17</v>
      </c>
      <c r="K13" s="1">
        <v>45461.5</v>
      </c>
      <c r="L13" s="1">
        <v>45468</v>
      </c>
      <c r="M13" s="1">
        <v>45462.000694444447</v>
      </c>
      <c r="N13" s="1">
        <v>45467.625</v>
      </c>
      <c r="O13" s="1">
        <v>45460</v>
      </c>
      <c r="P13" s="1">
        <v>45466</v>
      </c>
    </row>
    <row r="14" spans="1:16" hidden="1" x14ac:dyDescent="0.25">
      <c r="A14" s="1">
        <v>45468.629861111112</v>
      </c>
      <c r="B14" t="s">
        <v>435</v>
      </c>
      <c r="C14" t="s">
        <v>322</v>
      </c>
      <c r="D14" t="s">
        <v>322</v>
      </c>
      <c r="E14" t="s">
        <v>273</v>
      </c>
      <c r="F14" t="s">
        <v>125</v>
      </c>
      <c r="G14" s="1">
        <v>45469.416666666664</v>
      </c>
      <c r="H14" s="1">
        <v>45470.197916666664</v>
      </c>
      <c r="I14" s="1">
        <v>45470.916666666664</v>
      </c>
      <c r="J14" t="s">
        <v>80</v>
      </c>
      <c r="K14" s="1">
        <v>45462.416666666664</v>
      </c>
      <c r="L14" s="1">
        <v>45468.197916666664</v>
      </c>
      <c r="M14" s="1">
        <v>45463.000694444447</v>
      </c>
      <c r="N14" s="1">
        <v>45468.625</v>
      </c>
      <c r="O14" s="1">
        <v>45460.916666666664</v>
      </c>
      <c r="P14" s="1">
        <v>45466.916666666664</v>
      </c>
    </row>
    <row r="15" spans="1:16" hidden="1" x14ac:dyDescent="0.25">
      <c r="A15" s="1">
        <v>45468.629861111112</v>
      </c>
      <c r="B15" t="s">
        <v>569</v>
      </c>
      <c r="C15" t="s">
        <v>386</v>
      </c>
      <c r="D15" t="s">
        <v>386</v>
      </c>
      <c r="E15" t="s">
        <v>436</v>
      </c>
      <c r="F15" t="s">
        <v>75</v>
      </c>
      <c r="G15" s="1">
        <v>45470.541666666664</v>
      </c>
      <c r="H15" s="1">
        <v>45470.875</v>
      </c>
      <c r="I15" s="1">
        <v>45471.46875</v>
      </c>
      <c r="J15" t="s">
        <v>13</v>
      </c>
      <c r="K15" s="1">
        <v>45463.541666666664</v>
      </c>
      <c r="L15" s="1">
        <v>45468.875</v>
      </c>
      <c r="M15" s="1">
        <v>45464.000694444447</v>
      </c>
      <c r="N15" s="1">
        <v>45469.5</v>
      </c>
      <c r="O15" s="1">
        <v>45462.041666666664</v>
      </c>
      <c r="P15" s="1">
        <v>45468.041666666664</v>
      </c>
    </row>
    <row r="16" spans="1:16" hidden="1" x14ac:dyDescent="0.25">
      <c r="A16" s="1">
        <v>45468.629861111112</v>
      </c>
      <c r="B16" t="s">
        <v>192</v>
      </c>
      <c r="C16" t="s">
        <v>282</v>
      </c>
      <c r="D16" t="s">
        <v>320</v>
      </c>
      <c r="E16" t="s">
        <v>46</v>
      </c>
      <c r="F16" t="s">
        <v>13</v>
      </c>
      <c r="G16" s="1">
        <v>45470</v>
      </c>
      <c r="H16" s="1">
        <v>45470.958333333336</v>
      </c>
      <c r="I16" s="1">
        <v>45472</v>
      </c>
      <c r="J16" t="s">
        <v>27</v>
      </c>
      <c r="K16" s="1">
        <v>45463</v>
      </c>
      <c r="L16" s="1">
        <v>45468.958333333336</v>
      </c>
      <c r="M16" s="1">
        <v>45464.000694444447</v>
      </c>
      <c r="N16" s="1">
        <v>45468.625</v>
      </c>
      <c r="O16" s="1">
        <v>45461.5</v>
      </c>
      <c r="P16" s="1">
        <v>45467.5</v>
      </c>
    </row>
    <row r="17" spans="1:16" hidden="1" x14ac:dyDescent="0.25">
      <c r="A17" s="1">
        <v>45468.629861111112</v>
      </c>
      <c r="B17" t="s">
        <v>65</v>
      </c>
      <c r="C17" t="s">
        <v>362</v>
      </c>
      <c r="D17" t="s">
        <v>363</v>
      </c>
      <c r="E17" t="s">
        <v>44</v>
      </c>
      <c r="F17" t="s">
        <v>30</v>
      </c>
      <c r="G17" s="1">
        <v>45467.25</v>
      </c>
      <c r="H17" s="1">
        <v>45471.5</v>
      </c>
      <c r="I17" s="1">
        <v>45471.979166666664</v>
      </c>
      <c r="J17" t="s">
        <v>13</v>
      </c>
      <c r="K17" s="1">
        <v>45460.25</v>
      </c>
      <c r="L17" s="1">
        <v>45469.5</v>
      </c>
      <c r="M17" s="1">
        <v>45461.000694444447</v>
      </c>
      <c r="N17" s="1">
        <v>45469.416666666664</v>
      </c>
      <c r="O17" s="1">
        <v>45458.75</v>
      </c>
      <c r="P17" s="1">
        <v>45464.75</v>
      </c>
    </row>
    <row r="18" spans="1:16" hidden="1" x14ac:dyDescent="0.25">
      <c r="A18" s="1">
        <v>45468.629861111112</v>
      </c>
      <c r="B18" t="s">
        <v>624</v>
      </c>
      <c r="C18" t="s">
        <v>625</v>
      </c>
      <c r="D18" t="s">
        <v>625</v>
      </c>
      <c r="E18" t="s">
        <v>246</v>
      </c>
      <c r="G18" s="1">
        <v>45471.291666666664</v>
      </c>
      <c r="H18" s="1">
        <v>45471.666666666664</v>
      </c>
      <c r="I18" s="1">
        <v>45471.875</v>
      </c>
      <c r="J18" t="s">
        <v>76</v>
      </c>
      <c r="K18" s="1">
        <v>45464.291666666664</v>
      </c>
      <c r="L18" s="1">
        <v>45469.666666666664</v>
      </c>
      <c r="M18" s="1">
        <v>45465.000694444447</v>
      </c>
      <c r="N18" s="1">
        <v>45468.666666666664</v>
      </c>
      <c r="O18" s="1">
        <v>45462.791666666664</v>
      </c>
      <c r="P18" s="1">
        <v>45468.791666666664</v>
      </c>
    </row>
    <row r="19" spans="1:16" hidden="1" x14ac:dyDescent="0.25">
      <c r="A19" s="1">
        <v>45468.629861111112</v>
      </c>
      <c r="B19" t="s">
        <v>63</v>
      </c>
      <c r="C19" t="s">
        <v>156</v>
      </c>
      <c r="D19" t="s">
        <v>157</v>
      </c>
      <c r="E19" t="s">
        <v>43</v>
      </c>
      <c r="F19" t="s">
        <v>14</v>
      </c>
      <c r="G19" s="1">
        <v>45473</v>
      </c>
      <c r="H19" s="1">
        <v>45471.916666666664</v>
      </c>
      <c r="I19" s="1">
        <v>45472.583333333336</v>
      </c>
      <c r="J19" t="s">
        <v>13</v>
      </c>
      <c r="K19" s="1">
        <v>45466</v>
      </c>
      <c r="L19" s="1">
        <v>45469.916666666664</v>
      </c>
      <c r="M19" s="1">
        <v>45467.000694444447</v>
      </c>
      <c r="N19" s="1">
        <v>45470.625</v>
      </c>
      <c r="O19" s="1">
        <v>45464.5</v>
      </c>
      <c r="P19" s="1">
        <v>45470.5</v>
      </c>
    </row>
    <row r="20" spans="1:16" hidden="1" x14ac:dyDescent="0.25">
      <c r="A20" s="1">
        <v>45468.629861111112</v>
      </c>
      <c r="B20" t="s">
        <v>634</v>
      </c>
      <c r="C20" t="s">
        <v>467</v>
      </c>
      <c r="D20" t="s">
        <v>472</v>
      </c>
      <c r="E20" t="s">
        <v>78</v>
      </c>
      <c r="F20" t="s">
        <v>13</v>
      </c>
      <c r="G20" s="1">
        <v>45472.75</v>
      </c>
      <c r="H20" s="1">
        <v>45472.770833333336</v>
      </c>
      <c r="I20" s="1">
        <v>45474.333333333336</v>
      </c>
      <c r="J20" t="s">
        <v>14</v>
      </c>
      <c r="K20" s="1">
        <v>45465.75</v>
      </c>
      <c r="L20" s="1">
        <v>45470.770833333336</v>
      </c>
      <c r="M20" s="1">
        <v>45466.000694444447</v>
      </c>
      <c r="N20" s="1">
        <v>45471.625</v>
      </c>
      <c r="O20" s="1">
        <v>45463.25</v>
      </c>
      <c r="P20" s="1">
        <v>45469.25</v>
      </c>
    </row>
    <row r="21" spans="1:16" hidden="1" x14ac:dyDescent="0.25">
      <c r="A21" s="1">
        <v>45468.629861111112</v>
      </c>
      <c r="B21" t="s">
        <v>152</v>
      </c>
      <c r="C21" t="s">
        <v>290</v>
      </c>
      <c r="D21" t="s">
        <v>256</v>
      </c>
      <c r="E21" t="s">
        <v>42</v>
      </c>
      <c r="F21" t="s">
        <v>14</v>
      </c>
      <c r="G21" s="1">
        <v>45473.75</v>
      </c>
      <c r="H21" s="1">
        <v>45473.291666666664</v>
      </c>
      <c r="I21" s="1">
        <v>45473.958333333336</v>
      </c>
      <c r="J21" t="s">
        <v>17</v>
      </c>
      <c r="K21" s="1">
        <v>45466.75</v>
      </c>
      <c r="L21" s="1">
        <v>45471.291666666664</v>
      </c>
      <c r="M21" s="1">
        <v>45467.000694444447</v>
      </c>
      <c r="N21" s="1">
        <v>45472.625</v>
      </c>
      <c r="O21" s="1">
        <v>45465.25</v>
      </c>
      <c r="P21" s="1">
        <v>45470.25</v>
      </c>
    </row>
    <row r="22" spans="1:16" hidden="1" x14ac:dyDescent="0.25">
      <c r="A22" s="1">
        <v>45468.629861111112</v>
      </c>
      <c r="B22" t="s">
        <v>148</v>
      </c>
      <c r="C22" t="s">
        <v>871</v>
      </c>
      <c r="D22" t="s">
        <v>568</v>
      </c>
      <c r="E22" t="s">
        <v>947</v>
      </c>
      <c r="G22" s="1">
        <v>45472</v>
      </c>
      <c r="H22" s="1">
        <v>45474.229166666664</v>
      </c>
      <c r="I22" s="1">
        <v>45474.979166666664</v>
      </c>
      <c r="J22" t="s">
        <v>21</v>
      </c>
      <c r="K22" s="1">
        <v>45465</v>
      </c>
      <c r="L22" s="1">
        <v>45472.229166666664</v>
      </c>
      <c r="M22" s="1">
        <v>45466.000694444447</v>
      </c>
      <c r="N22" s="1">
        <v>45470.625</v>
      </c>
      <c r="O22" s="1">
        <v>45463.5</v>
      </c>
      <c r="P22" s="1">
        <v>45469.5</v>
      </c>
    </row>
    <row r="23" spans="1:16" hidden="1" x14ac:dyDescent="0.25">
      <c r="A23" s="1">
        <v>45468.629861111112</v>
      </c>
      <c r="B23" t="s">
        <v>64</v>
      </c>
      <c r="C23" t="s">
        <v>368</v>
      </c>
      <c r="D23" t="s">
        <v>369</v>
      </c>
      <c r="E23" t="s">
        <v>52</v>
      </c>
      <c r="G23" s="1">
        <v>45475.333333333336</v>
      </c>
      <c r="H23" s="1">
        <v>45474.375</v>
      </c>
      <c r="I23" s="1">
        <v>45474.833333333336</v>
      </c>
      <c r="J23" t="s">
        <v>23</v>
      </c>
      <c r="K23" s="1">
        <v>45468.333333333336</v>
      </c>
      <c r="L23" s="1">
        <v>45472.375</v>
      </c>
      <c r="M23" s="1">
        <v>45469.000694444447</v>
      </c>
      <c r="N23" s="1">
        <v>45471.375</v>
      </c>
      <c r="O23" s="1">
        <v>45466.833333333336</v>
      </c>
      <c r="P23" s="1">
        <v>45470.25</v>
      </c>
    </row>
    <row r="24" spans="1:16" hidden="1" x14ac:dyDescent="0.25">
      <c r="A24" s="1">
        <v>45468.629861111112</v>
      </c>
      <c r="B24" t="s">
        <v>642</v>
      </c>
      <c r="C24" t="s">
        <v>643</v>
      </c>
      <c r="D24" t="s">
        <v>643</v>
      </c>
      <c r="E24" t="s">
        <v>18</v>
      </c>
      <c r="F24" t="s">
        <v>19</v>
      </c>
      <c r="G24" s="1">
        <v>45475.75</v>
      </c>
      <c r="H24" s="1">
        <v>45474.729166666664</v>
      </c>
      <c r="I24" s="1">
        <v>45475.6875</v>
      </c>
      <c r="J24" t="s">
        <v>80</v>
      </c>
      <c r="K24" s="1">
        <v>45468.75</v>
      </c>
      <c r="L24" s="1">
        <v>45472.729166666664</v>
      </c>
      <c r="M24" s="1">
        <v>45469.000694444447</v>
      </c>
      <c r="N24" s="1">
        <v>45473.5</v>
      </c>
      <c r="O24" s="1">
        <v>45467.25</v>
      </c>
      <c r="P24" s="1">
        <v>45473.25</v>
      </c>
    </row>
    <row r="25" spans="1:16" hidden="1" x14ac:dyDescent="0.25">
      <c r="A25" s="1">
        <v>45468.629861111112</v>
      </c>
      <c r="B25" t="s">
        <v>564</v>
      </c>
      <c r="C25" t="s">
        <v>287</v>
      </c>
      <c r="D25" t="s">
        <v>287</v>
      </c>
      <c r="E25" t="s">
        <v>138</v>
      </c>
      <c r="F25" t="s">
        <v>139</v>
      </c>
      <c r="G25" s="1">
        <v>45475.25</v>
      </c>
      <c r="H25" s="1">
        <v>45475.208333333336</v>
      </c>
      <c r="I25" s="1">
        <v>45476.208333333336</v>
      </c>
      <c r="J25" t="s">
        <v>17</v>
      </c>
      <c r="K25" s="1">
        <v>45468.25</v>
      </c>
      <c r="L25" s="1">
        <v>45473.208333333336</v>
      </c>
      <c r="M25" s="1">
        <v>45469.000694444447</v>
      </c>
      <c r="N25" s="1">
        <v>45474.5</v>
      </c>
      <c r="O25" s="1">
        <v>45466.75</v>
      </c>
      <c r="P25" s="1">
        <v>45470.25</v>
      </c>
    </row>
    <row r="26" spans="1:16" hidden="1" x14ac:dyDescent="0.25">
      <c r="A26" s="1">
        <v>45468.629861111112</v>
      </c>
      <c r="B26" t="s">
        <v>151</v>
      </c>
      <c r="C26" t="s">
        <v>285</v>
      </c>
      <c r="D26" t="s">
        <v>286</v>
      </c>
      <c r="E26" t="s">
        <v>77</v>
      </c>
      <c r="F26" t="s">
        <v>14</v>
      </c>
      <c r="G26" s="1">
        <v>45471</v>
      </c>
      <c r="H26" s="1">
        <v>45475.729166666664</v>
      </c>
      <c r="I26" s="1">
        <v>45476.5625</v>
      </c>
      <c r="J26" t="s">
        <v>76</v>
      </c>
      <c r="K26" s="1">
        <v>45464</v>
      </c>
      <c r="L26" s="1">
        <v>45473.729166666664</v>
      </c>
      <c r="M26" s="1">
        <v>45465.000694444447</v>
      </c>
      <c r="N26" s="1">
        <v>45469.625</v>
      </c>
      <c r="O26" s="1">
        <v>45462.5</v>
      </c>
      <c r="P26" s="1">
        <v>45468.5</v>
      </c>
    </row>
    <row r="27" spans="1:16" hidden="1" x14ac:dyDescent="0.25">
      <c r="A27" s="1">
        <v>45468.629861111112</v>
      </c>
      <c r="B27" t="s">
        <v>126</v>
      </c>
      <c r="C27" t="s">
        <v>604</v>
      </c>
      <c r="D27" t="s">
        <v>366</v>
      </c>
      <c r="E27" t="s">
        <v>129</v>
      </c>
      <c r="F27" t="s">
        <v>21</v>
      </c>
      <c r="G27" s="1">
        <v>45476.416666666664</v>
      </c>
      <c r="H27" s="1">
        <v>45476.416666666664</v>
      </c>
      <c r="I27" s="1">
        <v>45477.114583333336</v>
      </c>
      <c r="J27" t="s">
        <v>19</v>
      </c>
      <c r="K27" s="1">
        <v>45469.416666666664</v>
      </c>
      <c r="L27" s="1">
        <v>45474.416666666664</v>
      </c>
      <c r="M27" s="1">
        <v>45470.000694444447</v>
      </c>
      <c r="N27" s="1">
        <v>45475.625</v>
      </c>
      <c r="O27" s="1">
        <v>45467.916666666664</v>
      </c>
      <c r="P27" s="1">
        <v>45473.916666666664</v>
      </c>
    </row>
    <row r="28" spans="1:16" hidden="1" x14ac:dyDescent="0.25">
      <c r="A28" s="1">
        <v>45468.629861111112</v>
      </c>
      <c r="B28" t="s">
        <v>478</v>
      </c>
      <c r="C28" t="s">
        <v>471</v>
      </c>
      <c r="D28" t="s">
        <v>471</v>
      </c>
      <c r="E28" t="s">
        <v>273</v>
      </c>
      <c r="F28" t="s">
        <v>125</v>
      </c>
      <c r="G28" s="1">
        <v>45476.416666666664</v>
      </c>
      <c r="H28" s="1">
        <v>45476.416666666664</v>
      </c>
      <c r="I28" s="1">
        <v>45477.083333333336</v>
      </c>
      <c r="J28" t="s">
        <v>80</v>
      </c>
      <c r="K28" s="1">
        <v>45469.416666666664</v>
      </c>
      <c r="L28" s="1">
        <v>45474.416666666664</v>
      </c>
      <c r="M28" s="1">
        <v>45470.000694444447</v>
      </c>
      <c r="N28" s="1">
        <v>45475.625</v>
      </c>
      <c r="O28" s="1">
        <v>45467.916666666664</v>
      </c>
      <c r="P28" s="1">
        <v>45473.916666666664</v>
      </c>
    </row>
    <row r="29" spans="1:16" hidden="1" x14ac:dyDescent="0.25">
      <c r="A29" s="1">
        <v>45468.629861111112</v>
      </c>
      <c r="B29" t="s">
        <v>267</v>
      </c>
      <c r="C29" t="s">
        <v>304</v>
      </c>
      <c r="D29" t="s">
        <v>257</v>
      </c>
      <c r="E29" t="s">
        <v>42</v>
      </c>
      <c r="F29" t="s">
        <v>14</v>
      </c>
      <c r="G29" s="1">
        <v>45477.291666666664</v>
      </c>
      <c r="H29" s="1">
        <v>45477.1875</v>
      </c>
      <c r="I29" s="1">
        <v>45477.854166666664</v>
      </c>
      <c r="J29" t="s">
        <v>17</v>
      </c>
      <c r="K29" s="1">
        <v>45470.291666666664</v>
      </c>
      <c r="L29" s="1">
        <v>45475.1875</v>
      </c>
      <c r="M29" s="1">
        <v>45471.000694444447</v>
      </c>
      <c r="N29" s="1">
        <v>45476.625</v>
      </c>
      <c r="O29" s="1">
        <v>45468.791666666664</v>
      </c>
      <c r="P29" s="1">
        <v>45474.791666666664</v>
      </c>
    </row>
    <row r="30" spans="1:16" hidden="1" x14ac:dyDescent="0.25">
      <c r="A30" s="1">
        <v>45468.629861111112</v>
      </c>
      <c r="B30" t="s">
        <v>128</v>
      </c>
      <c r="C30" t="s">
        <v>362</v>
      </c>
      <c r="D30" t="s">
        <v>363</v>
      </c>
      <c r="E30" t="s">
        <v>44</v>
      </c>
      <c r="F30" t="s">
        <v>30</v>
      </c>
      <c r="G30" s="1">
        <v>45474.5</v>
      </c>
      <c r="H30" s="1">
        <v>45477.208333333336</v>
      </c>
      <c r="I30" s="1">
        <v>45477.833333333336</v>
      </c>
      <c r="J30" t="s">
        <v>13</v>
      </c>
      <c r="K30" s="1">
        <v>45467.5</v>
      </c>
      <c r="L30" s="1">
        <v>45475.208333333336</v>
      </c>
      <c r="M30" s="1">
        <v>45468.000694444447</v>
      </c>
      <c r="N30" s="1">
        <v>45476.625</v>
      </c>
      <c r="O30" s="1">
        <v>45466</v>
      </c>
      <c r="P30" s="1">
        <v>45470.25</v>
      </c>
    </row>
    <row r="31" spans="1:16" hidden="1" x14ac:dyDescent="0.25">
      <c r="A31" s="1">
        <v>45468.629861111112</v>
      </c>
      <c r="B31" t="s">
        <v>688</v>
      </c>
      <c r="C31" t="s">
        <v>467</v>
      </c>
      <c r="D31" t="s">
        <v>467</v>
      </c>
      <c r="E31" t="s">
        <v>436</v>
      </c>
      <c r="F31" t="s">
        <v>75</v>
      </c>
      <c r="G31" s="1">
        <v>45477.541666666664</v>
      </c>
      <c r="H31" s="1">
        <v>45477.541666666664</v>
      </c>
      <c r="I31" s="1">
        <v>45478.541666666664</v>
      </c>
      <c r="J31" t="s">
        <v>13</v>
      </c>
      <c r="K31" s="1">
        <v>45470.541666666664</v>
      </c>
      <c r="L31" s="1">
        <v>45475.541666666664</v>
      </c>
      <c r="M31" s="1">
        <v>45471.000694444447</v>
      </c>
      <c r="N31" s="1">
        <v>45476.625</v>
      </c>
      <c r="O31" s="1">
        <v>45469.041666666664</v>
      </c>
      <c r="P31" s="1">
        <v>45475.041666666664</v>
      </c>
    </row>
    <row r="32" spans="1:16" hidden="1" x14ac:dyDescent="0.25">
      <c r="A32" s="1">
        <v>45468.629861111112</v>
      </c>
      <c r="B32" t="s">
        <v>154</v>
      </c>
      <c r="C32" t="s">
        <v>292</v>
      </c>
      <c r="D32" t="s">
        <v>293</v>
      </c>
      <c r="E32" t="s">
        <v>77</v>
      </c>
      <c r="F32" t="s">
        <v>14</v>
      </c>
      <c r="G32" s="1">
        <v>45478.000694444447</v>
      </c>
      <c r="H32" s="1">
        <v>45477.958333333336</v>
      </c>
      <c r="I32" s="1">
        <v>45478.833333333336</v>
      </c>
      <c r="J32" t="s">
        <v>76</v>
      </c>
      <c r="K32" s="1">
        <v>45471.000694444447</v>
      </c>
      <c r="L32" s="1">
        <v>45475.958333333336</v>
      </c>
      <c r="M32" s="1">
        <v>45472.000694444447</v>
      </c>
      <c r="N32" s="1">
        <v>45476.708333333336</v>
      </c>
      <c r="O32" s="1">
        <v>45469.500694444447</v>
      </c>
      <c r="P32" s="1">
        <v>45475.500694444447</v>
      </c>
    </row>
    <row r="33" spans="1:16" hidden="1" x14ac:dyDescent="0.25">
      <c r="A33" s="1">
        <v>45468.629861111112</v>
      </c>
      <c r="B33" t="s">
        <v>648</v>
      </c>
      <c r="C33" t="s">
        <v>649</v>
      </c>
      <c r="D33" t="s">
        <v>649</v>
      </c>
      <c r="E33" t="s">
        <v>246</v>
      </c>
      <c r="G33" s="1">
        <v>45477.291666666664</v>
      </c>
      <c r="H33" s="1">
        <v>45477.25</v>
      </c>
      <c r="I33" s="1">
        <v>45477.5</v>
      </c>
      <c r="J33" t="s">
        <v>76</v>
      </c>
      <c r="K33" s="1">
        <v>45470.291666666664</v>
      </c>
      <c r="L33" s="1">
        <v>45475.25</v>
      </c>
      <c r="M33" s="1">
        <v>45471.000694444447</v>
      </c>
      <c r="N33" s="1">
        <v>45476.625</v>
      </c>
      <c r="O33" s="1">
        <v>45467.291666666664</v>
      </c>
      <c r="P33" s="1">
        <v>45475.25</v>
      </c>
    </row>
    <row r="34" spans="1:16" hidden="1" x14ac:dyDescent="0.25">
      <c r="A34" s="1">
        <v>45468.629861111112</v>
      </c>
      <c r="B34" t="s">
        <v>133</v>
      </c>
      <c r="C34" t="s">
        <v>488</v>
      </c>
      <c r="D34" t="s">
        <v>186</v>
      </c>
      <c r="E34" t="s">
        <v>45</v>
      </c>
      <c r="F34" t="s">
        <v>14</v>
      </c>
      <c r="G34" s="1">
        <v>45475</v>
      </c>
      <c r="H34" s="1">
        <v>45478.583333333336</v>
      </c>
      <c r="I34" s="1">
        <v>45479.333333333336</v>
      </c>
      <c r="J34" t="s">
        <v>16</v>
      </c>
      <c r="K34" s="1">
        <v>45468</v>
      </c>
      <c r="L34" s="1">
        <v>45476.583333333336</v>
      </c>
      <c r="M34" s="1">
        <v>45469.000694444447</v>
      </c>
      <c r="N34" s="1">
        <v>45477.625</v>
      </c>
      <c r="O34" s="1">
        <v>45466.5</v>
      </c>
      <c r="P34" s="1">
        <v>45472.5</v>
      </c>
    </row>
    <row r="35" spans="1:16" hidden="1" x14ac:dyDescent="0.25">
      <c r="A35" s="1">
        <v>45468.629861111112</v>
      </c>
      <c r="B35" t="s">
        <v>184</v>
      </c>
      <c r="C35" t="s">
        <v>292</v>
      </c>
      <c r="D35" t="s">
        <v>575</v>
      </c>
      <c r="E35" t="s">
        <v>947</v>
      </c>
      <c r="G35" s="1">
        <v>45478.833333333336</v>
      </c>
      <c r="H35" s="1">
        <v>45478.895833333336</v>
      </c>
      <c r="I35" s="1">
        <v>45479.625</v>
      </c>
      <c r="J35" t="s">
        <v>21</v>
      </c>
      <c r="K35" s="1">
        <v>45471.833333333336</v>
      </c>
      <c r="L35" s="1">
        <v>45476.895833333336</v>
      </c>
      <c r="M35" s="1">
        <v>45472.000694444447</v>
      </c>
      <c r="N35" s="1">
        <v>45477.625</v>
      </c>
      <c r="O35" s="1">
        <v>45470.333333333336</v>
      </c>
      <c r="P35" s="1">
        <v>45476.333333333336</v>
      </c>
    </row>
    <row r="36" spans="1:16" hidden="1" x14ac:dyDescent="0.25">
      <c r="A36" s="1">
        <v>45468.629861111112</v>
      </c>
      <c r="B36" t="s">
        <v>277</v>
      </c>
      <c r="C36" t="s">
        <v>156</v>
      </c>
      <c r="D36" t="s">
        <v>157</v>
      </c>
      <c r="E36" t="s">
        <v>43</v>
      </c>
      <c r="F36" t="s">
        <v>14</v>
      </c>
      <c r="G36" s="1">
        <v>45479.583333333336</v>
      </c>
      <c r="H36" s="1">
        <v>45479.729166666664</v>
      </c>
      <c r="I36" s="1">
        <v>45480.395833333336</v>
      </c>
      <c r="J36" t="s">
        <v>13</v>
      </c>
      <c r="K36" s="1">
        <v>45472.583333333336</v>
      </c>
      <c r="L36" s="1">
        <v>45477.729166666664</v>
      </c>
      <c r="M36" s="1">
        <v>45473.000694444447</v>
      </c>
      <c r="N36" s="1">
        <v>45478.583333333336</v>
      </c>
      <c r="O36" s="1">
        <v>45471.083333333336</v>
      </c>
      <c r="P36" s="1">
        <v>45477.083333333336</v>
      </c>
    </row>
    <row r="37" spans="1:16" hidden="1" x14ac:dyDescent="0.25">
      <c r="A37" s="1">
        <v>45468.629861111112</v>
      </c>
      <c r="B37" t="s">
        <v>310</v>
      </c>
      <c r="C37" t="s">
        <v>518</v>
      </c>
      <c r="D37" t="s">
        <v>474</v>
      </c>
      <c r="E37" t="s">
        <v>78</v>
      </c>
      <c r="F37" t="s">
        <v>13</v>
      </c>
      <c r="G37" s="1">
        <v>45479.75</v>
      </c>
      <c r="H37" s="1">
        <v>45479.75</v>
      </c>
      <c r="I37" s="1">
        <v>45481.25</v>
      </c>
      <c r="J37" t="s">
        <v>14</v>
      </c>
      <c r="K37" s="1">
        <v>45472.75</v>
      </c>
      <c r="L37" s="1">
        <v>45477.75</v>
      </c>
      <c r="M37" s="1">
        <v>45473.000694444447</v>
      </c>
      <c r="N37" s="1">
        <v>45478.625</v>
      </c>
      <c r="O37" s="1">
        <v>45470.25</v>
      </c>
      <c r="P37" s="1">
        <v>45476.25</v>
      </c>
    </row>
    <row r="38" spans="1:16" hidden="1" x14ac:dyDescent="0.25">
      <c r="A38" s="1">
        <v>45468.629861111112</v>
      </c>
      <c r="B38" t="s">
        <v>191</v>
      </c>
      <c r="C38" t="s">
        <v>691</v>
      </c>
      <c r="D38" t="s">
        <v>692</v>
      </c>
      <c r="E38" t="s">
        <v>42</v>
      </c>
      <c r="F38" t="s">
        <v>14</v>
      </c>
      <c r="G38" s="1">
        <v>45481</v>
      </c>
      <c r="H38" s="1">
        <v>45480.625</v>
      </c>
      <c r="I38" s="1">
        <v>45481.166666666664</v>
      </c>
      <c r="J38" t="s">
        <v>17</v>
      </c>
      <c r="K38" s="1">
        <v>45474</v>
      </c>
      <c r="L38" s="1">
        <v>45478.625</v>
      </c>
      <c r="M38" s="1">
        <v>45475.000694444447</v>
      </c>
      <c r="N38" s="1">
        <v>45479.625</v>
      </c>
      <c r="O38" s="1">
        <v>45472.5</v>
      </c>
      <c r="P38" s="1">
        <v>45478.5</v>
      </c>
    </row>
    <row r="39" spans="1:16" hidden="1" x14ac:dyDescent="0.25">
      <c r="A39" s="1">
        <v>45468.629861111112</v>
      </c>
      <c r="B39" t="s">
        <v>64</v>
      </c>
      <c r="C39" t="s">
        <v>580</v>
      </c>
      <c r="D39" t="s">
        <v>581</v>
      </c>
      <c r="E39" t="s">
        <v>52</v>
      </c>
      <c r="G39" s="1">
        <v>45481.333333333336</v>
      </c>
      <c r="H39" s="1">
        <v>45481.305555555555</v>
      </c>
      <c r="I39" s="1">
        <v>45481.708333333336</v>
      </c>
      <c r="J39" t="s">
        <v>23</v>
      </c>
      <c r="K39" s="1">
        <v>45474.333333333336</v>
      </c>
      <c r="L39" s="1">
        <v>45479.305555555555</v>
      </c>
      <c r="M39" s="1">
        <v>45475.000694444447</v>
      </c>
      <c r="N39" s="1">
        <v>45480.625</v>
      </c>
      <c r="O39" s="1">
        <v>45472.833333333336</v>
      </c>
      <c r="P39" s="1">
        <v>45478.833333333336</v>
      </c>
    </row>
    <row r="40" spans="1:16" hidden="1" x14ac:dyDescent="0.25">
      <c r="A40" s="1">
        <v>45468.629861111112</v>
      </c>
      <c r="B40" t="s">
        <v>250</v>
      </c>
      <c r="C40" t="s">
        <v>306</v>
      </c>
      <c r="D40" t="s">
        <v>258</v>
      </c>
      <c r="E40" t="s">
        <v>45</v>
      </c>
      <c r="F40" t="s">
        <v>14</v>
      </c>
      <c r="G40" s="1">
        <v>45481.000694444447</v>
      </c>
      <c r="H40" s="1">
        <v>45481.750694444447</v>
      </c>
      <c r="I40" s="1">
        <v>45482.375</v>
      </c>
      <c r="J40" t="s">
        <v>16</v>
      </c>
      <c r="K40" s="1">
        <v>45474.000694444447</v>
      </c>
      <c r="L40" s="1">
        <v>45479.750694444447</v>
      </c>
      <c r="M40" s="1">
        <v>45475.000694444447</v>
      </c>
      <c r="N40" s="1">
        <v>45479.625</v>
      </c>
      <c r="O40" s="1">
        <v>45472.500694444447</v>
      </c>
      <c r="P40" s="1">
        <v>45478.500694444447</v>
      </c>
    </row>
    <row r="41" spans="1:16" hidden="1" x14ac:dyDescent="0.25">
      <c r="A41" s="1">
        <v>45468.629861111112</v>
      </c>
      <c r="B41" t="s">
        <v>274</v>
      </c>
      <c r="C41" t="s">
        <v>494</v>
      </c>
      <c r="D41" t="s">
        <v>495</v>
      </c>
      <c r="E41" t="s">
        <v>79</v>
      </c>
      <c r="F41" t="s">
        <v>14</v>
      </c>
      <c r="G41" s="1">
        <v>45476.5</v>
      </c>
      <c r="H41" s="1">
        <v>45481.954861111109</v>
      </c>
      <c r="I41" s="1">
        <v>45482.621527777781</v>
      </c>
      <c r="J41" t="s">
        <v>16</v>
      </c>
      <c r="K41" s="1">
        <v>45469.5</v>
      </c>
      <c r="L41" s="1">
        <v>45479.954861111109</v>
      </c>
      <c r="M41" s="1">
        <v>45470.000694444447</v>
      </c>
      <c r="N41" s="1">
        <v>45478.416666666664</v>
      </c>
      <c r="O41" s="1">
        <v>45468</v>
      </c>
      <c r="P41" s="1">
        <v>45474</v>
      </c>
    </row>
    <row r="42" spans="1:16" hidden="1" x14ac:dyDescent="0.25">
      <c r="A42" s="1">
        <v>45468.629861111112</v>
      </c>
      <c r="B42" t="s">
        <v>713</v>
      </c>
      <c r="C42" t="s">
        <v>714</v>
      </c>
      <c r="D42" t="s">
        <v>714</v>
      </c>
      <c r="E42" t="s">
        <v>18</v>
      </c>
      <c r="F42" t="s">
        <v>19</v>
      </c>
      <c r="G42" s="1">
        <v>45482.916666666664</v>
      </c>
      <c r="H42" s="1">
        <v>45482.416666666664</v>
      </c>
      <c r="I42" s="1">
        <v>45483.458333333336</v>
      </c>
      <c r="J42" t="s">
        <v>80</v>
      </c>
      <c r="K42" s="1">
        <v>45475.916666666664</v>
      </c>
      <c r="L42" s="1">
        <v>45480.416666666664</v>
      </c>
      <c r="M42" s="1">
        <v>45476.000694444447</v>
      </c>
      <c r="N42" s="1">
        <v>45481.5</v>
      </c>
      <c r="O42" s="1">
        <v>45474.416666666664</v>
      </c>
      <c r="P42" s="1">
        <v>45480.416666666664</v>
      </c>
    </row>
    <row r="43" spans="1:16" hidden="1" x14ac:dyDescent="0.25">
      <c r="A43" s="1">
        <v>45468.629861111112</v>
      </c>
      <c r="B43" t="s">
        <v>489</v>
      </c>
      <c r="C43" t="s">
        <v>472</v>
      </c>
      <c r="D43" t="s">
        <v>472</v>
      </c>
      <c r="E43" t="s">
        <v>273</v>
      </c>
      <c r="F43" t="s">
        <v>125</v>
      </c>
      <c r="G43" s="1">
        <v>45483.416666666664</v>
      </c>
      <c r="H43" s="1">
        <v>45483.416666666664</v>
      </c>
      <c r="I43" s="1">
        <v>45484.125</v>
      </c>
      <c r="J43" t="s">
        <v>80</v>
      </c>
      <c r="K43" s="1">
        <v>45476.416666666664</v>
      </c>
      <c r="L43" s="1">
        <v>45481.416666666664</v>
      </c>
      <c r="M43" s="1">
        <v>45477.000694444447</v>
      </c>
      <c r="N43" s="1">
        <v>45482.625</v>
      </c>
      <c r="O43" s="1">
        <v>45474.916666666664</v>
      </c>
      <c r="P43" s="1">
        <v>45480.916666666664</v>
      </c>
    </row>
    <row r="44" spans="1:16" hidden="1" x14ac:dyDescent="0.25">
      <c r="A44" s="1">
        <v>45468.629861111112</v>
      </c>
      <c r="B44" t="s">
        <v>127</v>
      </c>
      <c r="C44" t="s">
        <v>607</v>
      </c>
      <c r="D44" t="s">
        <v>445</v>
      </c>
      <c r="E44" t="s">
        <v>129</v>
      </c>
      <c r="F44" t="s">
        <v>21</v>
      </c>
      <c r="G44" s="1">
        <v>45483.416666666664</v>
      </c>
      <c r="H44" s="1">
        <v>45483.416666666664</v>
      </c>
      <c r="I44" s="1">
        <v>45483.833333333336</v>
      </c>
      <c r="J44" t="s">
        <v>19</v>
      </c>
      <c r="K44" s="1">
        <v>45476.416666666664</v>
      </c>
      <c r="L44" s="1">
        <v>45481.416666666664</v>
      </c>
      <c r="M44" s="1">
        <v>45477.000694444447</v>
      </c>
      <c r="N44" s="1">
        <v>45482.625</v>
      </c>
      <c r="O44" s="1">
        <v>45474.916666666664</v>
      </c>
      <c r="P44" s="1">
        <v>45480.916666666664</v>
      </c>
    </row>
    <row r="45" spans="1:16" hidden="1" x14ac:dyDescent="0.25">
      <c r="A45" s="1">
        <v>45468.629861111112</v>
      </c>
      <c r="B45" t="s">
        <v>195</v>
      </c>
      <c r="C45" t="s">
        <v>288</v>
      </c>
      <c r="D45" t="s">
        <v>322</v>
      </c>
      <c r="E45" t="s">
        <v>46</v>
      </c>
      <c r="F45" t="s">
        <v>13</v>
      </c>
      <c r="G45" s="1">
        <v>45484.000694444447</v>
      </c>
      <c r="H45" s="1">
        <v>45484.000694444447</v>
      </c>
      <c r="I45" s="1">
        <v>45485.333333333336</v>
      </c>
      <c r="J45" t="s">
        <v>27</v>
      </c>
      <c r="K45" s="1">
        <v>45477.000694444447</v>
      </c>
      <c r="L45" s="1">
        <v>45482.000694444447</v>
      </c>
      <c r="M45" s="1">
        <v>45478.000694444447</v>
      </c>
      <c r="N45" s="1">
        <v>45482.625</v>
      </c>
      <c r="O45" s="1">
        <v>45475.500694444447</v>
      </c>
      <c r="P45" s="1">
        <v>45481.500694444447</v>
      </c>
    </row>
    <row r="46" spans="1:16" hidden="1" x14ac:dyDescent="0.25">
      <c r="A46" s="1">
        <v>45468.629861111112</v>
      </c>
      <c r="B46" t="s">
        <v>743</v>
      </c>
      <c r="C46" t="s">
        <v>518</v>
      </c>
      <c r="D46" t="s">
        <v>518</v>
      </c>
      <c r="E46" t="s">
        <v>436</v>
      </c>
      <c r="F46" t="s">
        <v>75</v>
      </c>
      <c r="G46" s="1">
        <v>45484.541666666664</v>
      </c>
      <c r="H46" s="1">
        <v>45484.541666666664</v>
      </c>
      <c r="I46" s="1">
        <v>45485.541666666664</v>
      </c>
      <c r="J46" t="s">
        <v>13</v>
      </c>
      <c r="K46" s="1">
        <v>45477.541666666664</v>
      </c>
      <c r="L46" s="1">
        <v>45482.541666666664</v>
      </c>
      <c r="M46" s="1">
        <v>45478.000694444447</v>
      </c>
      <c r="N46" s="1">
        <v>45483.625</v>
      </c>
      <c r="O46" s="1">
        <v>45476.041666666664</v>
      </c>
      <c r="P46" s="1">
        <v>45482.041666666664</v>
      </c>
    </row>
    <row r="47" spans="1:16" hidden="1" x14ac:dyDescent="0.25">
      <c r="A47" s="1">
        <v>45468.629861111112</v>
      </c>
      <c r="B47" t="s">
        <v>65</v>
      </c>
      <c r="C47" t="s">
        <v>461</v>
      </c>
      <c r="D47" t="s">
        <v>462</v>
      </c>
      <c r="E47" t="s">
        <v>44</v>
      </c>
      <c r="F47" t="s">
        <v>30</v>
      </c>
      <c r="G47" s="1">
        <v>45485.75</v>
      </c>
      <c r="H47" s="1">
        <v>45485.451388888891</v>
      </c>
      <c r="I47" s="1">
        <v>45486.076388888891</v>
      </c>
      <c r="J47" t="s">
        <v>13</v>
      </c>
      <c r="K47" s="1">
        <v>45478.75</v>
      </c>
      <c r="L47" s="1">
        <v>45483.451388888891</v>
      </c>
      <c r="M47" s="1">
        <v>45479.000694444447</v>
      </c>
      <c r="N47" s="1">
        <v>45483.625</v>
      </c>
      <c r="O47" s="1">
        <v>45477.25</v>
      </c>
      <c r="P47" s="1">
        <v>45483.25</v>
      </c>
    </row>
    <row r="48" spans="1:16" hidden="1" x14ac:dyDescent="0.25">
      <c r="A48" s="1">
        <v>45468.629861111112</v>
      </c>
      <c r="B48" t="s">
        <v>135</v>
      </c>
      <c r="C48" t="s">
        <v>313</v>
      </c>
      <c r="D48" t="s">
        <v>314</v>
      </c>
      <c r="E48" t="s">
        <v>43</v>
      </c>
      <c r="F48" t="s">
        <v>14</v>
      </c>
      <c r="G48" s="1">
        <v>45486.583333333336</v>
      </c>
      <c r="H48" s="1">
        <v>45486.583333333336</v>
      </c>
      <c r="I48" s="1">
        <v>45487.239583333336</v>
      </c>
      <c r="J48" t="s">
        <v>13</v>
      </c>
      <c r="K48" s="1">
        <v>45479.583333333336</v>
      </c>
      <c r="L48" s="1">
        <v>45484.583333333336</v>
      </c>
      <c r="M48" s="1">
        <v>45480.000694444447</v>
      </c>
      <c r="N48" s="1">
        <v>45485.625</v>
      </c>
      <c r="O48" s="1">
        <v>45478.083333333336</v>
      </c>
      <c r="P48" s="1">
        <v>45484.083333333336</v>
      </c>
    </row>
    <row r="49" spans="1:16" hidden="1" x14ac:dyDescent="0.25">
      <c r="A49" s="1">
        <v>45468.629861111112</v>
      </c>
      <c r="B49" t="s">
        <v>773</v>
      </c>
      <c r="C49" t="s">
        <v>543</v>
      </c>
      <c r="D49" t="s">
        <v>548</v>
      </c>
      <c r="E49" t="s">
        <v>78</v>
      </c>
      <c r="F49" t="s">
        <v>13</v>
      </c>
      <c r="G49" s="1">
        <v>45486.75</v>
      </c>
      <c r="H49" s="1">
        <v>45486.75</v>
      </c>
      <c r="I49" s="1">
        <v>45488.041666666664</v>
      </c>
      <c r="J49" t="s">
        <v>14</v>
      </c>
      <c r="K49" s="1">
        <v>45479.75</v>
      </c>
      <c r="L49" s="1">
        <v>45484.75</v>
      </c>
      <c r="M49" s="1">
        <v>45480.000694444447</v>
      </c>
      <c r="N49" s="1">
        <v>45485.625</v>
      </c>
      <c r="O49" s="1">
        <v>45477.25</v>
      </c>
      <c r="P49" s="1">
        <v>45483.25</v>
      </c>
    </row>
    <row r="50" spans="1:16" hidden="1" x14ac:dyDescent="0.25">
      <c r="A50" s="1">
        <v>45468.629861111112</v>
      </c>
      <c r="B50" t="s">
        <v>245</v>
      </c>
      <c r="C50" t="s">
        <v>385</v>
      </c>
      <c r="D50" t="s">
        <v>323</v>
      </c>
      <c r="E50" t="s">
        <v>42</v>
      </c>
      <c r="F50" t="s">
        <v>14</v>
      </c>
      <c r="G50" s="1">
        <v>45487.291666666664</v>
      </c>
      <c r="H50" s="1">
        <v>45487.291666666664</v>
      </c>
      <c r="I50" s="1">
        <v>45487.875</v>
      </c>
      <c r="J50" t="s">
        <v>17</v>
      </c>
      <c r="K50" s="1">
        <v>45480.291666666664</v>
      </c>
      <c r="L50" s="1">
        <v>45485.291666666664</v>
      </c>
      <c r="M50" s="1">
        <v>45481.000694444447</v>
      </c>
      <c r="N50" s="1">
        <v>45486.625</v>
      </c>
      <c r="O50" s="1">
        <v>45478.791666666664</v>
      </c>
      <c r="P50" s="1">
        <v>45484.791666666664</v>
      </c>
    </row>
    <row r="51" spans="1:16" hidden="1" x14ac:dyDescent="0.25">
      <c r="A51" s="1">
        <v>45468.629861111112</v>
      </c>
      <c r="B51" t="s">
        <v>155</v>
      </c>
      <c r="C51" t="s">
        <v>491</v>
      </c>
      <c r="D51" t="s">
        <v>628</v>
      </c>
      <c r="E51" t="s">
        <v>947</v>
      </c>
      <c r="G51" s="1">
        <v>45485.916666666664</v>
      </c>
      <c r="H51" s="1">
        <v>45485.916666666664</v>
      </c>
      <c r="I51" s="1">
        <v>45486.583333333336</v>
      </c>
      <c r="J51" t="s">
        <v>21</v>
      </c>
      <c r="K51" s="1">
        <v>45478.916666666664</v>
      </c>
      <c r="L51" s="1">
        <v>45483.916666666664</v>
      </c>
      <c r="M51" s="1">
        <v>45479.000694444447</v>
      </c>
      <c r="N51" s="1">
        <v>45484.625</v>
      </c>
      <c r="O51" s="1">
        <v>45475.916666666664</v>
      </c>
      <c r="P51" s="1">
        <v>45483.916666666664</v>
      </c>
    </row>
    <row r="52" spans="1:16" hidden="1" x14ac:dyDescent="0.25">
      <c r="A52" s="1">
        <v>45468.629861111112</v>
      </c>
      <c r="B52" t="s">
        <v>145</v>
      </c>
      <c r="C52" t="s">
        <v>318</v>
      </c>
      <c r="D52" t="s">
        <v>302</v>
      </c>
      <c r="E52" t="s">
        <v>45</v>
      </c>
      <c r="F52" t="s">
        <v>14</v>
      </c>
      <c r="G52" s="1">
        <v>45487.000694444447</v>
      </c>
      <c r="H52" s="1">
        <v>45487.917361111111</v>
      </c>
      <c r="I52" s="1">
        <v>45488.625</v>
      </c>
      <c r="J52" t="s">
        <v>16</v>
      </c>
      <c r="K52" s="1">
        <v>45480.000694444447</v>
      </c>
      <c r="L52" s="1">
        <v>45485.917361111111</v>
      </c>
      <c r="M52" s="1">
        <v>45481.000694444447</v>
      </c>
      <c r="N52" s="1">
        <v>45485.5</v>
      </c>
      <c r="O52" s="1">
        <v>45478.500694444447</v>
      </c>
      <c r="P52" s="1">
        <v>45484.500694444447</v>
      </c>
    </row>
    <row r="53" spans="1:16" hidden="1" x14ac:dyDescent="0.25">
      <c r="A53" s="1">
        <v>45468.629861111112</v>
      </c>
      <c r="B53" t="s">
        <v>64</v>
      </c>
      <c r="C53" t="s">
        <v>583</v>
      </c>
      <c r="D53" t="s">
        <v>584</v>
      </c>
      <c r="E53" t="s">
        <v>52</v>
      </c>
      <c r="G53" s="1">
        <v>45488.333333333336</v>
      </c>
      <c r="H53" s="1">
        <v>45488.333333333336</v>
      </c>
      <c r="I53" s="1">
        <v>45488.708333333336</v>
      </c>
      <c r="J53" t="s">
        <v>23</v>
      </c>
      <c r="K53" s="1">
        <v>45481.333333333336</v>
      </c>
      <c r="L53" s="1">
        <v>45486.333333333336</v>
      </c>
      <c r="M53" s="1">
        <v>45482.000694444447</v>
      </c>
      <c r="N53" s="1">
        <v>45487.625</v>
      </c>
      <c r="O53" s="1">
        <v>45479.833333333336</v>
      </c>
      <c r="P53" s="1">
        <v>45485.833333333336</v>
      </c>
    </row>
    <row r="54" spans="1:16" hidden="1" x14ac:dyDescent="0.25">
      <c r="A54" s="1">
        <v>45468.629861111112</v>
      </c>
      <c r="B54" t="s">
        <v>275</v>
      </c>
      <c r="C54" t="s">
        <v>719</v>
      </c>
      <c r="D54" t="s">
        <v>720</v>
      </c>
      <c r="E54" t="s">
        <v>79</v>
      </c>
      <c r="F54" t="s">
        <v>14</v>
      </c>
      <c r="G54" s="1">
        <v>45488.000694444447</v>
      </c>
      <c r="H54" s="1">
        <v>45488.819444444445</v>
      </c>
      <c r="I54" s="1">
        <v>45489.486111111109</v>
      </c>
      <c r="J54" t="s">
        <v>16</v>
      </c>
      <c r="K54" s="1">
        <v>45481.000694444447</v>
      </c>
      <c r="L54" s="1">
        <v>45486.819444444445</v>
      </c>
      <c r="M54" s="1">
        <v>45482.000694444447</v>
      </c>
      <c r="N54" s="1">
        <v>45482.416666666664</v>
      </c>
      <c r="O54" s="1">
        <v>45479.500694444447</v>
      </c>
      <c r="P54" s="1">
        <v>45485.500694444447</v>
      </c>
    </row>
    <row r="55" spans="1:16" hidden="1" x14ac:dyDescent="0.25">
      <c r="A55" s="1">
        <v>45468.629861111112</v>
      </c>
      <c r="B55" t="s">
        <v>788</v>
      </c>
      <c r="C55" t="s">
        <v>358</v>
      </c>
      <c r="D55" t="s">
        <v>358</v>
      </c>
      <c r="E55" t="s">
        <v>138</v>
      </c>
      <c r="F55" t="s">
        <v>139</v>
      </c>
      <c r="G55" s="1">
        <v>45489.25</v>
      </c>
      <c r="H55" s="1">
        <v>45489.25</v>
      </c>
      <c r="I55" s="1">
        <v>45490.25</v>
      </c>
      <c r="J55" t="s">
        <v>17</v>
      </c>
      <c r="K55" s="1">
        <v>45482.25</v>
      </c>
      <c r="L55" s="1">
        <v>45487.25</v>
      </c>
      <c r="M55" s="1">
        <v>45483.000694444447</v>
      </c>
      <c r="N55" s="1">
        <v>45488.625</v>
      </c>
      <c r="O55" s="1">
        <v>45480.75</v>
      </c>
      <c r="P55" s="1">
        <v>45486.75</v>
      </c>
    </row>
    <row r="56" spans="1:16" hidden="1" x14ac:dyDescent="0.25">
      <c r="A56" s="1">
        <v>45468.629861111112</v>
      </c>
      <c r="B56" t="s">
        <v>789</v>
      </c>
      <c r="C56" t="s">
        <v>790</v>
      </c>
      <c r="D56" t="s">
        <v>790</v>
      </c>
      <c r="E56" t="s">
        <v>18</v>
      </c>
      <c r="F56" t="s">
        <v>19</v>
      </c>
      <c r="G56" s="1">
        <v>45489.916666666664</v>
      </c>
      <c r="H56" s="1">
        <v>45489.916666666664</v>
      </c>
      <c r="I56" s="1">
        <v>45490.916666666664</v>
      </c>
      <c r="J56" t="s">
        <v>80</v>
      </c>
      <c r="K56" s="1">
        <v>45482.916666666664</v>
      </c>
      <c r="L56" s="1">
        <v>45487.916666666664</v>
      </c>
      <c r="M56" s="1">
        <v>45483.000694444447</v>
      </c>
      <c r="N56" s="1">
        <v>45488.5</v>
      </c>
      <c r="O56" s="1">
        <v>45481.416666666664</v>
      </c>
      <c r="P56" s="1">
        <v>45487.416666666664</v>
      </c>
    </row>
    <row r="57" spans="1:16" hidden="1" x14ac:dyDescent="0.25">
      <c r="A57" s="1">
        <v>45468.629861111112</v>
      </c>
      <c r="B57" t="s">
        <v>569</v>
      </c>
      <c r="C57" t="s">
        <v>474</v>
      </c>
      <c r="D57" t="s">
        <v>474</v>
      </c>
      <c r="E57" t="s">
        <v>273</v>
      </c>
      <c r="F57" t="s">
        <v>125</v>
      </c>
      <c r="G57" s="1">
        <v>45490.416666666664</v>
      </c>
      <c r="H57" s="1">
        <v>45490.416666666664</v>
      </c>
      <c r="I57" s="1">
        <v>45491.375</v>
      </c>
      <c r="J57" t="s">
        <v>80</v>
      </c>
      <c r="K57" s="1">
        <v>45483.416666666664</v>
      </c>
      <c r="L57" s="1">
        <v>45488.416666666664</v>
      </c>
      <c r="M57" s="1">
        <v>45484.000694444447</v>
      </c>
      <c r="N57" s="1">
        <v>45489.625</v>
      </c>
      <c r="O57" s="1">
        <v>45481.916666666664</v>
      </c>
      <c r="P57" s="1">
        <v>45487.916666666664</v>
      </c>
    </row>
    <row r="58" spans="1:16" hidden="1" x14ac:dyDescent="0.25">
      <c r="A58" s="1">
        <v>45468.629861111112</v>
      </c>
      <c r="B58" t="s">
        <v>144</v>
      </c>
      <c r="C58" t="s">
        <v>315</v>
      </c>
      <c r="D58" t="s">
        <v>471</v>
      </c>
      <c r="E58" t="s">
        <v>46</v>
      </c>
      <c r="F58" t="s">
        <v>13</v>
      </c>
      <c r="G58" s="1">
        <v>45491.000694444447</v>
      </c>
      <c r="H58" s="1">
        <v>45491.000694444447</v>
      </c>
      <c r="I58" s="1">
        <v>45491.916666666664</v>
      </c>
      <c r="J58" t="s">
        <v>28</v>
      </c>
      <c r="K58" s="1">
        <v>45484.000694444447</v>
      </c>
      <c r="L58" s="1">
        <v>45489.000694444447</v>
      </c>
      <c r="M58" s="1">
        <v>45485.000694444447</v>
      </c>
      <c r="N58" s="1">
        <v>45489.625</v>
      </c>
      <c r="O58" s="1">
        <v>45482.500694444447</v>
      </c>
      <c r="P58" s="1">
        <v>45488.500694444447</v>
      </c>
    </row>
    <row r="59" spans="1:16" hidden="1" x14ac:dyDescent="0.25">
      <c r="A59" s="1">
        <v>45468.629861111112</v>
      </c>
      <c r="B59" t="s">
        <v>887</v>
      </c>
      <c r="C59" t="s">
        <v>543</v>
      </c>
      <c r="D59" t="s">
        <v>543</v>
      </c>
      <c r="E59" t="s">
        <v>436</v>
      </c>
      <c r="F59" t="s">
        <v>75</v>
      </c>
      <c r="G59" s="1">
        <v>45491.541666666664</v>
      </c>
      <c r="H59" s="1">
        <v>45491.541666666664</v>
      </c>
      <c r="I59" s="1">
        <v>45492.541666666664</v>
      </c>
      <c r="J59" t="s">
        <v>13</v>
      </c>
      <c r="K59" s="1">
        <v>45484.541666666664</v>
      </c>
      <c r="L59" s="1">
        <v>45489.541666666664</v>
      </c>
      <c r="M59" s="1">
        <v>45485.000694444447</v>
      </c>
      <c r="N59" s="1">
        <v>45490.625</v>
      </c>
      <c r="O59" s="1">
        <v>45483.041666666664</v>
      </c>
      <c r="P59" s="1">
        <v>45489.041666666664</v>
      </c>
    </row>
    <row r="60" spans="1:16" hidden="1" x14ac:dyDescent="0.25">
      <c r="A60" s="1">
        <v>45468.629861111112</v>
      </c>
      <c r="B60" t="s">
        <v>140</v>
      </c>
      <c r="C60" t="s">
        <v>382</v>
      </c>
      <c r="D60" t="s">
        <v>383</v>
      </c>
      <c r="E60" t="s">
        <v>77</v>
      </c>
      <c r="F60" t="s">
        <v>14</v>
      </c>
      <c r="G60" s="1">
        <v>45491.958333333336</v>
      </c>
      <c r="H60" s="1">
        <v>45491.958333333336</v>
      </c>
      <c r="I60" s="1">
        <v>45492.958333333336</v>
      </c>
      <c r="J60" t="s">
        <v>76</v>
      </c>
      <c r="K60" s="1">
        <v>45484.958333333336</v>
      </c>
      <c r="L60" s="1">
        <v>45489.958333333336</v>
      </c>
      <c r="M60" s="1">
        <v>45485.000694444447</v>
      </c>
      <c r="N60" s="1">
        <v>45490.625</v>
      </c>
      <c r="O60" s="1">
        <v>45483.458333333336</v>
      </c>
      <c r="P60" s="1">
        <v>45489.458333333336</v>
      </c>
    </row>
    <row r="61" spans="1:16" hidden="1" x14ac:dyDescent="0.25">
      <c r="A61" s="1">
        <v>45468.629861111112</v>
      </c>
      <c r="B61" t="s">
        <v>128</v>
      </c>
      <c r="C61" t="s">
        <v>461</v>
      </c>
      <c r="D61" t="s">
        <v>462</v>
      </c>
      <c r="E61" t="s">
        <v>44</v>
      </c>
      <c r="F61" t="s">
        <v>30</v>
      </c>
      <c r="G61" s="1">
        <v>45492.75</v>
      </c>
      <c r="H61" s="1">
        <v>45492.503472222219</v>
      </c>
      <c r="I61" s="1">
        <v>45493.128472222219</v>
      </c>
      <c r="J61" t="s">
        <v>13</v>
      </c>
      <c r="K61" s="1">
        <v>45485.75</v>
      </c>
      <c r="L61" s="1">
        <v>45490.503472222219</v>
      </c>
      <c r="M61" s="1">
        <v>45486.000694444447</v>
      </c>
      <c r="N61" s="1">
        <v>45491.625</v>
      </c>
      <c r="O61" s="1">
        <v>45484.25</v>
      </c>
      <c r="P61" s="1">
        <v>45490.25</v>
      </c>
    </row>
    <row r="62" spans="1:16" hidden="1" x14ac:dyDescent="0.25">
      <c r="A62" s="1">
        <v>45468.629861111112</v>
      </c>
      <c r="B62" t="s">
        <v>65</v>
      </c>
      <c r="C62" t="s">
        <v>592</v>
      </c>
      <c r="D62" t="s">
        <v>593</v>
      </c>
      <c r="E62" t="s">
        <v>44</v>
      </c>
      <c r="F62" t="s">
        <v>30</v>
      </c>
      <c r="G62" s="1">
        <v>45492.208333333336</v>
      </c>
      <c r="H62" s="1">
        <v>45492.75</v>
      </c>
      <c r="I62" s="1">
        <v>45493.375</v>
      </c>
      <c r="J62" t="s">
        <v>13</v>
      </c>
      <c r="K62" s="1">
        <v>45485.208333333336</v>
      </c>
      <c r="L62" s="1">
        <v>45490.75</v>
      </c>
      <c r="M62" s="1">
        <v>45486.000694444447</v>
      </c>
      <c r="N62" s="1">
        <v>45491.625</v>
      </c>
      <c r="O62" s="1">
        <v>45483.708333333336</v>
      </c>
      <c r="P62" s="1">
        <v>45489.708333333336</v>
      </c>
    </row>
    <row r="63" spans="1:16" hidden="1" x14ac:dyDescent="0.25">
      <c r="A63" s="1">
        <v>45468.629861111112</v>
      </c>
      <c r="B63" t="s">
        <v>148</v>
      </c>
      <c r="C63" t="s">
        <v>573</v>
      </c>
      <c r="D63" t="s">
        <v>716</v>
      </c>
      <c r="E63" t="s">
        <v>947</v>
      </c>
      <c r="G63" s="1">
        <v>45492.916666666664</v>
      </c>
      <c r="H63" s="1">
        <v>45492.916666666664</v>
      </c>
      <c r="I63" s="1">
        <v>45493.583333333336</v>
      </c>
      <c r="J63" t="s">
        <v>21</v>
      </c>
      <c r="K63" s="1">
        <v>45485.916666666664</v>
      </c>
      <c r="L63" s="1">
        <v>45490.916666666664</v>
      </c>
      <c r="M63" s="1">
        <v>45486.000694444447</v>
      </c>
      <c r="N63" s="1">
        <v>45491.625</v>
      </c>
      <c r="O63" s="1">
        <v>45484.416666666664</v>
      </c>
      <c r="P63" s="1">
        <v>45490.416666666664</v>
      </c>
    </row>
    <row r="64" spans="1:16" hidden="1" x14ac:dyDescent="0.25">
      <c r="A64" s="1">
        <v>45468.629861111112</v>
      </c>
      <c r="B64" t="s">
        <v>136</v>
      </c>
      <c r="C64" t="s">
        <v>313</v>
      </c>
      <c r="D64" t="s">
        <v>314</v>
      </c>
      <c r="E64" t="s">
        <v>43</v>
      </c>
      <c r="F64" t="s">
        <v>14</v>
      </c>
      <c r="G64" s="1">
        <v>45493.583333333336</v>
      </c>
      <c r="H64" s="1">
        <v>45493.583333333336</v>
      </c>
      <c r="I64" s="1">
        <v>45494.25</v>
      </c>
      <c r="J64" t="s">
        <v>13</v>
      </c>
      <c r="K64" s="1">
        <v>45486.583333333336</v>
      </c>
      <c r="L64" s="1">
        <v>45491.583333333336</v>
      </c>
      <c r="M64" s="1">
        <v>45487.000694444447</v>
      </c>
      <c r="N64" s="1">
        <v>45492.625</v>
      </c>
      <c r="O64" s="1">
        <v>45485.083333333336</v>
      </c>
      <c r="P64" s="1">
        <v>45491.083333333336</v>
      </c>
    </row>
    <row r="65" spans="1:16" hidden="1" x14ac:dyDescent="0.25">
      <c r="A65" s="1">
        <v>45468.629861111112</v>
      </c>
      <c r="B65" t="s">
        <v>890</v>
      </c>
      <c r="C65" t="s">
        <v>637</v>
      </c>
      <c r="D65" t="s">
        <v>553</v>
      </c>
      <c r="E65" t="s">
        <v>78</v>
      </c>
      <c r="F65" t="s">
        <v>13</v>
      </c>
      <c r="G65" s="1">
        <v>45493.75</v>
      </c>
      <c r="H65" s="1">
        <v>45493.75</v>
      </c>
      <c r="I65" s="1">
        <v>45495.041666666664</v>
      </c>
      <c r="J65" t="s">
        <v>14</v>
      </c>
      <c r="K65" s="1">
        <v>45486.75</v>
      </c>
      <c r="L65" s="1">
        <v>45491.75</v>
      </c>
      <c r="M65" s="1">
        <v>45487.000694444447</v>
      </c>
      <c r="N65" s="1">
        <v>45492.625</v>
      </c>
      <c r="O65" s="1">
        <v>45484.25</v>
      </c>
      <c r="P65" s="1">
        <v>45490.25</v>
      </c>
    </row>
    <row r="66" spans="1:16" hidden="1" x14ac:dyDescent="0.25">
      <c r="A66" s="1">
        <v>45468.629861111112</v>
      </c>
      <c r="B66" t="s">
        <v>132</v>
      </c>
      <c r="C66" t="s">
        <v>465</v>
      </c>
      <c r="D66" t="s">
        <v>387</v>
      </c>
      <c r="E66" t="s">
        <v>42</v>
      </c>
      <c r="F66" t="s">
        <v>14</v>
      </c>
      <c r="G66" s="1">
        <v>45494.291666666664</v>
      </c>
      <c r="H66" s="1">
        <v>45494.291666666664</v>
      </c>
      <c r="I66" s="1">
        <v>45494.958333333336</v>
      </c>
      <c r="J66" t="s">
        <v>17</v>
      </c>
      <c r="K66" s="1">
        <v>45487.291666666664</v>
      </c>
      <c r="L66" s="1">
        <v>45492.291666666664</v>
      </c>
      <c r="M66" s="1">
        <v>45488.000694444447</v>
      </c>
      <c r="N66" s="1">
        <v>45493.5</v>
      </c>
      <c r="O66" s="1">
        <v>45485.791666666664</v>
      </c>
      <c r="P66" s="1">
        <v>45491.791666666664</v>
      </c>
    </row>
    <row r="67" spans="1:16" hidden="1" x14ac:dyDescent="0.25">
      <c r="A67" s="1">
        <v>45468.629861111112</v>
      </c>
      <c r="B67" t="s">
        <v>137</v>
      </c>
      <c r="C67" t="s">
        <v>469</v>
      </c>
      <c r="D67" t="s">
        <v>423</v>
      </c>
      <c r="E67" t="s">
        <v>45</v>
      </c>
      <c r="F67" t="s">
        <v>14</v>
      </c>
      <c r="G67" s="1">
        <v>45495.000694444447</v>
      </c>
      <c r="H67" s="1">
        <v>45495.000694444447</v>
      </c>
      <c r="I67" s="1">
        <v>45495.708333333336</v>
      </c>
      <c r="J67" t="s">
        <v>16</v>
      </c>
      <c r="K67" s="1">
        <v>45488.000694444447</v>
      </c>
      <c r="L67" s="1">
        <v>45493.000694444447</v>
      </c>
      <c r="M67" s="1">
        <v>45489.000694444447</v>
      </c>
      <c r="N67" s="1">
        <v>45493.5</v>
      </c>
      <c r="O67" s="1">
        <v>45486.500694444447</v>
      </c>
      <c r="P67" s="1">
        <v>45492.500694444447</v>
      </c>
    </row>
    <row r="68" spans="1:16" hidden="1" x14ac:dyDescent="0.25">
      <c r="A68" s="1">
        <v>45468.629861111112</v>
      </c>
      <c r="B68" t="s">
        <v>64</v>
      </c>
      <c r="C68" t="s">
        <v>586</v>
      </c>
      <c r="D68" t="s">
        <v>587</v>
      </c>
      <c r="E68" t="s">
        <v>52</v>
      </c>
      <c r="G68" s="1">
        <v>45495.333333333336</v>
      </c>
      <c r="H68" s="1">
        <v>45495.333333333336</v>
      </c>
      <c r="I68" s="1">
        <v>45495.708333333336</v>
      </c>
      <c r="J68" t="s">
        <v>23</v>
      </c>
      <c r="K68" s="1">
        <v>45488.333333333336</v>
      </c>
      <c r="L68" s="1">
        <v>45493.333333333336</v>
      </c>
      <c r="M68" s="1">
        <v>45489.000694444447</v>
      </c>
      <c r="N68" s="1">
        <v>45494.625</v>
      </c>
      <c r="O68" s="1">
        <v>45486.833333333336</v>
      </c>
      <c r="P68" s="1">
        <v>45492.833333333336</v>
      </c>
    </row>
    <row r="69" spans="1:16" hidden="1" x14ac:dyDescent="0.25">
      <c r="A69" s="1">
        <v>45468.629861111112</v>
      </c>
      <c r="B69" t="s">
        <v>847</v>
      </c>
      <c r="C69" t="s">
        <v>848</v>
      </c>
      <c r="D69" t="s">
        <v>849</v>
      </c>
      <c r="E69" t="s">
        <v>79</v>
      </c>
      <c r="F69" t="s">
        <v>14</v>
      </c>
      <c r="G69" s="1">
        <v>45495.000694444447</v>
      </c>
      <c r="H69" s="1">
        <v>45495.756944444445</v>
      </c>
      <c r="I69" s="1">
        <v>45496.423611111109</v>
      </c>
      <c r="J69" t="s">
        <v>16</v>
      </c>
      <c r="K69" s="1">
        <v>45488.000694444447</v>
      </c>
      <c r="L69" s="1">
        <v>45493.756944444445</v>
      </c>
      <c r="M69" s="1">
        <v>45489.000694444447</v>
      </c>
      <c r="N69" s="1">
        <v>45492.416666666664</v>
      </c>
      <c r="O69" s="1">
        <v>45486.500694444447</v>
      </c>
      <c r="P69" s="1">
        <v>45492.500694444447</v>
      </c>
    </row>
    <row r="70" spans="1:16" hidden="1" x14ac:dyDescent="0.25">
      <c r="A70" s="1">
        <v>45468.629861111112</v>
      </c>
      <c r="B70" t="s">
        <v>193</v>
      </c>
      <c r="C70" t="s">
        <v>891</v>
      </c>
      <c r="D70" t="s">
        <v>892</v>
      </c>
      <c r="E70" t="s">
        <v>79</v>
      </c>
      <c r="F70" t="s">
        <v>14</v>
      </c>
      <c r="G70" s="1">
        <v>45496.000694444447</v>
      </c>
      <c r="H70" s="1">
        <v>45496.000694444447</v>
      </c>
      <c r="I70" s="1">
        <v>45496.666666666664</v>
      </c>
      <c r="J70" t="s">
        <v>16</v>
      </c>
      <c r="K70" s="1">
        <v>45489.000694444447</v>
      </c>
      <c r="L70" s="1">
        <v>45494.000694444447</v>
      </c>
      <c r="M70" s="1">
        <v>45490.000694444447</v>
      </c>
      <c r="N70" s="1">
        <v>45494.625</v>
      </c>
      <c r="O70" s="1">
        <v>45487.500694444447</v>
      </c>
      <c r="P70" s="1">
        <v>45493.500694444447</v>
      </c>
    </row>
    <row r="71" spans="1:16" hidden="1" x14ac:dyDescent="0.25">
      <c r="A71" s="1">
        <v>45468.629861111112</v>
      </c>
      <c r="B71" t="s">
        <v>932</v>
      </c>
      <c r="C71" t="s">
        <v>933</v>
      </c>
      <c r="D71" t="s">
        <v>933</v>
      </c>
      <c r="E71" t="s">
        <v>138</v>
      </c>
      <c r="F71" t="s">
        <v>139</v>
      </c>
      <c r="G71" s="1">
        <v>45496.25</v>
      </c>
      <c r="H71" s="1">
        <v>45496.25</v>
      </c>
      <c r="I71" s="1">
        <v>45497.25</v>
      </c>
      <c r="J71" t="s">
        <v>17</v>
      </c>
      <c r="K71" s="1">
        <v>45489.25</v>
      </c>
      <c r="L71" s="1">
        <v>45494.25</v>
      </c>
      <c r="M71" s="1">
        <v>45490.000694444447</v>
      </c>
      <c r="N71" s="1">
        <v>45495.625</v>
      </c>
      <c r="O71" s="1">
        <v>45487.75</v>
      </c>
      <c r="P71" s="1">
        <v>45493.75</v>
      </c>
    </row>
    <row r="72" spans="1:16" hidden="1" x14ac:dyDescent="0.25">
      <c r="A72" s="1">
        <v>45468.629861111112</v>
      </c>
      <c r="B72" t="s">
        <v>930</v>
      </c>
      <c r="C72" t="s">
        <v>931</v>
      </c>
      <c r="D72" t="s">
        <v>931</v>
      </c>
      <c r="E72" t="s">
        <v>18</v>
      </c>
      <c r="F72" t="s">
        <v>19</v>
      </c>
      <c r="G72" s="1">
        <v>45496.916666666664</v>
      </c>
      <c r="H72" s="1">
        <v>45496.916666666664</v>
      </c>
      <c r="I72" s="1">
        <v>45497.916666666664</v>
      </c>
      <c r="J72" t="s">
        <v>80</v>
      </c>
      <c r="K72" s="1">
        <v>45489.916666666664</v>
      </c>
      <c r="L72" s="1">
        <v>45494.916666666664</v>
      </c>
      <c r="M72" s="1">
        <v>45490.000694444447</v>
      </c>
      <c r="N72" s="1">
        <v>45495.5</v>
      </c>
      <c r="O72" s="1">
        <v>45488.416666666664</v>
      </c>
      <c r="P72" s="1">
        <v>45494.416666666664</v>
      </c>
    </row>
    <row r="73" spans="1:16" hidden="1" x14ac:dyDescent="0.25">
      <c r="A73" s="1">
        <v>45468.629861111112</v>
      </c>
      <c r="B73" t="s">
        <v>126</v>
      </c>
      <c r="C73" t="s">
        <v>683</v>
      </c>
      <c r="D73" t="s">
        <v>605</v>
      </c>
      <c r="E73" t="s">
        <v>129</v>
      </c>
      <c r="F73" t="s">
        <v>21</v>
      </c>
      <c r="G73" s="1">
        <v>45497.416666666664</v>
      </c>
      <c r="H73" s="1">
        <v>45497.416666666664</v>
      </c>
      <c r="I73" s="1">
        <v>45497.947916666664</v>
      </c>
      <c r="J73" t="s">
        <v>19</v>
      </c>
      <c r="K73" s="1">
        <v>45490.416666666664</v>
      </c>
      <c r="L73" s="1">
        <v>45495.416666666664</v>
      </c>
      <c r="M73" s="1">
        <v>45491.000694444447</v>
      </c>
      <c r="N73" s="1">
        <v>45496.625</v>
      </c>
      <c r="O73" s="1">
        <v>45488.916666666664</v>
      </c>
      <c r="P73" s="1">
        <v>45494.916666666664</v>
      </c>
    </row>
    <row r="74" spans="1:16" hidden="1" x14ac:dyDescent="0.25">
      <c r="A74" s="1">
        <v>45468.609027777777</v>
      </c>
      <c r="B74" t="s">
        <v>274</v>
      </c>
      <c r="C74" t="s">
        <v>494</v>
      </c>
      <c r="D74" t="s">
        <v>495</v>
      </c>
      <c r="E74" t="s">
        <v>79</v>
      </c>
      <c r="F74" t="s">
        <v>14</v>
      </c>
      <c r="G74" s="1">
        <v>45476.5</v>
      </c>
      <c r="H74" s="1">
        <v>45481.954861111109</v>
      </c>
      <c r="I74" s="1">
        <v>45482.621527777781</v>
      </c>
      <c r="J74" t="s">
        <v>16</v>
      </c>
      <c r="K74" s="1">
        <v>45469.5</v>
      </c>
      <c r="L74" s="1">
        <v>45479.954861111109</v>
      </c>
      <c r="M74" s="1">
        <v>45470.000694444447</v>
      </c>
      <c r="N74" s="1">
        <v>45476.416666666664</v>
      </c>
      <c r="O74" s="1">
        <v>45468</v>
      </c>
      <c r="P74" s="1">
        <v>45474</v>
      </c>
    </row>
    <row r="75" spans="1:16" hidden="1" x14ac:dyDescent="0.25">
      <c r="A75" s="1">
        <v>45468.609027777777</v>
      </c>
      <c r="B75" t="s">
        <v>275</v>
      </c>
      <c r="C75" t="s">
        <v>719</v>
      </c>
      <c r="D75" t="s">
        <v>720</v>
      </c>
      <c r="E75" t="s">
        <v>79</v>
      </c>
      <c r="F75" t="s">
        <v>14</v>
      </c>
      <c r="G75" s="1">
        <v>45488.000694444447</v>
      </c>
      <c r="H75" s="1">
        <v>45488.819444444445</v>
      </c>
      <c r="I75" s="1">
        <v>45489.486111111109</v>
      </c>
      <c r="J75" t="s">
        <v>16</v>
      </c>
      <c r="K75" s="1">
        <v>45481.000694444447</v>
      </c>
      <c r="L75" s="1">
        <v>45486.819444444445</v>
      </c>
      <c r="M75" s="1">
        <v>45482.000694444447</v>
      </c>
      <c r="N75" s="1">
        <v>45482.416666666664</v>
      </c>
      <c r="O75" s="1">
        <v>45474.500694444447</v>
      </c>
      <c r="P75" s="1">
        <v>45480.500694444447</v>
      </c>
    </row>
    <row r="76" spans="1:16" hidden="1" x14ac:dyDescent="0.25">
      <c r="A76" s="1">
        <v>45468.609027777777</v>
      </c>
      <c r="B76" t="s">
        <v>847</v>
      </c>
      <c r="C76" t="s">
        <v>848</v>
      </c>
      <c r="D76" t="s">
        <v>849</v>
      </c>
      <c r="E76" t="s">
        <v>79</v>
      </c>
      <c r="F76" t="s">
        <v>14</v>
      </c>
      <c r="G76" s="1">
        <v>45495.000694444447</v>
      </c>
      <c r="H76" s="1">
        <v>45495.756944444445</v>
      </c>
      <c r="I76" s="1">
        <v>45496.423611111109</v>
      </c>
      <c r="J76" t="s">
        <v>16</v>
      </c>
      <c r="K76" s="1">
        <v>45488.000694444447</v>
      </c>
      <c r="L76" s="1">
        <v>45493.756944444445</v>
      </c>
      <c r="M76" s="1">
        <v>45489.000694444447</v>
      </c>
      <c r="N76" s="1">
        <v>45487.416666666664</v>
      </c>
      <c r="O76" s="1">
        <v>45480.500694444447</v>
      </c>
      <c r="P76" s="1">
        <v>45486.500694444447</v>
      </c>
    </row>
    <row r="77" spans="1:16" hidden="1" x14ac:dyDescent="0.25">
      <c r="A77" s="1">
        <v>45468.588194444441</v>
      </c>
      <c r="B77" t="s">
        <v>545</v>
      </c>
      <c r="C77" t="s">
        <v>546</v>
      </c>
      <c r="D77" t="s">
        <v>546</v>
      </c>
      <c r="E77" t="s">
        <v>18</v>
      </c>
      <c r="F77" t="s">
        <v>19</v>
      </c>
      <c r="G77" s="1">
        <v>45468.916666666664</v>
      </c>
      <c r="H77" s="1">
        <v>45469.229166666664</v>
      </c>
      <c r="I77" s="1">
        <v>45470.041666666664</v>
      </c>
      <c r="J77" t="s">
        <v>80</v>
      </c>
      <c r="K77" s="1">
        <v>45461.916666666664</v>
      </c>
      <c r="L77" s="1">
        <v>45467.229166666664</v>
      </c>
      <c r="M77" s="1">
        <v>45462.000694444447</v>
      </c>
      <c r="N77" s="1">
        <v>45467.625</v>
      </c>
      <c r="O77" s="1">
        <v>45460.416666666664</v>
      </c>
      <c r="P77" s="1">
        <v>45466.416666666664</v>
      </c>
    </row>
    <row r="78" spans="1:16" hidden="1" x14ac:dyDescent="0.25">
      <c r="A78" s="1">
        <v>45468.588194444441</v>
      </c>
      <c r="B78" t="s">
        <v>435</v>
      </c>
      <c r="C78" t="s">
        <v>322</v>
      </c>
      <c r="D78" t="s">
        <v>322</v>
      </c>
      <c r="E78" t="s">
        <v>273</v>
      </c>
      <c r="F78" t="s">
        <v>125</v>
      </c>
      <c r="G78" s="1">
        <v>45469.416666666664</v>
      </c>
      <c r="H78" s="1">
        <v>45470.083333333336</v>
      </c>
      <c r="I78" s="1">
        <v>45470.791666666664</v>
      </c>
      <c r="J78" t="s">
        <v>80</v>
      </c>
      <c r="K78" s="1">
        <v>45462.416666666664</v>
      </c>
      <c r="L78" s="1">
        <v>45468.083333333336</v>
      </c>
      <c r="M78" s="1">
        <v>45463.000694444447</v>
      </c>
      <c r="N78" s="1">
        <v>45468.625</v>
      </c>
      <c r="O78" s="1">
        <v>45460.916666666664</v>
      </c>
      <c r="P78" s="1">
        <v>45466.916666666664</v>
      </c>
    </row>
    <row r="79" spans="1:16" hidden="1" x14ac:dyDescent="0.25">
      <c r="A79" s="1">
        <v>45468.588194444441</v>
      </c>
      <c r="B79" t="s">
        <v>192</v>
      </c>
      <c r="C79" t="s">
        <v>282</v>
      </c>
      <c r="D79" t="s">
        <v>320</v>
      </c>
      <c r="E79" t="s">
        <v>46</v>
      </c>
      <c r="F79" t="s">
        <v>13</v>
      </c>
      <c r="G79" s="1">
        <v>45470</v>
      </c>
      <c r="H79" s="1">
        <v>45470.958333333336</v>
      </c>
      <c r="I79" s="1">
        <v>45471.979166666664</v>
      </c>
      <c r="J79" t="s">
        <v>27</v>
      </c>
      <c r="K79" s="1">
        <v>45463</v>
      </c>
      <c r="L79" s="1">
        <v>45468.958333333336</v>
      </c>
      <c r="M79" s="1">
        <v>45464.000694444447</v>
      </c>
      <c r="N79" s="1">
        <v>45468.625</v>
      </c>
      <c r="O79" s="1">
        <v>45461.5</v>
      </c>
      <c r="P79" s="1">
        <v>45467.5</v>
      </c>
    </row>
    <row r="80" spans="1:16" hidden="1" x14ac:dyDescent="0.25">
      <c r="A80" s="1">
        <v>45468.588194444441</v>
      </c>
      <c r="B80" t="s">
        <v>274</v>
      </c>
      <c r="C80" t="s">
        <v>494</v>
      </c>
      <c r="D80" t="s">
        <v>495</v>
      </c>
      <c r="E80" t="s">
        <v>79</v>
      </c>
      <c r="F80" t="s">
        <v>14</v>
      </c>
      <c r="G80" s="1">
        <v>45476.5</v>
      </c>
      <c r="H80" s="1">
        <v>45481.84375</v>
      </c>
      <c r="I80" s="1">
        <v>45482.510416666664</v>
      </c>
      <c r="J80" t="s">
        <v>16</v>
      </c>
      <c r="K80" s="1">
        <v>45469.5</v>
      </c>
      <c r="L80" s="1">
        <v>45479.84375</v>
      </c>
      <c r="M80" s="1">
        <v>45470.000694444447</v>
      </c>
      <c r="N80" s="1">
        <v>45476.416666666664</v>
      </c>
      <c r="O80" s="1">
        <v>45468</v>
      </c>
      <c r="P80" s="1">
        <v>45474</v>
      </c>
    </row>
    <row r="81" spans="1:16" hidden="1" x14ac:dyDescent="0.25">
      <c r="A81" s="1">
        <v>45468.588194444441</v>
      </c>
      <c r="B81" t="s">
        <v>275</v>
      </c>
      <c r="C81" t="s">
        <v>719</v>
      </c>
      <c r="D81" t="s">
        <v>720</v>
      </c>
      <c r="E81" t="s">
        <v>79</v>
      </c>
      <c r="F81" t="s">
        <v>14</v>
      </c>
      <c r="G81" s="1">
        <v>45483.000694444447</v>
      </c>
      <c r="H81" s="1">
        <v>45482.6875</v>
      </c>
      <c r="I81" s="1">
        <v>45483.354166666664</v>
      </c>
      <c r="J81" t="s">
        <v>16</v>
      </c>
      <c r="K81" s="1">
        <v>45476.000694444447</v>
      </c>
      <c r="L81" s="1">
        <v>45480.6875</v>
      </c>
      <c r="M81" s="1">
        <v>45477.000694444447</v>
      </c>
      <c r="N81" s="1">
        <v>45482.416666666664</v>
      </c>
      <c r="O81" s="1">
        <v>45474.500694444447</v>
      </c>
      <c r="P81" s="1">
        <v>45480.500694444447</v>
      </c>
    </row>
    <row r="82" spans="1:16" hidden="1" x14ac:dyDescent="0.25">
      <c r="A82" s="1">
        <v>45468.588194444441</v>
      </c>
      <c r="B82" t="s">
        <v>847</v>
      </c>
      <c r="C82" t="s">
        <v>848</v>
      </c>
      <c r="D82" t="s">
        <v>849</v>
      </c>
      <c r="E82" t="s">
        <v>79</v>
      </c>
      <c r="F82" t="s">
        <v>14</v>
      </c>
      <c r="G82" s="1">
        <v>45489.000694444447</v>
      </c>
      <c r="H82" s="1">
        <v>45488.958333333336</v>
      </c>
      <c r="I82" s="1">
        <v>45489.625</v>
      </c>
      <c r="J82" t="s">
        <v>16</v>
      </c>
      <c r="K82" s="1">
        <v>45482.000694444447</v>
      </c>
      <c r="L82" s="1">
        <v>45486.958333333336</v>
      </c>
      <c r="M82" s="1">
        <v>45483.000694444447</v>
      </c>
      <c r="N82" s="1">
        <v>45487.416666666664</v>
      </c>
      <c r="O82" s="1">
        <v>45480.500694444447</v>
      </c>
      <c r="P82" s="1">
        <v>45486.500694444447</v>
      </c>
    </row>
    <row r="83" spans="1:16" hidden="1" x14ac:dyDescent="0.25">
      <c r="A83" s="1">
        <v>45468.568055555559</v>
      </c>
      <c r="B83" t="s">
        <v>141</v>
      </c>
      <c r="C83" t="s">
        <v>358</v>
      </c>
      <c r="D83" t="s">
        <v>358</v>
      </c>
      <c r="E83" t="s">
        <v>732</v>
      </c>
      <c r="F83" t="s">
        <v>125</v>
      </c>
      <c r="G83" s="1">
        <v>45468.5</v>
      </c>
      <c r="H83" s="1">
        <v>45469.875</v>
      </c>
      <c r="I83" s="1">
        <v>45470.708333333336</v>
      </c>
      <c r="J83" t="s">
        <v>17</v>
      </c>
      <c r="K83" s="1">
        <v>45461.5</v>
      </c>
      <c r="L83" s="1">
        <v>45467.875</v>
      </c>
      <c r="M83" s="1">
        <v>45462.000694444447</v>
      </c>
      <c r="N83" s="1">
        <v>45467.625</v>
      </c>
      <c r="O83" s="1">
        <v>45460</v>
      </c>
      <c r="P83" s="1">
        <v>45466</v>
      </c>
    </row>
    <row r="84" spans="1:16" hidden="1" x14ac:dyDescent="0.25">
      <c r="A84" s="1">
        <v>45468.568055555559</v>
      </c>
      <c r="B84" t="s">
        <v>569</v>
      </c>
      <c r="C84" t="s">
        <v>386</v>
      </c>
      <c r="D84" t="s">
        <v>386</v>
      </c>
      <c r="E84" t="s">
        <v>436</v>
      </c>
      <c r="F84" t="s">
        <v>75</v>
      </c>
      <c r="G84" s="1">
        <v>45470.541666666664</v>
      </c>
      <c r="H84" s="1">
        <v>45470.697916666664</v>
      </c>
      <c r="I84" s="1">
        <v>45471.291666666664</v>
      </c>
      <c r="J84" t="s">
        <v>13</v>
      </c>
      <c r="K84" s="1">
        <v>45463.541666666664</v>
      </c>
      <c r="L84" s="1">
        <v>45468.697916666664</v>
      </c>
      <c r="M84" s="1">
        <v>45464.000694444447</v>
      </c>
      <c r="N84" s="1">
        <v>45469.5</v>
      </c>
      <c r="O84" s="1">
        <v>45462.041666666664</v>
      </c>
      <c r="P84" s="1">
        <v>45468.041666666664</v>
      </c>
    </row>
    <row r="85" spans="1:16" hidden="1" x14ac:dyDescent="0.25">
      <c r="A85" s="1">
        <v>45468.523611111108</v>
      </c>
      <c r="B85" t="s">
        <v>148</v>
      </c>
      <c r="C85" t="s">
        <v>871</v>
      </c>
      <c r="D85" t="s">
        <v>568</v>
      </c>
      <c r="E85" t="s">
        <v>121</v>
      </c>
      <c r="F85" t="s">
        <v>122</v>
      </c>
      <c r="G85" s="1">
        <v>45472</v>
      </c>
      <c r="H85" s="1">
        <v>45472.041666666664</v>
      </c>
      <c r="I85" s="1">
        <v>45472.708333333336</v>
      </c>
      <c r="J85" t="s">
        <v>16</v>
      </c>
      <c r="K85" s="1">
        <v>45465</v>
      </c>
      <c r="L85" s="1">
        <v>45470.041666666664</v>
      </c>
      <c r="M85" s="1">
        <v>45466.000694444447</v>
      </c>
      <c r="N85" s="1">
        <v>45470.625</v>
      </c>
      <c r="O85" s="1">
        <v>45463.5</v>
      </c>
      <c r="P85" s="1">
        <v>45469.5</v>
      </c>
    </row>
    <row r="86" spans="1:16" hidden="1" x14ac:dyDescent="0.25">
      <c r="A86" s="1">
        <v>45468.523611111108</v>
      </c>
      <c r="B86" t="s">
        <v>184</v>
      </c>
      <c r="C86" t="s">
        <v>292</v>
      </c>
      <c r="D86" t="s">
        <v>575</v>
      </c>
      <c r="E86" t="s">
        <v>121</v>
      </c>
      <c r="F86" t="s">
        <v>122</v>
      </c>
      <c r="G86" s="1">
        <v>45478.833333333336</v>
      </c>
      <c r="H86" s="1">
        <v>45478.895833333336</v>
      </c>
      <c r="I86" s="1">
        <v>45479.625</v>
      </c>
      <c r="J86" t="s">
        <v>16</v>
      </c>
      <c r="K86" s="1">
        <v>45471.833333333336</v>
      </c>
      <c r="L86" s="1">
        <v>45476.895833333336</v>
      </c>
      <c r="M86" s="1">
        <v>45472.000694444447</v>
      </c>
      <c r="N86" s="1">
        <v>45477.625</v>
      </c>
      <c r="O86" s="1">
        <v>45470.333333333336</v>
      </c>
      <c r="P86" s="1">
        <v>45476.333333333336</v>
      </c>
    </row>
    <row r="87" spans="1:16" hidden="1" x14ac:dyDescent="0.25">
      <c r="A87" s="1">
        <v>45468.523611111108</v>
      </c>
      <c r="B87" t="s">
        <v>155</v>
      </c>
      <c r="C87" t="s">
        <v>491</v>
      </c>
      <c r="D87" t="s">
        <v>628</v>
      </c>
      <c r="E87" t="s">
        <v>121</v>
      </c>
      <c r="F87" t="s">
        <v>122</v>
      </c>
      <c r="G87" s="1">
        <v>45485.916666666664</v>
      </c>
      <c r="H87" s="1">
        <v>45485.916666666664</v>
      </c>
      <c r="I87" s="1">
        <v>45486.583333333336</v>
      </c>
      <c r="J87" t="s">
        <v>16</v>
      </c>
      <c r="K87" s="1">
        <v>45478.916666666664</v>
      </c>
      <c r="L87" s="1">
        <v>45483.916666666664</v>
      </c>
      <c r="M87" s="1">
        <v>45479.000694444447</v>
      </c>
      <c r="N87" s="1">
        <v>45484.625</v>
      </c>
      <c r="O87" s="1">
        <v>45475.916666666664</v>
      </c>
      <c r="P87" s="1">
        <v>45483.916666666664</v>
      </c>
    </row>
    <row r="88" spans="1:16" hidden="1" x14ac:dyDescent="0.25">
      <c r="A88" s="1">
        <v>45468.523611111108</v>
      </c>
      <c r="B88" t="s">
        <v>148</v>
      </c>
      <c r="C88" t="s">
        <v>573</v>
      </c>
      <c r="D88" t="s">
        <v>716</v>
      </c>
      <c r="E88" t="s">
        <v>121</v>
      </c>
      <c r="F88" t="s">
        <v>122</v>
      </c>
      <c r="G88" s="1">
        <v>45492.916666666664</v>
      </c>
      <c r="H88" s="1">
        <v>45492.916666666664</v>
      </c>
      <c r="I88" s="1">
        <v>45493.583333333336</v>
      </c>
      <c r="J88" t="s">
        <v>16</v>
      </c>
      <c r="K88" s="1">
        <v>45485.916666666664</v>
      </c>
      <c r="L88" s="1">
        <v>45490.916666666664</v>
      </c>
      <c r="M88" s="1">
        <v>45486.000694444447</v>
      </c>
      <c r="N88" s="1">
        <v>45491.625</v>
      </c>
      <c r="O88" s="1">
        <v>45484.416666666664</v>
      </c>
      <c r="P88" s="1">
        <v>45490.416666666664</v>
      </c>
    </row>
    <row r="89" spans="1:16" hidden="1" x14ac:dyDescent="0.25">
      <c r="A89" s="1">
        <v>45468.50277777778</v>
      </c>
      <c r="B89" t="s">
        <v>357</v>
      </c>
      <c r="C89" t="s">
        <v>284</v>
      </c>
      <c r="D89" t="s">
        <v>255</v>
      </c>
      <c r="E89" t="s">
        <v>45</v>
      </c>
      <c r="F89" t="s">
        <v>173</v>
      </c>
      <c r="G89" s="1">
        <v>45467.208333333336</v>
      </c>
      <c r="H89" s="1">
        <v>45468.4375</v>
      </c>
      <c r="I89" s="1">
        <v>45468.979166666664</v>
      </c>
      <c r="J89" t="s">
        <v>21</v>
      </c>
      <c r="K89" s="1">
        <v>45460.208333333336</v>
      </c>
      <c r="L89" s="1">
        <v>45466.4375</v>
      </c>
      <c r="M89" s="1">
        <v>45461.000694444447</v>
      </c>
      <c r="N89" s="1">
        <v>45466.625</v>
      </c>
      <c r="O89" s="1">
        <v>45458.708333333336</v>
      </c>
      <c r="P89" s="1">
        <v>45464.708333333336</v>
      </c>
    </row>
    <row r="90" spans="1:16" hidden="1" x14ac:dyDescent="0.25">
      <c r="A90" s="1">
        <v>45468.50277777778</v>
      </c>
      <c r="B90" t="s">
        <v>435</v>
      </c>
      <c r="C90" t="s">
        <v>322</v>
      </c>
      <c r="D90" t="s">
        <v>322</v>
      </c>
      <c r="E90" t="s">
        <v>273</v>
      </c>
      <c r="F90" t="s">
        <v>125</v>
      </c>
      <c r="G90" s="1">
        <v>45469.416666666664</v>
      </c>
      <c r="H90" s="1">
        <v>45470.083333333336</v>
      </c>
      <c r="I90" s="1">
        <v>45470.875</v>
      </c>
      <c r="J90" t="s">
        <v>80</v>
      </c>
      <c r="K90" s="1">
        <v>45462.416666666664</v>
      </c>
      <c r="L90" s="1">
        <v>45468.083333333336</v>
      </c>
      <c r="M90" s="1">
        <v>45463.000694444447</v>
      </c>
      <c r="N90" s="1">
        <v>45468.625</v>
      </c>
      <c r="O90" s="1">
        <v>45460.916666666664</v>
      </c>
      <c r="P90" s="1">
        <v>45466.916666666664</v>
      </c>
    </row>
    <row r="91" spans="1:16" hidden="1" x14ac:dyDescent="0.25">
      <c r="A91" s="1">
        <v>45468.50277777778</v>
      </c>
      <c r="B91" t="s">
        <v>569</v>
      </c>
      <c r="C91" t="s">
        <v>386</v>
      </c>
      <c r="D91" t="s">
        <v>386</v>
      </c>
      <c r="E91" t="s">
        <v>436</v>
      </c>
      <c r="F91" t="s">
        <v>75</v>
      </c>
      <c r="G91" s="1">
        <v>45470.541666666664</v>
      </c>
      <c r="H91" s="1">
        <v>45470.697916666664</v>
      </c>
      <c r="I91" s="1">
        <v>45471.458333333336</v>
      </c>
      <c r="J91" t="s">
        <v>13</v>
      </c>
      <c r="K91" s="1">
        <v>45463.541666666664</v>
      </c>
      <c r="L91" s="1">
        <v>45468.697916666664</v>
      </c>
      <c r="M91" s="1">
        <v>45464.000694444447</v>
      </c>
      <c r="N91" s="1">
        <v>45469.5</v>
      </c>
      <c r="O91" s="1">
        <v>45462.041666666664</v>
      </c>
      <c r="P91" s="1">
        <v>45468.041666666664</v>
      </c>
    </row>
    <row r="92" spans="1:16" hidden="1" x14ac:dyDescent="0.25">
      <c r="A92" s="1">
        <v>45468.50277777778</v>
      </c>
      <c r="B92" t="s">
        <v>478</v>
      </c>
      <c r="C92" t="s">
        <v>471</v>
      </c>
      <c r="D92" t="s">
        <v>471</v>
      </c>
      <c r="E92" t="s">
        <v>273</v>
      </c>
      <c r="F92" t="s">
        <v>125</v>
      </c>
      <c r="G92" s="1">
        <v>45476.416666666664</v>
      </c>
      <c r="H92" s="1">
        <v>45476.416666666664</v>
      </c>
      <c r="I92" s="1">
        <v>45477.166666666664</v>
      </c>
      <c r="J92" t="s">
        <v>80</v>
      </c>
      <c r="K92" s="1">
        <v>45469.416666666664</v>
      </c>
      <c r="L92" s="1">
        <v>45474.416666666664</v>
      </c>
      <c r="M92" s="1">
        <v>45470.000694444447</v>
      </c>
      <c r="N92" s="1">
        <v>45475.625</v>
      </c>
      <c r="O92" s="1">
        <v>45467.916666666664</v>
      </c>
      <c r="P92" s="1">
        <v>45473.916666666664</v>
      </c>
    </row>
    <row r="93" spans="1:16" hidden="1" x14ac:dyDescent="0.25">
      <c r="A93" s="1">
        <v>45468.50277777778</v>
      </c>
      <c r="B93" t="s">
        <v>489</v>
      </c>
      <c r="C93" t="s">
        <v>472</v>
      </c>
      <c r="D93" t="s">
        <v>472</v>
      </c>
      <c r="E93" t="s">
        <v>273</v>
      </c>
      <c r="F93" t="s">
        <v>125</v>
      </c>
      <c r="G93" s="1">
        <v>45483.416666666664</v>
      </c>
      <c r="H93" s="1">
        <v>45483.416666666664</v>
      </c>
      <c r="I93" s="1">
        <v>45484.375</v>
      </c>
      <c r="J93" t="s">
        <v>80</v>
      </c>
      <c r="K93" s="1">
        <v>45476.416666666664</v>
      </c>
      <c r="L93" s="1">
        <v>45481.416666666664</v>
      </c>
      <c r="M93" s="1">
        <v>45477.000694444447</v>
      </c>
      <c r="N93" s="1">
        <v>45482.625</v>
      </c>
      <c r="O93" s="1">
        <v>45474.916666666664</v>
      </c>
      <c r="P93" s="1">
        <v>45480.916666666664</v>
      </c>
    </row>
    <row r="94" spans="1:16" hidden="1" x14ac:dyDescent="0.25">
      <c r="A94" s="1">
        <v>45468.409722222219</v>
      </c>
      <c r="B94" t="s">
        <v>326</v>
      </c>
      <c r="C94" t="s">
        <v>283</v>
      </c>
      <c r="D94" t="s">
        <v>247</v>
      </c>
      <c r="E94" t="s">
        <v>42</v>
      </c>
      <c r="F94" t="s">
        <v>14</v>
      </c>
      <c r="G94" s="1">
        <v>45459.291666666664</v>
      </c>
      <c r="H94" s="1">
        <v>45466.612500000003</v>
      </c>
      <c r="I94" s="1">
        <v>45468.385416666664</v>
      </c>
      <c r="J94" t="s">
        <v>17</v>
      </c>
      <c r="K94" s="1">
        <v>45452.291666666664</v>
      </c>
      <c r="L94" s="1">
        <v>45464.583333333336</v>
      </c>
      <c r="M94" s="1">
        <v>45453.000694444447</v>
      </c>
      <c r="N94" s="1">
        <v>45464.625</v>
      </c>
      <c r="O94" s="1">
        <v>45450.791666666664</v>
      </c>
      <c r="P94" s="1">
        <v>45456.791666666664</v>
      </c>
    </row>
    <row r="95" spans="1:16" hidden="1" x14ac:dyDescent="0.25">
      <c r="A95" s="1">
        <v>45467.704861111109</v>
      </c>
      <c r="B95" t="s">
        <v>326</v>
      </c>
      <c r="C95" t="s">
        <v>283</v>
      </c>
      <c r="D95" t="s">
        <v>247</v>
      </c>
      <c r="E95" t="s">
        <v>42</v>
      </c>
      <c r="F95" t="s">
        <v>14</v>
      </c>
      <c r="G95" s="1">
        <v>45459.291666666664</v>
      </c>
      <c r="H95" s="1">
        <v>45466.612500000003</v>
      </c>
      <c r="I95" s="1">
        <v>45468.208333333336</v>
      </c>
      <c r="J95" t="s">
        <v>17</v>
      </c>
      <c r="K95" s="1">
        <v>45452.291666666664</v>
      </c>
      <c r="L95" s="1">
        <v>45464.583333333336</v>
      </c>
      <c r="M95" s="1">
        <v>45453.000694444447</v>
      </c>
      <c r="N95" s="1">
        <v>45464.625</v>
      </c>
      <c r="O95" s="1">
        <v>45450.791666666664</v>
      </c>
      <c r="P95" s="1">
        <v>45456.791666666664</v>
      </c>
    </row>
    <row r="96" spans="1:16" hidden="1" x14ac:dyDescent="0.25">
      <c r="A96" s="1">
        <v>45467.704861111109</v>
      </c>
      <c r="B96" t="s">
        <v>478</v>
      </c>
      <c r="C96" t="s">
        <v>315</v>
      </c>
      <c r="D96" t="s">
        <v>315</v>
      </c>
      <c r="E96" t="s">
        <v>436</v>
      </c>
      <c r="F96" t="s">
        <v>75</v>
      </c>
      <c r="G96" s="1">
        <v>45459.75</v>
      </c>
      <c r="H96" s="1">
        <v>45464.741666666669</v>
      </c>
      <c r="I96" s="1">
        <v>45464.979166666664</v>
      </c>
      <c r="J96" t="s">
        <v>13</v>
      </c>
      <c r="K96" s="1">
        <v>45452.75</v>
      </c>
      <c r="L96" s="1">
        <v>45462.3125</v>
      </c>
      <c r="M96" s="1">
        <v>45453.000694444447</v>
      </c>
      <c r="N96" s="1">
        <v>45462.625</v>
      </c>
      <c r="O96" s="1">
        <v>45451.25</v>
      </c>
      <c r="P96" s="1">
        <v>45457.25</v>
      </c>
    </row>
    <row r="97" spans="1:16" hidden="1" x14ac:dyDescent="0.25">
      <c r="A97" s="1">
        <v>45467.704861111109</v>
      </c>
      <c r="B97" t="s">
        <v>357</v>
      </c>
      <c r="C97" t="s">
        <v>284</v>
      </c>
      <c r="D97" t="s">
        <v>255</v>
      </c>
      <c r="E97" t="s">
        <v>45</v>
      </c>
      <c r="F97" t="s">
        <v>173</v>
      </c>
      <c r="G97" s="1">
        <v>45467.208333333336</v>
      </c>
      <c r="H97" s="1">
        <v>45468.416666666664</v>
      </c>
      <c r="I97" s="1">
        <v>45468.916666666664</v>
      </c>
      <c r="J97" t="s">
        <v>21</v>
      </c>
      <c r="K97" s="1">
        <v>45460.208333333336</v>
      </c>
      <c r="L97" s="1">
        <v>45466.416666666664</v>
      </c>
      <c r="M97" s="1">
        <v>45461.000694444447</v>
      </c>
      <c r="N97" s="1">
        <v>45466.625</v>
      </c>
      <c r="O97" s="1">
        <v>45458.708333333336</v>
      </c>
      <c r="P97" s="1">
        <v>45464.708333333336</v>
      </c>
    </row>
    <row r="98" spans="1:16" hidden="1" x14ac:dyDescent="0.25">
      <c r="A98" s="1">
        <v>45467.704861111109</v>
      </c>
      <c r="B98" t="s">
        <v>454</v>
      </c>
      <c r="C98" t="s">
        <v>455</v>
      </c>
      <c r="D98" t="s">
        <v>456</v>
      </c>
      <c r="E98" t="s">
        <v>79</v>
      </c>
      <c r="F98" t="s">
        <v>217</v>
      </c>
      <c r="G98" s="1">
        <v>45468</v>
      </c>
      <c r="H98" s="1">
        <v>45468.4375</v>
      </c>
      <c r="I98" s="1">
        <v>45469.114583333336</v>
      </c>
      <c r="J98" t="s">
        <v>16</v>
      </c>
      <c r="K98" s="1">
        <v>45461</v>
      </c>
      <c r="L98" s="1">
        <v>45466.4375</v>
      </c>
      <c r="M98" s="1">
        <v>45462.000694444447</v>
      </c>
      <c r="N98" s="1">
        <v>45465.625</v>
      </c>
      <c r="O98" s="1">
        <v>45459.5</v>
      </c>
      <c r="P98" s="1">
        <v>45465.5</v>
      </c>
    </row>
    <row r="99" spans="1:16" hidden="1" x14ac:dyDescent="0.25">
      <c r="A99" s="1">
        <v>45467.704861111109</v>
      </c>
      <c r="B99" t="s">
        <v>64</v>
      </c>
      <c r="C99" t="s">
        <v>329</v>
      </c>
      <c r="D99" t="s">
        <v>330</v>
      </c>
      <c r="E99" t="s">
        <v>52</v>
      </c>
      <c r="G99" s="1">
        <v>45468.333333333336</v>
      </c>
      <c r="H99" s="1">
        <v>45469.1875</v>
      </c>
      <c r="I99" s="1">
        <v>45469.708333333336</v>
      </c>
      <c r="J99" t="s">
        <v>23</v>
      </c>
      <c r="K99" s="1">
        <v>45461.333333333336</v>
      </c>
      <c r="L99" s="1">
        <v>45467.1875</v>
      </c>
      <c r="M99" s="1">
        <v>45462.000694444447</v>
      </c>
      <c r="N99" s="1">
        <v>45467.5</v>
      </c>
      <c r="O99" s="1">
        <v>45459.833333333336</v>
      </c>
      <c r="P99" s="1">
        <v>45465.833333333336</v>
      </c>
    </row>
    <row r="100" spans="1:16" hidden="1" x14ac:dyDescent="0.25">
      <c r="A100" s="1">
        <v>45467.704861111109</v>
      </c>
      <c r="B100" t="s">
        <v>249</v>
      </c>
      <c r="C100" t="s">
        <v>493</v>
      </c>
      <c r="D100" t="s">
        <v>493</v>
      </c>
      <c r="E100" t="s">
        <v>246</v>
      </c>
      <c r="F100" t="s">
        <v>23</v>
      </c>
      <c r="G100" s="1">
        <v>45466.291666666664</v>
      </c>
      <c r="H100" s="1">
        <v>45468.958333333336</v>
      </c>
      <c r="I100" s="1">
        <v>45469.145833333336</v>
      </c>
      <c r="J100" t="s">
        <v>76</v>
      </c>
      <c r="K100" s="1">
        <v>45459.291666666664</v>
      </c>
      <c r="L100" s="1">
        <v>45466.958333333336</v>
      </c>
      <c r="M100" s="1">
        <v>45460.000694444447</v>
      </c>
      <c r="N100" s="1">
        <v>45465.708333333336</v>
      </c>
      <c r="O100" s="1">
        <v>45456.291666666664</v>
      </c>
      <c r="P100" s="1">
        <v>45466.958333333336</v>
      </c>
    </row>
    <row r="101" spans="1:16" hidden="1" x14ac:dyDescent="0.25">
      <c r="A101" s="1">
        <v>45467.704861111109</v>
      </c>
      <c r="B101" t="s">
        <v>545</v>
      </c>
      <c r="C101" t="s">
        <v>546</v>
      </c>
      <c r="D101" t="s">
        <v>546</v>
      </c>
      <c r="E101" t="s">
        <v>18</v>
      </c>
      <c r="F101" t="s">
        <v>19</v>
      </c>
      <c r="G101" s="1">
        <v>45468.916666666664</v>
      </c>
      <c r="H101" s="1">
        <v>45469.208333333336</v>
      </c>
      <c r="I101" s="1">
        <v>45470.041666666664</v>
      </c>
      <c r="J101" t="s">
        <v>80</v>
      </c>
      <c r="K101" s="1">
        <v>45461.916666666664</v>
      </c>
      <c r="L101" s="1">
        <v>45467.208333333336</v>
      </c>
      <c r="M101" s="1">
        <v>45462.000694444447</v>
      </c>
      <c r="N101" s="1">
        <v>45467.625</v>
      </c>
      <c r="O101" s="1">
        <v>45460.416666666664</v>
      </c>
      <c r="P101" s="1">
        <v>45466.416666666664</v>
      </c>
    </row>
    <row r="102" spans="1:16" hidden="1" x14ac:dyDescent="0.25">
      <c r="A102" s="1">
        <v>45467.704861111109</v>
      </c>
      <c r="B102" t="s">
        <v>141</v>
      </c>
      <c r="C102" t="s">
        <v>358</v>
      </c>
      <c r="D102" t="s">
        <v>358</v>
      </c>
      <c r="E102" t="s">
        <v>732</v>
      </c>
      <c r="F102" t="s">
        <v>125</v>
      </c>
      <c r="G102" s="1">
        <v>45468.5</v>
      </c>
      <c r="H102" s="1">
        <v>45469.75</v>
      </c>
      <c r="I102" s="1">
        <v>45470.583333333336</v>
      </c>
      <c r="J102" t="s">
        <v>17</v>
      </c>
      <c r="K102" s="1">
        <v>45461.5</v>
      </c>
      <c r="L102" s="1">
        <v>45467.75</v>
      </c>
      <c r="M102" s="1">
        <v>45462.000694444447</v>
      </c>
      <c r="N102" s="1">
        <v>45467.625</v>
      </c>
      <c r="O102" s="1">
        <v>45460</v>
      </c>
      <c r="P102" s="1">
        <v>45466</v>
      </c>
    </row>
    <row r="103" spans="1:16" hidden="1" x14ac:dyDescent="0.25">
      <c r="A103" s="1">
        <v>45467.704861111109</v>
      </c>
      <c r="B103" t="s">
        <v>435</v>
      </c>
      <c r="C103" t="s">
        <v>322</v>
      </c>
      <c r="D103" t="s">
        <v>322</v>
      </c>
      <c r="E103" t="s">
        <v>273</v>
      </c>
      <c r="F103" t="s">
        <v>125</v>
      </c>
      <c r="G103" s="1">
        <v>45469.416666666664</v>
      </c>
      <c r="H103" s="1">
        <v>45470.083333333336</v>
      </c>
      <c r="I103" s="1">
        <v>45470.875</v>
      </c>
      <c r="J103" t="s">
        <v>80</v>
      </c>
      <c r="K103" s="1">
        <v>45462.416666666664</v>
      </c>
      <c r="L103" s="1">
        <v>45468.083333333336</v>
      </c>
      <c r="M103" s="1">
        <v>45463.000694444447</v>
      </c>
      <c r="N103" s="1">
        <v>45467.625</v>
      </c>
      <c r="O103" s="1">
        <v>45460.916666666664</v>
      </c>
      <c r="P103" s="1">
        <v>45466.916666666664</v>
      </c>
    </row>
    <row r="104" spans="1:16" hidden="1" x14ac:dyDescent="0.25">
      <c r="A104" s="1">
        <v>45467.704861111109</v>
      </c>
      <c r="B104" t="s">
        <v>63</v>
      </c>
      <c r="C104" t="s">
        <v>156</v>
      </c>
      <c r="D104" t="s">
        <v>157</v>
      </c>
      <c r="E104" t="s">
        <v>43</v>
      </c>
      <c r="F104" t="s">
        <v>14</v>
      </c>
      <c r="G104" s="1">
        <v>45473</v>
      </c>
      <c r="H104" s="1">
        <v>45471.916666666664</v>
      </c>
      <c r="I104" s="1">
        <v>45472.583333333336</v>
      </c>
      <c r="J104" t="s">
        <v>13</v>
      </c>
      <c r="K104" s="1">
        <v>45466</v>
      </c>
      <c r="L104" s="1">
        <v>45469.916666666664</v>
      </c>
      <c r="M104" s="1">
        <v>45467.000694444447</v>
      </c>
      <c r="N104" s="1">
        <v>45471.625</v>
      </c>
      <c r="O104" s="1">
        <v>45464.5</v>
      </c>
      <c r="P104" s="1">
        <v>45470.5</v>
      </c>
    </row>
    <row r="105" spans="1:16" hidden="1" x14ac:dyDescent="0.25">
      <c r="A105" s="1">
        <v>45467.704861111109</v>
      </c>
      <c r="B105" t="s">
        <v>128</v>
      </c>
      <c r="C105" t="s">
        <v>362</v>
      </c>
      <c r="D105" t="s">
        <v>363</v>
      </c>
      <c r="E105" t="s">
        <v>44</v>
      </c>
      <c r="F105" t="s">
        <v>30</v>
      </c>
      <c r="G105" s="1">
        <v>45474.5</v>
      </c>
      <c r="H105" s="1">
        <v>45472.020833333336</v>
      </c>
      <c r="I105" s="1">
        <v>45472.645833333336</v>
      </c>
      <c r="J105" t="s">
        <v>13</v>
      </c>
      <c r="K105" s="1">
        <v>45467.5</v>
      </c>
      <c r="L105" s="1">
        <v>45470.020833333336</v>
      </c>
      <c r="M105" s="1">
        <v>45468.000694444447</v>
      </c>
      <c r="N105" s="1">
        <v>45472.625</v>
      </c>
      <c r="O105" s="1">
        <v>45466</v>
      </c>
      <c r="P105" s="1">
        <v>45470.25</v>
      </c>
    </row>
    <row r="106" spans="1:16" hidden="1" x14ac:dyDescent="0.25">
      <c r="A106" s="1">
        <v>45467.704861111109</v>
      </c>
      <c r="B106" t="s">
        <v>133</v>
      </c>
      <c r="C106" t="s">
        <v>488</v>
      </c>
      <c r="D106" t="s">
        <v>186</v>
      </c>
      <c r="E106" t="s">
        <v>45</v>
      </c>
      <c r="F106" t="s">
        <v>14</v>
      </c>
      <c r="G106" s="1">
        <v>45475</v>
      </c>
      <c r="H106" s="1">
        <v>45474</v>
      </c>
      <c r="I106" s="1">
        <v>45474.75</v>
      </c>
      <c r="J106" t="s">
        <v>16</v>
      </c>
      <c r="K106" s="1">
        <v>45468</v>
      </c>
      <c r="L106" s="1">
        <v>45472</v>
      </c>
      <c r="M106" s="1">
        <v>45469.000694444447</v>
      </c>
      <c r="N106" s="1">
        <v>45477.625</v>
      </c>
      <c r="O106" s="1">
        <v>45466.5</v>
      </c>
      <c r="P106" s="1">
        <v>45472.5</v>
      </c>
    </row>
    <row r="107" spans="1:16" hidden="1" x14ac:dyDescent="0.25">
      <c r="A107" s="1">
        <v>45467.704861111109</v>
      </c>
      <c r="B107" t="s">
        <v>648</v>
      </c>
      <c r="C107" t="s">
        <v>649</v>
      </c>
      <c r="D107" t="s">
        <v>649</v>
      </c>
      <c r="E107" t="s">
        <v>246</v>
      </c>
      <c r="G107" s="1">
        <v>45477.291666666664</v>
      </c>
      <c r="H107" s="1">
        <v>45477.291666666664</v>
      </c>
      <c r="I107" s="1">
        <v>45477.541666666664</v>
      </c>
      <c r="J107" t="s">
        <v>76</v>
      </c>
      <c r="K107" s="1">
        <v>45470.291666666664</v>
      </c>
      <c r="L107" s="1">
        <v>45475.291666666664</v>
      </c>
      <c r="M107" s="1">
        <v>45471.000694444447</v>
      </c>
      <c r="N107" s="1">
        <v>45476.625</v>
      </c>
      <c r="O107" s="1">
        <v>45467.291666666664</v>
      </c>
      <c r="P107" s="1">
        <v>45475.291666666664</v>
      </c>
    </row>
    <row r="108" spans="1:16" hidden="1" x14ac:dyDescent="0.25">
      <c r="A108" s="1">
        <v>45467.704861111109</v>
      </c>
      <c r="B108" t="s">
        <v>65</v>
      </c>
      <c r="C108" t="s">
        <v>461</v>
      </c>
      <c r="D108" t="s">
        <v>462</v>
      </c>
      <c r="E108" t="s">
        <v>44</v>
      </c>
      <c r="F108" t="s">
        <v>30</v>
      </c>
      <c r="G108" s="1">
        <v>45478.75</v>
      </c>
      <c r="H108" s="1">
        <v>45478.75</v>
      </c>
      <c r="I108" s="1">
        <v>45479.375</v>
      </c>
      <c r="J108" t="s">
        <v>13</v>
      </c>
      <c r="K108" s="1">
        <v>45471.75</v>
      </c>
      <c r="L108" s="1">
        <v>45476.75</v>
      </c>
      <c r="M108" s="1">
        <v>45472.000694444447</v>
      </c>
      <c r="N108" s="1">
        <v>45477.625</v>
      </c>
      <c r="O108" s="1">
        <v>45470.25</v>
      </c>
      <c r="P108" s="1">
        <v>45476.25</v>
      </c>
    </row>
    <row r="109" spans="1:16" hidden="1" x14ac:dyDescent="0.25">
      <c r="A109" s="1">
        <v>45467.704861111109</v>
      </c>
      <c r="B109" t="s">
        <v>128</v>
      </c>
      <c r="C109" t="s">
        <v>461</v>
      </c>
      <c r="D109" t="s">
        <v>462</v>
      </c>
      <c r="E109" t="s">
        <v>44</v>
      </c>
      <c r="F109" t="s">
        <v>30</v>
      </c>
      <c r="G109" s="1">
        <v>45485.75</v>
      </c>
      <c r="H109" s="1">
        <v>45485.75</v>
      </c>
      <c r="I109" s="1">
        <v>45486.375</v>
      </c>
      <c r="J109" t="s">
        <v>13</v>
      </c>
      <c r="K109" s="1">
        <v>45478.75</v>
      </c>
      <c r="L109" s="1">
        <v>45483.75</v>
      </c>
      <c r="M109" s="1">
        <v>45479.000694444447</v>
      </c>
      <c r="N109" s="1">
        <v>45484.625</v>
      </c>
      <c r="O109" s="1">
        <v>45477.25</v>
      </c>
      <c r="P109" s="1">
        <v>45483.25</v>
      </c>
    </row>
    <row r="110" spans="1:16" hidden="1" x14ac:dyDescent="0.25">
      <c r="A110" s="1">
        <v>45467.684027777781</v>
      </c>
      <c r="B110" t="s">
        <v>127</v>
      </c>
      <c r="C110" t="s">
        <v>444</v>
      </c>
      <c r="D110" t="s">
        <v>309</v>
      </c>
      <c r="E110" t="s">
        <v>129</v>
      </c>
      <c r="F110" t="s">
        <v>21</v>
      </c>
      <c r="G110" s="1">
        <v>45462.416666666664</v>
      </c>
      <c r="H110" s="1">
        <v>45471.916666666664</v>
      </c>
      <c r="I110" s="1">
        <v>45472.333333333336</v>
      </c>
      <c r="J110" t="s">
        <v>19</v>
      </c>
      <c r="K110" s="1">
        <v>45455.416666666664</v>
      </c>
      <c r="L110" s="1">
        <v>45469.916666666664</v>
      </c>
      <c r="M110" s="1">
        <v>45456.000694444447</v>
      </c>
      <c r="N110" s="1">
        <v>45461.5</v>
      </c>
      <c r="O110" s="1">
        <v>45453.916666666664</v>
      </c>
      <c r="P110" s="1">
        <v>45459.916666666664</v>
      </c>
    </row>
    <row r="111" spans="1:16" hidden="1" x14ac:dyDescent="0.25">
      <c r="A111" s="1">
        <v>45467.684027777781</v>
      </c>
      <c r="B111" t="s">
        <v>63</v>
      </c>
      <c r="C111" t="s">
        <v>156</v>
      </c>
      <c r="D111" t="s">
        <v>157</v>
      </c>
      <c r="E111" t="s">
        <v>43</v>
      </c>
      <c r="F111" t="s">
        <v>14</v>
      </c>
      <c r="G111" s="1">
        <v>45473</v>
      </c>
      <c r="H111" s="1">
        <v>45472.375</v>
      </c>
      <c r="I111" s="1">
        <v>45473.041666666664</v>
      </c>
      <c r="J111" t="s">
        <v>13</v>
      </c>
      <c r="K111" s="1">
        <v>45466</v>
      </c>
      <c r="L111" s="1">
        <v>45470.375</v>
      </c>
      <c r="M111" s="1">
        <v>45467.000694444447</v>
      </c>
      <c r="N111" s="1">
        <v>45471.625</v>
      </c>
      <c r="O111" s="1">
        <v>45464.5</v>
      </c>
      <c r="P111" s="1">
        <v>45470.5</v>
      </c>
    </row>
    <row r="112" spans="1:16" hidden="1" x14ac:dyDescent="0.25">
      <c r="A112" s="1">
        <v>45467.663194444445</v>
      </c>
      <c r="B112" t="s">
        <v>64</v>
      </c>
      <c r="C112" t="s">
        <v>368</v>
      </c>
      <c r="D112" t="s">
        <v>369</v>
      </c>
      <c r="E112" t="s">
        <v>52</v>
      </c>
      <c r="G112" s="1">
        <v>45475.333333333336</v>
      </c>
      <c r="H112" s="1">
        <v>45474.333333333336</v>
      </c>
      <c r="I112" s="1">
        <v>45474.791666666664</v>
      </c>
      <c r="J112" t="s">
        <v>23</v>
      </c>
      <c r="K112" s="1">
        <v>45468.333333333336</v>
      </c>
      <c r="L112" s="1">
        <v>45472.333333333336</v>
      </c>
      <c r="M112" s="1">
        <v>45469.000694444447</v>
      </c>
      <c r="N112" s="1">
        <v>45471.333333333336</v>
      </c>
      <c r="O112" s="1">
        <v>45466.833333333336</v>
      </c>
      <c r="P112" s="1">
        <v>45470.25</v>
      </c>
    </row>
    <row r="113" spans="1:16" hidden="1" x14ac:dyDescent="0.25">
      <c r="A113" s="1">
        <v>45467.663194444445</v>
      </c>
      <c r="B113" t="s">
        <v>151</v>
      </c>
      <c r="C113" t="s">
        <v>285</v>
      </c>
      <c r="D113" t="s">
        <v>286</v>
      </c>
      <c r="E113" t="s">
        <v>77</v>
      </c>
      <c r="F113" t="s">
        <v>14</v>
      </c>
      <c r="G113" s="1">
        <v>45471</v>
      </c>
      <c r="H113" s="1">
        <v>45475.583333333336</v>
      </c>
      <c r="I113" s="1">
        <v>45476.416666666664</v>
      </c>
      <c r="J113" t="s">
        <v>76</v>
      </c>
      <c r="K113" s="1">
        <v>45464</v>
      </c>
      <c r="L113" s="1">
        <v>45473.583333333336</v>
      </c>
      <c r="M113" s="1">
        <v>45465.000694444447</v>
      </c>
      <c r="N113" s="1">
        <v>45469.625</v>
      </c>
      <c r="O113" s="1">
        <v>45462.5</v>
      </c>
      <c r="P113" s="1">
        <v>45468.5</v>
      </c>
    </row>
    <row r="114" spans="1:16" hidden="1" x14ac:dyDescent="0.25">
      <c r="A114" s="1">
        <v>45467.663194444445</v>
      </c>
      <c r="B114" t="s">
        <v>642</v>
      </c>
      <c r="C114" t="s">
        <v>643</v>
      </c>
      <c r="D114" t="s">
        <v>643</v>
      </c>
      <c r="E114" t="s">
        <v>18</v>
      </c>
      <c r="F114" t="s">
        <v>19</v>
      </c>
      <c r="G114" s="1">
        <v>45475.75</v>
      </c>
      <c r="H114" s="1">
        <v>45475.916666666664</v>
      </c>
      <c r="I114" s="1">
        <v>45476.916666666664</v>
      </c>
      <c r="J114" t="s">
        <v>80</v>
      </c>
      <c r="K114" s="1">
        <v>45468.75</v>
      </c>
      <c r="L114" s="1">
        <v>45473.916666666664</v>
      </c>
      <c r="M114" s="1">
        <v>45469.000694444447</v>
      </c>
      <c r="N114" s="1">
        <v>45474.625</v>
      </c>
      <c r="O114" s="1">
        <v>45467.25</v>
      </c>
      <c r="P114" s="1">
        <v>45473.25</v>
      </c>
    </row>
    <row r="115" spans="1:16" hidden="1" x14ac:dyDescent="0.25">
      <c r="A115" s="1">
        <v>45467.663194444445</v>
      </c>
      <c r="B115" t="s">
        <v>133</v>
      </c>
      <c r="C115" t="s">
        <v>488</v>
      </c>
      <c r="D115" t="s">
        <v>186</v>
      </c>
      <c r="E115" t="s">
        <v>45</v>
      </c>
      <c r="F115" t="s">
        <v>14</v>
      </c>
      <c r="G115" s="1">
        <v>45475</v>
      </c>
      <c r="H115" s="1">
        <v>45478.791666666664</v>
      </c>
      <c r="I115" s="1">
        <v>45479.541666666664</v>
      </c>
      <c r="J115" t="s">
        <v>16</v>
      </c>
      <c r="K115" s="1">
        <v>45468</v>
      </c>
      <c r="L115" s="1">
        <v>45476.791666666664</v>
      </c>
      <c r="M115" s="1">
        <v>45469.000694444447</v>
      </c>
      <c r="N115" s="1">
        <v>45477.625</v>
      </c>
      <c r="O115" s="1">
        <v>45466.5</v>
      </c>
      <c r="P115" s="1">
        <v>45472.5</v>
      </c>
    </row>
    <row r="116" spans="1:16" hidden="1" x14ac:dyDescent="0.25">
      <c r="A116" s="1">
        <v>45467.642361111109</v>
      </c>
      <c r="B116" t="s">
        <v>63</v>
      </c>
      <c r="C116" t="s">
        <v>156</v>
      </c>
      <c r="D116" t="s">
        <v>157</v>
      </c>
      <c r="E116" t="s">
        <v>43</v>
      </c>
      <c r="F116" t="s">
        <v>14</v>
      </c>
      <c r="G116" s="1">
        <v>45473</v>
      </c>
      <c r="H116" s="1">
        <v>45472.6875</v>
      </c>
      <c r="I116" s="1">
        <v>45473.354166666664</v>
      </c>
      <c r="J116" t="s">
        <v>13</v>
      </c>
      <c r="K116" s="1">
        <v>45466</v>
      </c>
      <c r="L116" s="1">
        <v>45470.6875</v>
      </c>
      <c r="M116" s="1">
        <v>45467.000694444447</v>
      </c>
      <c r="N116" s="1">
        <v>45471.625</v>
      </c>
      <c r="O116" s="1">
        <v>45464.5</v>
      </c>
      <c r="P116" s="1">
        <v>45470.5</v>
      </c>
    </row>
    <row r="117" spans="1:16" hidden="1" x14ac:dyDescent="0.25">
      <c r="A117" s="1">
        <v>45467.642361111109</v>
      </c>
      <c r="B117" t="s">
        <v>634</v>
      </c>
      <c r="C117" t="s">
        <v>467</v>
      </c>
      <c r="D117" t="s">
        <v>472</v>
      </c>
      <c r="E117" t="s">
        <v>78</v>
      </c>
      <c r="F117" t="s">
        <v>13</v>
      </c>
      <c r="G117" s="1">
        <v>45472.75</v>
      </c>
      <c r="H117" s="1">
        <v>45472.847222222219</v>
      </c>
      <c r="I117" s="1">
        <v>45474.472222222219</v>
      </c>
      <c r="J117" t="s">
        <v>14</v>
      </c>
      <c r="K117" s="1">
        <v>45465.75</v>
      </c>
      <c r="L117" s="1">
        <v>45470.847222222219</v>
      </c>
      <c r="M117" s="1">
        <v>45466.000694444447</v>
      </c>
      <c r="N117" s="1">
        <v>45471.625</v>
      </c>
      <c r="O117" s="1">
        <v>45463.25</v>
      </c>
      <c r="P117" s="1">
        <v>45469.25</v>
      </c>
    </row>
    <row r="118" spans="1:16" hidden="1" x14ac:dyDescent="0.25">
      <c r="A118" s="1">
        <v>45467.642361111109</v>
      </c>
      <c r="B118" t="s">
        <v>152</v>
      </c>
      <c r="C118" t="s">
        <v>290</v>
      </c>
      <c r="D118" t="s">
        <v>256</v>
      </c>
      <c r="E118" t="s">
        <v>42</v>
      </c>
      <c r="F118" t="s">
        <v>14</v>
      </c>
      <c r="G118" s="1">
        <v>45473.75</v>
      </c>
      <c r="H118" s="1">
        <v>45473.395833333336</v>
      </c>
      <c r="I118" s="1">
        <v>45474.0625</v>
      </c>
      <c r="J118" t="s">
        <v>17</v>
      </c>
      <c r="K118" s="1">
        <v>45466.75</v>
      </c>
      <c r="L118" s="1">
        <v>45471.395833333336</v>
      </c>
      <c r="M118" s="1">
        <v>45467.000694444447</v>
      </c>
      <c r="N118" s="1">
        <v>45472.625</v>
      </c>
      <c r="O118" s="1">
        <v>45465.25</v>
      </c>
      <c r="P118" s="1">
        <v>45470.25</v>
      </c>
    </row>
    <row r="119" spans="1:16" hidden="1" x14ac:dyDescent="0.25">
      <c r="A119" s="1">
        <v>45467.642361111109</v>
      </c>
      <c r="B119" t="s">
        <v>151</v>
      </c>
      <c r="C119" t="s">
        <v>285</v>
      </c>
      <c r="D119" t="s">
        <v>286</v>
      </c>
      <c r="E119" t="s">
        <v>77</v>
      </c>
      <c r="F119" t="s">
        <v>14</v>
      </c>
      <c r="G119" s="1">
        <v>45471</v>
      </c>
      <c r="H119" s="1">
        <v>45474.5</v>
      </c>
      <c r="I119" s="1">
        <v>45475.333333333336</v>
      </c>
      <c r="J119" t="s">
        <v>76</v>
      </c>
      <c r="K119" s="1">
        <v>45464</v>
      </c>
      <c r="L119" s="1">
        <v>45472.5</v>
      </c>
      <c r="M119" s="1">
        <v>45465.000694444447</v>
      </c>
      <c r="N119" s="1">
        <v>45469.625</v>
      </c>
      <c r="O119" s="1">
        <v>45462.5</v>
      </c>
      <c r="P119" s="1">
        <v>45468.5</v>
      </c>
    </row>
    <row r="120" spans="1:16" hidden="1" x14ac:dyDescent="0.25">
      <c r="A120" s="1">
        <v>45467.642361111109</v>
      </c>
      <c r="B120" t="s">
        <v>642</v>
      </c>
      <c r="C120" t="s">
        <v>643</v>
      </c>
      <c r="D120" t="s">
        <v>643</v>
      </c>
      <c r="E120" t="s">
        <v>18</v>
      </c>
      <c r="F120" t="s">
        <v>19</v>
      </c>
      <c r="G120" s="1">
        <v>45475.75</v>
      </c>
      <c r="H120" s="1">
        <v>45475.375</v>
      </c>
      <c r="I120" s="1">
        <v>45476.375</v>
      </c>
      <c r="J120" t="s">
        <v>80</v>
      </c>
      <c r="K120" s="1">
        <v>45468.75</v>
      </c>
      <c r="L120" s="1">
        <v>45473.375</v>
      </c>
      <c r="M120" s="1">
        <v>45469.000694444447</v>
      </c>
      <c r="N120" s="1">
        <v>45474.625</v>
      </c>
      <c r="O120" s="1">
        <v>45467.25</v>
      </c>
      <c r="P120" s="1">
        <v>45473.25</v>
      </c>
    </row>
    <row r="121" spans="1:16" hidden="1" x14ac:dyDescent="0.25">
      <c r="A121" s="1">
        <v>45467.601388888892</v>
      </c>
      <c r="B121" t="s">
        <v>357</v>
      </c>
      <c r="C121" t="s">
        <v>284</v>
      </c>
      <c r="D121" t="s">
        <v>255</v>
      </c>
      <c r="E121" t="s">
        <v>45</v>
      </c>
      <c r="F121" t="s">
        <v>173</v>
      </c>
      <c r="G121" s="1">
        <v>45467.208333333336</v>
      </c>
      <c r="H121" s="1">
        <v>45468.427083333336</v>
      </c>
      <c r="I121" s="1">
        <v>45468.916666666664</v>
      </c>
      <c r="J121" t="s">
        <v>21</v>
      </c>
      <c r="K121" s="1">
        <v>45460.208333333336</v>
      </c>
      <c r="L121" s="1">
        <v>45466.427083333336</v>
      </c>
      <c r="M121" s="1">
        <v>45461.000694444447</v>
      </c>
      <c r="N121" s="1">
        <v>45466.625</v>
      </c>
      <c r="O121" s="1">
        <v>45458.708333333336</v>
      </c>
      <c r="P121" s="1">
        <v>45464.708333333336</v>
      </c>
    </row>
    <row r="122" spans="1:16" hidden="1" x14ac:dyDescent="0.25">
      <c r="A122" s="1">
        <v>45467.601388888892</v>
      </c>
      <c r="B122" t="s">
        <v>454</v>
      </c>
      <c r="C122" t="s">
        <v>455</v>
      </c>
      <c r="D122" t="s">
        <v>456</v>
      </c>
      <c r="E122" t="s">
        <v>79</v>
      </c>
      <c r="F122" t="s">
        <v>217</v>
      </c>
      <c r="G122" s="1">
        <v>45468</v>
      </c>
      <c r="H122" s="1">
        <v>45468.40625</v>
      </c>
      <c r="I122" s="1">
        <v>45469.114583333336</v>
      </c>
      <c r="J122" t="s">
        <v>16</v>
      </c>
      <c r="K122" s="1">
        <v>45461</v>
      </c>
      <c r="L122" s="1">
        <v>45466.40625</v>
      </c>
      <c r="M122" s="1">
        <v>45462.000694444447</v>
      </c>
      <c r="N122" s="1">
        <v>45465.625</v>
      </c>
      <c r="O122" s="1">
        <v>45459.5</v>
      </c>
      <c r="P122" s="1">
        <v>45465.5</v>
      </c>
    </row>
    <row r="123" spans="1:16" hidden="1" x14ac:dyDescent="0.25">
      <c r="A123" s="1">
        <v>45467.601388888892</v>
      </c>
      <c r="B123" t="s">
        <v>192</v>
      </c>
      <c r="C123" t="s">
        <v>282</v>
      </c>
      <c r="D123" t="s">
        <v>320</v>
      </c>
      <c r="E123" t="s">
        <v>46</v>
      </c>
      <c r="F123" t="s">
        <v>13</v>
      </c>
      <c r="G123" s="1">
        <v>45470</v>
      </c>
      <c r="H123" s="1">
        <v>45470.958333333336</v>
      </c>
      <c r="I123" s="1">
        <v>45472.083333333336</v>
      </c>
      <c r="J123" t="s">
        <v>27</v>
      </c>
      <c r="K123" s="1">
        <v>45463</v>
      </c>
      <c r="L123" s="1">
        <v>45468.958333333336</v>
      </c>
      <c r="M123" s="1">
        <v>45464.000694444447</v>
      </c>
      <c r="N123" s="1">
        <v>45468.625</v>
      </c>
      <c r="O123" s="1">
        <v>45461.5</v>
      </c>
      <c r="P123" s="1">
        <v>45467.5</v>
      </c>
    </row>
    <row r="124" spans="1:16" hidden="1" x14ac:dyDescent="0.25">
      <c r="A124" s="1">
        <v>45467.601388888892</v>
      </c>
      <c r="B124" t="s">
        <v>148</v>
      </c>
      <c r="C124" t="s">
        <v>871</v>
      </c>
      <c r="D124" t="s">
        <v>568</v>
      </c>
      <c r="E124" t="s">
        <v>121</v>
      </c>
      <c r="F124" t="s">
        <v>122</v>
      </c>
      <c r="G124" s="1">
        <v>45472</v>
      </c>
      <c r="H124" s="1">
        <v>45472.125</v>
      </c>
      <c r="I124" s="1">
        <v>45472.791666666664</v>
      </c>
      <c r="J124" t="s">
        <v>16</v>
      </c>
      <c r="K124" s="1">
        <v>45465</v>
      </c>
      <c r="L124" s="1">
        <v>45470.125</v>
      </c>
      <c r="M124" s="1">
        <v>45466.000694444447</v>
      </c>
      <c r="N124" s="1">
        <v>45470.625</v>
      </c>
      <c r="O124" s="1">
        <v>45463.5</v>
      </c>
      <c r="P124" s="1">
        <v>45469.5</v>
      </c>
    </row>
    <row r="125" spans="1:16" hidden="1" x14ac:dyDescent="0.25">
      <c r="A125" s="1">
        <v>45467.601388888892</v>
      </c>
      <c r="B125" t="s">
        <v>127</v>
      </c>
      <c r="C125" t="s">
        <v>444</v>
      </c>
      <c r="D125" t="s">
        <v>309</v>
      </c>
      <c r="E125" t="s">
        <v>129</v>
      </c>
      <c r="F125" t="s">
        <v>21</v>
      </c>
      <c r="G125" s="1">
        <v>45462.416666666664</v>
      </c>
      <c r="H125" s="1">
        <v>45472.263888888891</v>
      </c>
      <c r="I125" s="1">
        <v>45472.680555555555</v>
      </c>
      <c r="J125" t="s">
        <v>19</v>
      </c>
      <c r="K125" s="1">
        <v>45455.416666666664</v>
      </c>
      <c r="L125" s="1">
        <v>45470.263888888891</v>
      </c>
      <c r="M125" s="1">
        <v>45456.000694444447</v>
      </c>
      <c r="N125" s="1">
        <v>45461.5</v>
      </c>
      <c r="O125" s="1">
        <v>45453.916666666664</v>
      </c>
      <c r="P125" s="1">
        <v>45459.916666666664</v>
      </c>
    </row>
    <row r="126" spans="1:16" hidden="1" x14ac:dyDescent="0.25">
      <c r="A126" s="1">
        <v>45467.601388888892</v>
      </c>
      <c r="B126" t="s">
        <v>624</v>
      </c>
      <c r="C126" t="s">
        <v>625</v>
      </c>
      <c r="D126" t="s">
        <v>625</v>
      </c>
      <c r="E126" t="s">
        <v>246</v>
      </c>
      <c r="G126" s="1">
        <v>45471.291666666664</v>
      </c>
      <c r="H126" s="1">
        <v>45472.270833333336</v>
      </c>
      <c r="I126" s="1">
        <v>45472.479166666664</v>
      </c>
      <c r="J126" t="s">
        <v>76</v>
      </c>
      <c r="K126" s="1">
        <v>45464.291666666664</v>
      </c>
      <c r="L126" s="1">
        <v>45470.270833333336</v>
      </c>
      <c r="M126" s="1">
        <v>45465.000694444447</v>
      </c>
      <c r="N126" s="1">
        <v>45469.270833333336</v>
      </c>
      <c r="O126" s="1">
        <v>45462.791666666664</v>
      </c>
      <c r="P126" s="1">
        <v>45468.791666666664</v>
      </c>
    </row>
    <row r="127" spans="1:16" hidden="1" x14ac:dyDescent="0.25">
      <c r="A127" s="1">
        <v>45467.601388888892</v>
      </c>
      <c r="B127" t="s">
        <v>63</v>
      </c>
      <c r="C127" t="s">
        <v>156</v>
      </c>
      <c r="D127" t="s">
        <v>157</v>
      </c>
      <c r="E127" t="s">
        <v>43</v>
      </c>
      <c r="F127" t="s">
        <v>14</v>
      </c>
      <c r="G127" s="1">
        <v>45473</v>
      </c>
      <c r="H127" s="1">
        <v>45472.583333333336</v>
      </c>
      <c r="I127" s="1">
        <v>45473.25</v>
      </c>
      <c r="J127" t="s">
        <v>13</v>
      </c>
      <c r="K127" s="1">
        <v>45466</v>
      </c>
      <c r="L127" s="1">
        <v>45470.583333333336</v>
      </c>
      <c r="M127" s="1">
        <v>45467.000694444447</v>
      </c>
      <c r="N127" s="1">
        <v>45471.625</v>
      </c>
      <c r="O127" s="1">
        <v>45464.5</v>
      </c>
      <c r="P127" s="1">
        <v>45470.5</v>
      </c>
    </row>
    <row r="128" spans="1:16" hidden="1" x14ac:dyDescent="0.25">
      <c r="A128" s="1">
        <v>45467.601388888892</v>
      </c>
      <c r="B128" t="s">
        <v>128</v>
      </c>
      <c r="C128" t="s">
        <v>362</v>
      </c>
      <c r="D128" t="s">
        <v>363</v>
      </c>
      <c r="E128" t="s">
        <v>44</v>
      </c>
      <c r="F128" t="s">
        <v>30</v>
      </c>
      <c r="G128" s="1">
        <v>45474.5</v>
      </c>
      <c r="H128" s="1">
        <v>45474</v>
      </c>
      <c r="I128" s="1">
        <v>45474.625</v>
      </c>
      <c r="J128" t="s">
        <v>13</v>
      </c>
      <c r="K128" s="1">
        <v>45467.5</v>
      </c>
      <c r="L128" s="1">
        <v>45472</v>
      </c>
      <c r="M128" s="1">
        <v>45468.000694444447</v>
      </c>
      <c r="N128" s="1">
        <v>45472.625</v>
      </c>
      <c r="O128" s="1">
        <v>45466</v>
      </c>
      <c r="P128" s="1">
        <v>45470.25</v>
      </c>
    </row>
    <row r="129" spans="1:16" hidden="1" x14ac:dyDescent="0.25">
      <c r="A129" s="1">
        <v>45467.601388888892</v>
      </c>
      <c r="B129" t="s">
        <v>151</v>
      </c>
      <c r="C129" t="s">
        <v>285</v>
      </c>
      <c r="D129" t="s">
        <v>286</v>
      </c>
      <c r="E129" t="s">
        <v>77</v>
      </c>
      <c r="F129" t="s">
        <v>14</v>
      </c>
      <c r="G129" s="1">
        <v>45471</v>
      </c>
      <c r="H129" s="1">
        <v>45474.0625</v>
      </c>
      <c r="I129" s="1">
        <v>45475.208333333336</v>
      </c>
      <c r="J129" t="s">
        <v>76</v>
      </c>
      <c r="K129" s="1">
        <v>45464</v>
      </c>
      <c r="L129" s="1">
        <v>45472.0625</v>
      </c>
      <c r="M129" s="1">
        <v>45465.000694444447</v>
      </c>
      <c r="N129" s="1">
        <v>45469.625</v>
      </c>
      <c r="O129" s="1">
        <v>45462.5</v>
      </c>
      <c r="P129" s="1">
        <v>45468.5</v>
      </c>
    </row>
    <row r="130" spans="1:16" hidden="1" x14ac:dyDescent="0.25">
      <c r="A130" s="1">
        <v>45467.601388888892</v>
      </c>
      <c r="B130" t="s">
        <v>642</v>
      </c>
      <c r="C130" t="s">
        <v>643</v>
      </c>
      <c r="D130" t="s">
        <v>643</v>
      </c>
      <c r="E130" t="s">
        <v>18</v>
      </c>
      <c r="F130" t="s">
        <v>19</v>
      </c>
      <c r="G130" s="1">
        <v>45475.75</v>
      </c>
      <c r="H130" s="1">
        <v>45475.6875</v>
      </c>
      <c r="I130" s="1">
        <v>45476.6875</v>
      </c>
      <c r="J130" t="s">
        <v>80</v>
      </c>
      <c r="K130" s="1">
        <v>45468.75</v>
      </c>
      <c r="L130" s="1">
        <v>45473.6875</v>
      </c>
      <c r="M130" s="1">
        <v>45469.000694444447</v>
      </c>
      <c r="N130" s="1">
        <v>45474.625</v>
      </c>
      <c r="O130" s="1">
        <v>45467.25</v>
      </c>
      <c r="P130" s="1">
        <v>45473.25</v>
      </c>
    </row>
    <row r="131" spans="1:16" hidden="1" x14ac:dyDescent="0.25">
      <c r="A131" s="1">
        <v>45467.580555555556</v>
      </c>
      <c r="B131" t="s">
        <v>326</v>
      </c>
      <c r="C131" t="s">
        <v>283</v>
      </c>
      <c r="D131" t="s">
        <v>247</v>
      </c>
      <c r="E131" t="s">
        <v>42</v>
      </c>
      <c r="F131" t="s">
        <v>14</v>
      </c>
      <c r="G131" s="1">
        <v>45459.291666666664</v>
      </c>
      <c r="H131" s="1">
        <v>45466.612500000003</v>
      </c>
      <c r="I131" s="1">
        <v>45468.104166666664</v>
      </c>
      <c r="J131" t="s">
        <v>17</v>
      </c>
      <c r="K131" s="1">
        <v>45452.291666666664</v>
      </c>
      <c r="L131" s="1">
        <v>45464.583333333336</v>
      </c>
      <c r="M131" s="1">
        <v>45453.000694444447</v>
      </c>
      <c r="N131" s="1">
        <v>45464.625</v>
      </c>
      <c r="O131" s="1">
        <v>45450.791666666664</v>
      </c>
      <c r="P131" s="1">
        <v>45456.791666666664</v>
      </c>
    </row>
    <row r="132" spans="1:16" hidden="1" x14ac:dyDescent="0.25">
      <c r="A132" s="1">
        <v>45467.580555555556</v>
      </c>
      <c r="B132" t="s">
        <v>357</v>
      </c>
      <c r="C132" t="s">
        <v>284</v>
      </c>
      <c r="D132" t="s">
        <v>255</v>
      </c>
      <c r="E132" t="s">
        <v>45</v>
      </c>
      <c r="F132" t="s">
        <v>173</v>
      </c>
      <c r="G132" s="1">
        <v>45467.208333333336</v>
      </c>
      <c r="H132" s="1">
        <v>45468.239583333336</v>
      </c>
      <c r="I132" s="1">
        <v>45468.729166666664</v>
      </c>
      <c r="J132" t="s">
        <v>21</v>
      </c>
      <c r="K132" s="1">
        <v>45460.208333333336</v>
      </c>
      <c r="L132" s="1">
        <v>45466.239583333336</v>
      </c>
      <c r="M132" s="1">
        <v>45461.000694444447</v>
      </c>
      <c r="N132" s="1">
        <v>45466.625</v>
      </c>
      <c r="O132" s="1">
        <v>45458.708333333336</v>
      </c>
      <c r="P132" s="1">
        <v>45464.708333333336</v>
      </c>
    </row>
    <row r="133" spans="1:16" hidden="1" x14ac:dyDescent="0.25">
      <c r="A133" s="1">
        <v>45467.580555555556</v>
      </c>
      <c r="B133" t="s">
        <v>490</v>
      </c>
      <c r="C133" t="s">
        <v>386</v>
      </c>
      <c r="D133" t="s">
        <v>471</v>
      </c>
      <c r="E133" t="s">
        <v>78</v>
      </c>
      <c r="F133" t="s">
        <v>13</v>
      </c>
      <c r="G133" s="1">
        <v>45466</v>
      </c>
      <c r="H133" s="1">
        <v>45466.378472222219</v>
      </c>
      <c r="I133" s="1">
        <v>45468.1875</v>
      </c>
      <c r="J133" t="s">
        <v>14</v>
      </c>
      <c r="K133" s="1">
        <v>45459</v>
      </c>
      <c r="L133" s="1">
        <v>45464.322916666664</v>
      </c>
      <c r="M133" s="1">
        <v>45460.000694444447</v>
      </c>
      <c r="N133" s="1">
        <v>45464.5</v>
      </c>
      <c r="O133" s="1">
        <v>45456.5</v>
      </c>
      <c r="P133" s="1">
        <v>45462.5</v>
      </c>
    </row>
    <row r="134" spans="1:16" hidden="1" x14ac:dyDescent="0.25">
      <c r="A134" s="1">
        <v>45467.580555555556</v>
      </c>
      <c r="B134" t="s">
        <v>454</v>
      </c>
      <c r="C134" t="s">
        <v>455</v>
      </c>
      <c r="D134" t="s">
        <v>456</v>
      </c>
      <c r="E134" t="s">
        <v>79</v>
      </c>
      <c r="F134" t="s">
        <v>217</v>
      </c>
      <c r="G134" s="1">
        <v>45468</v>
      </c>
      <c r="H134" s="1">
        <v>45468.270833333336</v>
      </c>
      <c r="I134" s="1">
        <v>45469</v>
      </c>
      <c r="J134" t="s">
        <v>16</v>
      </c>
      <c r="K134" s="1">
        <v>45461</v>
      </c>
      <c r="L134" s="1">
        <v>45466.270833333336</v>
      </c>
      <c r="M134" s="1">
        <v>45462.000694444447</v>
      </c>
      <c r="N134" s="1">
        <v>45465.625</v>
      </c>
      <c r="O134" s="1">
        <v>45459.5</v>
      </c>
      <c r="P134" s="1">
        <v>45465.5</v>
      </c>
    </row>
    <row r="135" spans="1:16" hidden="1" x14ac:dyDescent="0.25">
      <c r="A135" s="1">
        <v>45467.580555555556</v>
      </c>
      <c r="B135" t="s">
        <v>545</v>
      </c>
      <c r="C135" t="s">
        <v>546</v>
      </c>
      <c r="D135" t="s">
        <v>546</v>
      </c>
      <c r="E135" t="s">
        <v>18</v>
      </c>
      <c r="F135" t="s">
        <v>19</v>
      </c>
      <c r="G135" s="1">
        <v>45468.916666666664</v>
      </c>
      <c r="H135" s="1">
        <v>45469.020833333336</v>
      </c>
      <c r="I135" s="1">
        <v>45470.041666666664</v>
      </c>
      <c r="J135" t="s">
        <v>80</v>
      </c>
      <c r="K135" s="1">
        <v>45461.916666666664</v>
      </c>
      <c r="L135" s="1">
        <v>45467.020833333336</v>
      </c>
      <c r="M135" s="1">
        <v>45462.000694444447</v>
      </c>
      <c r="N135" s="1">
        <v>45467.625</v>
      </c>
      <c r="O135" s="1">
        <v>45460.416666666664</v>
      </c>
      <c r="P135" s="1">
        <v>45466.416666666664</v>
      </c>
    </row>
    <row r="136" spans="1:16" hidden="1" x14ac:dyDescent="0.25">
      <c r="A136" s="1">
        <v>45467.580555555556</v>
      </c>
      <c r="B136" t="s">
        <v>249</v>
      </c>
      <c r="C136" t="s">
        <v>493</v>
      </c>
      <c r="D136" t="s">
        <v>493</v>
      </c>
      <c r="E136" t="s">
        <v>246</v>
      </c>
      <c r="F136" t="s">
        <v>23</v>
      </c>
      <c r="G136" s="1">
        <v>45466.291666666664</v>
      </c>
      <c r="H136" s="1">
        <v>45468.770833333336</v>
      </c>
      <c r="I136" s="1">
        <v>45468.979166666664</v>
      </c>
      <c r="J136" t="s">
        <v>76</v>
      </c>
      <c r="K136" s="1">
        <v>45459.291666666664</v>
      </c>
      <c r="L136" s="1">
        <v>45466.770833333336</v>
      </c>
      <c r="M136" s="1">
        <v>45460.000694444447</v>
      </c>
      <c r="N136" s="1">
        <v>45465.708333333336</v>
      </c>
      <c r="O136" s="1">
        <v>45456.291666666664</v>
      </c>
      <c r="P136" s="1">
        <v>45466.770833333336</v>
      </c>
    </row>
    <row r="137" spans="1:16" hidden="1" x14ac:dyDescent="0.25">
      <c r="A137" s="1">
        <v>45467.580555555556</v>
      </c>
      <c r="B137" t="s">
        <v>64</v>
      </c>
      <c r="C137" t="s">
        <v>329</v>
      </c>
      <c r="D137" t="s">
        <v>330</v>
      </c>
      <c r="E137" t="s">
        <v>52</v>
      </c>
      <c r="G137" s="1">
        <v>45468.333333333336</v>
      </c>
      <c r="H137" s="1">
        <v>45469.041666666664</v>
      </c>
      <c r="I137" s="1">
        <v>45469.5</v>
      </c>
      <c r="J137" t="s">
        <v>23</v>
      </c>
      <c r="K137" s="1">
        <v>45461.333333333336</v>
      </c>
      <c r="L137" s="1">
        <v>45467.041666666664</v>
      </c>
      <c r="M137" s="1">
        <v>45462.000694444447</v>
      </c>
      <c r="N137" s="1">
        <v>45467.5</v>
      </c>
      <c r="O137" s="1">
        <v>45459.833333333336</v>
      </c>
      <c r="P137" s="1">
        <v>45465.833333333336</v>
      </c>
    </row>
    <row r="138" spans="1:16" hidden="1" x14ac:dyDescent="0.25">
      <c r="A138" s="1">
        <v>45467.580555555556</v>
      </c>
      <c r="B138" t="s">
        <v>141</v>
      </c>
      <c r="C138" t="s">
        <v>358</v>
      </c>
      <c r="D138" t="s">
        <v>358</v>
      </c>
      <c r="E138" t="s">
        <v>732</v>
      </c>
      <c r="F138" t="s">
        <v>125</v>
      </c>
      <c r="G138" s="1">
        <v>45468.5</v>
      </c>
      <c r="H138" s="1">
        <v>45469.541666666664</v>
      </c>
      <c r="I138" s="1">
        <v>45470.375</v>
      </c>
      <c r="J138" t="s">
        <v>17</v>
      </c>
      <c r="K138" s="1">
        <v>45461.5</v>
      </c>
      <c r="L138" s="1">
        <v>45467.541666666664</v>
      </c>
      <c r="M138" s="1">
        <v>45462.000694444447</v>
      </c>
      <c r="N138" s="1">
        <v>45467.625</v>
      </c>
      <c r="O138" s="1">
        <v>45460</v>
      </c>
      <c r="P138" s="1">
        <v>45466</v>
      </c>
    </row>
    <row r="139" spans="1:16" hidden="1" x14ac:dyDescent="0.25">
      <c r="A139" s="1">
        <v>45467.580555555556</v>
      </c>
      <c r="B139" t="s">
        <v>127</v>
      </c>
      <c r="C139" t="s">
        <v>444</v>
      </c>
      <c r="D139" t="s">
        <v>309</v>
      </c>
      <c r="E139" t="s">
        <v>129</v>
      </c>
      <c r="F139" t="s">
        <v>21</v>
      </c>
      <c r="G139" s="1">
        <v>45462.416666666664</v>
      </c>
      <c r="H139" s="1">
        <v>45470.416666666664</v>
      </c>
      <c r="I139" s="1">
        <v>45470.833333333336</v>
      </c>
      <c r="J139" t="s">
        <v>19</v>
      </c>
      <c r="K139" s="1">
        <v>45455.416666666664</v>
      </c>
      <c r="L139" s="1">
        <v>45468.416666666664</v>
      </c>
      <c r="M139" s="1">
        <v>45456.000694444447</v>
      </c>
      <c r="N139" s="1">
        <v>45461.5</v>
      </c>
      <c r="O139" s="1">
        <v>45453.916666666664</v>
      </c>
      <c r="P139" s="1">
        <v>45459.916666666664</v>
      </c>
    </row>
    <row r="140" spans="1:16" hidden="1" x14ac:dyDescent="0.25">
      <c r="A140" s="1">
        <v>45467.580555555556</v>
      </c>
      <c r="B140" t="s">
        <v>569</v>
      </c>
      <c r="C140" t="s">
        <v>386</v>
      </c>
      <c r="D140" t="s">
        <v>386</v>
      </c>
      <c r="E140" t="s">
        <v>436</v>
      </c>
      <c r="F140" t="s">
        <v>75</v>
      </c>
      <c r="G140" s="1">
        <v>45470.541666666664</v>
      </c>
      <c r="H140" s="1">
        <v>45470.916666666664</v>
      </c>
      <c r="I140" s="1">
        <v>45471.916666666664</v>
      </c>
      <c r="J140" t="s">
        <v>13</v>
      </c>
      <c r="K140" s="1">
        <v>45463.541666666664</v>
      </c>
      <c r="L140" s="1">
        <v>45468.916666666664</v>
      </c>
      <c r="M140" s="1">
        <v>45464.000694444447</v>
      </c>
      <c r="N140" s="1">
        <v>45469.5</v>
      </c>
      <c r="O140" s="1">
        <v>45462.041666666664</v>
      </c>
      <c r="P140" s="1">
        <v>45468.041666666664</v>
      </c>
    </row>
    <row r="141" spans="1:16" hidden="1" x14ac:dyDescent="0.25">
      <c r="A141" s="1">
        <v>45467.580555555556</v>
      </c>
      <c r="B141" t="s">
        <v>65</v>
      </c>
      <c r="C141" t="s">
        <v>362</v>
      </c>
      <c r="D141" t="s">
        <v>363</v>
      </c>
      <c r="E141" t="s">
        <v>44</v>
      </c>
      <c r="F141" t="s">
        <v>30</v>
      </c>
      <c r="G141" s="1">
        <v>45467.25</v>
      </c>
      <c r="H141" s="1">
        <v>45471.75</v>
      </c>
      <c r="I141" s="1">
        <v>45472.229166666664</v>
      </c>
      <c r="J141" t="s">
        <v>13</v>
      </c>
      <c r="K141" s="1">
        <v>45460.25</v>
      </c>
      <c r="L141" s="1">
        <v>45469.75</v>
      </c>
      <c r="M141" s="1">
        <v>45461.000694444447</v>
      </c>
      <c r="N141" s="1">
        <v>45469.416666666664</v>
      </c>
      <c r="O141" s="1">
        <v>45458.75</v>
      </c>
      <c r="P141" s="1">
        <v>45464.75</v>
      </c>
    </row>
    <row r="142" spans="1:16" hidden="1" x14ac:dyDescent="0.25">
      <c r="A142" s="1">
        <v>45467.544444444444</v>
      </c>
      <c r="B142" t="s">
        <v>326</v>
      </c>
      <c r="C142" t="s">
        <v>283</v>
      </c>
      <c r="D142" t="s">
        <v>247</v>
      </c>
      <c r="E142" t="s">
        <v>42</v>
      </c>
      <c r="F142" t="s">
        <v>14</v>
      </c>
      <c r="G142" s="1">
        <v>45459.291666666664</v>
      </c>
      <c r="H142" s="1">
        <v>45466.612500000003</v>
      </c>
      <c r="I142" s="1">
        <v>45468.125</v>
      </c>
      <c r="J142" t="s">
        <v>17</v>
      </c>
      <c r="K142" s="1">
        <v>45452.291666666664</v>
      </c>
      <c r="L142" s="1">
        <v>45464.583333333336</v>
      </c>
      <c r="M142" s="1">
        <v>45453.000694444447</v>
      </c>
      <c r="N142" s="1">
        <v>45464.625</v>
      </c>
      <c r="O142" s="1">
        <v>45450.791666666664</v>
      </c>
      <c r="P142" s="1">
        <v>45456.791666666664</v>
      </c>
    </row>
    <row r="143" spans="1:16" hidden="1" x14ac:dyDescent="0.25">
      <c r="A143" s="1">
        <v>45467.420138888891</v>
      </c>
      <c r="B143" t="s">
        <v>151</v>
      </c>
      <c r="C143" t="s">
        <v>285</v>
      </c>
      <c r="D143" t="s">
        <v>286</v>
      </c>
      <c r="E143" t="s">
        <v>77</v>
      </c>
      <c r="F143" t="s">
        <v>14</v>
      </c>
      <c r="G143" s="1">
        <v>45471</v>
      </c>
      <c r="H143" s="1">
        <v>45471.958333333336</v>
      </c>
      <c r="I143" s="1">
        <v>45473.104166666664</v>
      </c>
      <c r="J143" t="s">
        <v>76</v>
      </c>
      <c r="K143" s="1">
        <v>45464</v>
      </c>
      <c r="L143" s="1">
        <v>45469.958333333336</v>
      </c>
      <c r="M143" s="1">
        <v>45465.000694444447</v>
      </c>
      <c r="N143" s="1">
        <v>45469.625</v>
      </c>
      <c r="O143" s="1">
        <v>45462.5</v>
      </c>
      <c r="P143" s="1">
        <v>45468.5</v>
      </c>
    </row>
    <row r="144" spans="1:16" hidden="1" x14ac:dyDescent="0.25">
      <c r="A144" s="1">
        <v>45467.420138888891</v>
      </c>
      <c r="B144" t="s">
        <v>634</v>
      </c>
      <c r="C144" t="s">
        <v>467</v>
      </c>
      <c r="D144" t="s">
        <v>472</v>
      </c>
      <c r="E144" t="s">
        <v>78</v>
      </c>
      <c r="F144" t="s">
        <v>13</v>
      </c>
      <c r="G144" s="1">
        <v>45472.75</v>
      </c>
      <c r="H144" s="1">
        <v>45473.145833333336</v>
      </c>
      <c r="I144" s="1">
        <v>45474.770833333336</v>
      </c>
      <c r="J144" t="s">
        <v>14</v>
      </c>
      <c r="K144" s="1">
        <v>45465.75</v>
      </c>
      <c r="L144" s="1">
        <v>45471.145833333336</v>
      </c>
      <c r="M144" s="1">
        <v>45466.000694444447</v>
      </c>
      <c r="N144" s="1">
        <v>45471.625</v>
      </c>
      <c r="O144" s="1">
        <v>45463.25</v>
      </c>
      <c r="P144" s="1">
        <v>45469.25</v>
      </c>
    </row>
    <row r="145" spans="1:16" hidden="1" x14ac:dyDescent="0.25">
      <c r="A145" s="1">
        <v>45467.420138888891</v>
      </c>
      <c r="B145" t="s">
        <v>133</v>
      </c>
      <c r="C145" t="s">
        <v>488</v>
      </c>
      <c r="D145" t="s">
        <v>186</v>
      </c>
      <c r="E145" t="s">
        <v>45</v>
      </c>
      <c r="F145" t="s">
        <v>14</v>
      </c>
      <c r="G145" s="1">
        <v>45475</v>
      </c>
      <c r="H145" s="1">
        <v>45478.791666666664</v>
      </c>
      <c r="I145" s="1">
        <v>45479.541666666664</v>
      </c>
      <c r="J145" t="s">
        <v>16</v>
      </c>
      <c r="K145" s="1">
        <v>45468</v>
      </c>
      <c r="L145" s="1">
        <v>45476.791666666664</v>
      </c>
      <c r="M145" s="1">
        <v>45469.000694444447</v>
      </c>
      <c r="N145" s="1">
        <v>45473.625</v>
      </c>
      <c r="O145" s="1">
        <v>45466.5</v>
      </c>
      <c r="P145" s="1">
        <v>45472.5</v>
      </c>
    </row>
    <row r="146" spans="1:16" hidden="1" x14ac:dyDescent="0.25">
      <c r="A146" s="1">
        <v>45467.379166666666</v>
      </c>
      <c r="B146" t="s">
        <v>64</v>
      </c>
      <c r="C146" t="s">
        <v>580</v>
      </c>
      <c r="D146" t="s">
        <v>581</v>
      </c>
      <c r="E146" t="s">
        <v>52</v>
      </c>
      <c r="G146" s="1">
        <v>45481.333333333336</v>
      </c>
      <c r="H146" s="1">
        <v>45481.333333333336</v>
      </c>
      <c r="I146" s="1">
        <v>45481.708333333336</v>
      </c>
      <c r="J146" t="s">
        <v>23</v>
      </c>
      <c r="K146" s="1">
        <v>45474.333333333336</v>
      </c>
      <c r="L146" s="1">
        <v>45479.333333333336</v>
      </c>
      <c r="M146" s="1">
        <v>45475.000694444447</v>
      </c>
      <c r="N146" s="1">
        <v>45480.625</v>
      </c>
      <c r="O146" s="1">
        <v>45472.833333333336</v>
      </c>
      <c r="P146" s="1">
        <v>45478.833333333336</v>
      </c>
    </row>
    <row r="147" spans="1:16" hidden="1" x14ac:dyDescent="0.25">
      <c r="A147" s="1">
        <v>45464.61041666667</v>
      </c>
      <c r="B147" t="s">
        <v>131</v>
      </c>
      <c r="C147" t="s">
        <v>289</v>
      </c>
      <c r="D147" t="s">
        <v>289</v>
      </c>
      <c r="E147" t="s">
        <v>273</v>
      </c>
      <c r="F147" t="s">
        <v>125</v>
      </c>
      <c r="G147" s="1">
        <v>45462.416666666664</v>
      </c>
      <c r="H147" s="1">
        <v>45464.604166666664</v>
      </c>
      <c r="I147" s="1">
        <v>45465.5</v>
      </c>
      <c r="J147" t="s">
        <v>80</v>
      </c>
      <c r="K147" s="1">
        <v>45455.416666666664</v>
      </c>
      <c r="L147" s="1">
        <v>45462.604166666664</v>
      </c>
      <c r="M147" s="1">
        <v>45456.000694444447</v>
      </c>
      <c r="N147" s="1">
        <v>45462.5</v>
      </c>
      <c r="O147" s="1">
        <v>45453.916666666664</v>
      </c>
      <c r="P147" s="1">
        <v>45459.916666666664</v>
      </c>
    </row>
    <row r="148" spans="1:16" hidden="1" x14ac:dyDescent="0.25">
      <c r="A148" s="1">
        <v>45464.61041666667</v>
      </c>
      <c r="B148" t="s">
        <v>478</v>
      </c>
      <c r="C148" t="s">
        <v>315</v>
      </c>
      <c r="D148" t="s">
        <v>315</v>
      </c>
      <c r="E148" t="s">
        <v>436</v>
      </c>
      <c r="F148" t="s">
        <v>75</v>
      </c>
      <c r="G148" s="1">
        <v>45459.75</v>
      </c>
      <c r="H148" s="1">
        <v>45464.741666666669</v>
      </c>
      <c r="I148" s="1">
        <v>45464.958333333336</v>
      </c>
      <c r="J148" t="s">
        <v>13</v>
      </c>
      <c r="K148" s="1">
        <v>45452.75</v>
      </c>
      <c r="L148" s="1">
        <v>45462.3125</v>
      </c>
      <c r="M148" s="1">
        <v>45453.000694444447</v>
      </c>
      <c r="N148" s="1">
        <v>45462.625</v>
      </c>
      <c r="O148" s="1">
        <v>45451.25</v>
      </c>
      <c r="P148" s="1">
        <v>45457.25</v>
      </c>
    </row>
    <row r="149" spans="1:16" hidden="1" x14ac:dyDescent="0.25">
      <c r="A149" s="1">
        <v>45464.61041666667</v>
      </c>
      <c r="B149" t="s">
        <v>489</v>
      </c>
      <c r="C149" t="s">
        <v>342</v>
      </c>
      <c r="D149" t="s">
        <v>342</v>
      </c>
      <c r="E149" t="s">
        <v>436</v>
      </c>
      <c r="F149" t="s">
        <v>75</v>
      </c>
      <c r="G149" s="1">
        <v>45463.541666666664</v>
      </c>
      <c r="H149" s="1">
        <v>45465.010416666664</v>
      </c>
      <c r="I149" s="1">
        <v>45466.291666666664</v>
      </c>
      <c r="J149" t="s">
        <v>13</v>
      </c>
      <c r="K149" s="1">
        <v>45456.541666666664</v>
      </c>
      <c r="L149" s="1">
        <v>45463.010416666664</v>
      </c>
      <c r="M149" s="1">
        <v>45457.000694444447</v>
      </c>
      <c r="N149" s="1">
        <v>45462.5</v>
      </c>
      <c r="O149" s="1">
        <v>45455.041666666664</v>
      </c>
      <c r="P149" s="1">
        <v>45461.041666666664</v>
      </c>
    </row>
    <row r="150" spans="1:16" hidden="1" x14ac:dyDescent="0.25">
      <c r="A150" s="1">
        <v>45464.61041666667</v>
      </c>
      <c r="B150" t="s">
        <v>155</v>
      </c>
      <c r="C150" t="s">
        <v>571</v>
      </c>
      <c r="D150" t="s">
        <v>492</v>
      </c>
      <c r="E150" t="s">
        <v>121</v>
      </c>
      <c r="F150" t="s">
        <v>122</v>
      </c>
      <c r="G150" s="1">
        <v>45464.833333333336</v>
      </c>
      <c r="H150" s="1">
        <v>45464.854166666664</v>
      </c>
      <c r="I150" s="1">
        <v>45465.770833333336</v>
      </c>
      <c r="J150" t="s">
        <v>21</v>
      </c>
      <c r="K150" s="1">
        <v>45457.833333333336</v>
      </c>
      <c r="L150" s="1">
        <v>45462.854166666664</v>
      </c>
      <c r="M150" s="1">
        <v>45458.000694444447</v>
      </c>
      <c r="N150" s="1">
        <v>45463.5</v>
      </c>
      <c r="O150" s="1">
        <v>45454.833333333336</v>
      </c>
      <c r="P150" s="1">
        <v>45462.854166666664</v>
      </c>
    </row>
    <row r="151" spans="1:16" hidden="1" x14ac:dyDescent="0.25">
      <c r="A151" s="1">
        <v>45464.61041666667</v>
      </c>
      <c r="B151" t="s">
        <v>136</v>
      </c>
      <c r="C151" t="s">
        <v>156</v>
      </c>
      <c r="D151" t="s">
        <v>157</v>
      </c>
      <c r="E151" t="s">
        <v>43</v>
      </c>
      <c r="F151" t="s">
        <v>14</v>
      </c>
      <c r="G151" s="1">
        <v>45465.5</v>
      </c>
      <c r="H151" s="1">
        <v>45465.583333333336</v>
      </c>
      <c r="I151" s="1">
        <v>45466.458333333336</v>
      </c>
      <c r="J151" t="s">
        <v>13</v>
      </c>
      <c r="K151" s="1">
        <v>45458.5</v>
      </c>
      <c r="L151" s="1">
        <v>45463.583333333336</v>
      </c>
      <c r="M151" s="1">
        <v>45459.000694444447</v>
      </c>
      <c r="N151" s="1">
        <v>45463.625</v>
      </c>
      <c r="O151" s="1">
        <v>45457</v>
      </c>
      <c r="P151" s="1">
        <v>45463</v>
      </c>
    </row>
    <row r="152" spans="1:16" hidden="1" x14ac:dyDescent="0.25">
      <c r="A152" s="1">
        <v>45464.61041666667</v>
      </c>
      <c r="B152" t="s">
        <v>490</v>
      </c>
      <c r="C152" t="s">
        <v>386</v>
      </c>
      <c r="D152" t="s">
        <v>471</v>
      </c>
      <c r="E152" t="s">
        <v>78</v>
      </c>
      <c r="F152" t="s">
        <v>13</v>
      </c>
      <c r="G152" s="1">
        <v>45466</v>
      </c>
      <c r="H152" s="1">
        <v>45466.333333333336</v>
      </c>
      <c r="I152" s="1">
        <v>45467.9375</v>
      </c>
      <c r="J152" t="s">
        <v>14</v>
      </c>
      <c r="K152" s="1">
        <v>45459</v>
      </c>
      <c r="L152" s="1">
        <v>45464.333333333336</v>
      </c>
      <c r="M152" s="1">
        <v>45460.000694444447</v>
      </c>
      <c r="N152" s="1">
        <v>45464.5</v>
      </c>
      <c r="O152" s="1">
        <v>45456.5</v>
      </c>
      <c r="P152" s="1">
        <v>45462.5</v>
      </c>
    </row>
    <row r="153" spans="1:16" hidden="1" x14ac:dyDescent="0.25">
      <c r="A153" s="1">
        <v>45464.61041666667</v>
      </c>
      <c r="B153" t="s">
        <v>326</v>
      </c>
      <c r="C153" t="s">
        <v>283</v>
      </c>
      <c r="D153" t="s">
        <v>247</v>
      </c>
      <c r="E153" t="s">
        <v>42</v>
      </c>
      <c r="F153" t="s">
        <v>14</v>
      </c>
      <c r="G153" s="1">
        <v>45459.291666666664</v>
      </c>
      <c r="H153" s="1">
        <v>45466.5625</v>
      </c>
      <c r="I153" s="1">
        <v>45468.145833333336</v>
      </c>
      <c r="J153" t="s">
        <v>17</v>
      </c>
      <c r="K153" s="1">
        <v>45452.291666666664</v>
      </c>
      <c r="L153" s="1">
        <v>45464.5625</v>
      </c>
      <c r="M153" s="1">
        <v>45453.000694444447</v>
      </c>
      <c r="N153" s="1">
        <v>45464.625</v>
      </c>
      <c r="O153" s="1">
        <v>45450.791666666664</v>
      </c>
      <c r="P153" s="1">
        <v>45456.791666666664</v>
      </c>
    </row>
    <row r="154" spans="1:16" hidden="1" x14ac:dyDescent="0.25">
      <c r="A154" s="1">
        <v>45464.61041666667</v>
      </c>
      <c r="B154" t="s">
        <v>357</v>
      </c>
      <c r="C154" t="s">
        <v>284</v>
      </c>
      <c r="D154" t="s">
        <v>255</v>
      </c>
      <c r="E154" t="s">
        <v>45</v>
      </c>
      <c r="F154" t="s">
        <v>173</v>
      </c>
      <c r="G154" s="1">
        <v>45467.208333333336</v>
      </c>
      <c r="H154" s="1">
        <v>45468.1875</v>
      </c>
      <c r="I154" s="1">
        <v>45468.90625</v>
      </c>
      <c r="J154" t="s">
        <v>21</v>
      </c>
      <c r="K154" s="1">
        <v>45460.208333333336</v>
      </c>
      <c r="L154" s="1">
        <v>45466.1875</v>
      </c>
      <c r="M154" s="1">
        <v>45461.000694444447</v>
      </c>
      <c r="N154" s="1">
        <v>45466.625</v>
      </c>
      <c r="O154" s="1">
        <v>45458.708333333336</v>
      </c>
      <c r="P154" s="1">
        <v>45464.708333333336</v>
      </c>
    </row>
    <row r="155" spans="1:16" hidden="1" x14ac:dyDescent="0.25">
      <c r="A155" s="1">
        <v>45464.61041666667</v>
      </c>
      <c r="B155" t="s">
        <v>454</v>
      </c>
      <c r="C155" t="s">
        <v>455</v>
      </c>
      <c r="D155" t="s">
        <v>456</v>
      </c>
      <c r="E155" t="s">
        <v>79</v>
      </c>
      <c r="F155" t="s">
        <v>217</v>
      </c>
      <c r="G155" s="1">
        <v>45468</v>
      </c>
      <c r="H155" s="1">
        <v>45468.125</v>
      </c>
      <c r="I155" s="1">
        <v>45468.875</v>
      </c>
      <c r="J155" t="s">
        <v>16</v>
      </c>
      <c r="K155" s="1">
        <v>45461</v>
      </c>
      <c r="L155" s="1">
        <v>45466.125</v>
      </c>
      <c r="M155" s="1">
        <v>45462.000694444447</v>
      </c>
      <c r="N155" s="1">
        <v>45465.625</v>
      </c>
      <c r="O155" s="1">
        <v>45459.5</v>
      </c>
      <c r="P155" s="1">
        <v>45465.5</v>
      </c>
    </row>
    <row r="156" spans="1:16" hidden="1" x14ac:dyDescent="0.25">
      <c r="A156" s="1">
        <v>45464.61041666667</v>
      </c>
      <c r="B156" t="s">
        <v>64</v>
      </c>
      <c r="C156" t="s">
        <v>329</v>
      </c>
      <c r="D156" t="s">
        <v>330</v>
      </c>
      <c r="E156" t="s">
        <v>52</v>
      </c>
      <c r="G156" s="1">
        <v>45468.333333333336</v>
      </c>
      <c r="H156" s="1">
        <v>45468.979166666664</v>
      </c>
      <c r="I156" s="1">
        <v>45469.46875</v>
      </c>
      <c r="J156" t="s">
        <v>23</v>
      </c>
      <c r="K156" s="1">
        <v>45461.333333333336</v>
      </c>
      <c r="L156" s="1">
        <v>45466.979166666664</v>
      </c>
      <c r="M156" s="1">
        <v>45462.000694444447</v>
      </c>
      <c r="N156" s="1">
        <v>45467.5</v>
      </c>
      <c r="O156" s="1">
        <v>45459.833333333336</v>
      </c>
      <c r="P156" s="1">
        <v>45465.833333333336</v>
      </c>
    </row>
    <row r="157" spans="1:16" hidden="1" x14ac:dyDescent="0.25">
      <c r="A157" s="1">
        <v>45464.61041666667</v>
      </c>
      <c r="B157" t="s">
        <v>545</v>
      </c>
      <c r="C157" t="s">
        <v>546</v>
      </c>
      <c r="D157" t="s">
        <v>546</v>
      </c>
      <c r="E157" t="s">
        <v>18</v>
      </c>
      <c r="F157" t="s">
        <v>19</v>
      </c>
      <c r="G157" s="1">
        <v>45468.916666666664</v>
      </c>
      <c r="H157" s="1">
        <v>45468.947916666664</v>
      </c>
      <c r="I157" s="1">
        <v>45469.989583333336</v>
      </c>
      <c r="J157" t="s">
        <v>80</v>
      </c>
      <c r="K157" s="1">
        <v>45461.916666666664</v>
      </c>
      <c r="L157" s="1">
        <v>45466.947916666664</v>
      </c>
      <c r="M157" s="1">
        <v>45462.000694444447</v>
      </c>
      <c r="N157" s="1">
        <v>45467.625</v>
      </c>
      <c r="O157" s="1">
        <v>45460.416666666664</v>
      </c>
      <c r="P157" s="1">
        <v>45466.416666666664</v>
      </c>
    </row>
    <row r="158" spans="1:16" hidden="1" x14ac:dyDescent="0.25">
      <c r="A158" s="1">
        <v>45464.61041666667</v>
      </c>
      <c r="B158" t="s">
        <v>141</v>
      </c>
      <c r="C158" t="s">
        <v>358</v>
      </c>
      <c r="D158" t="s">
        <v>358</v>
      </c>
      <c r="E158" t="s">
        <v>732</v>
      </c>
      <c r="F158" t="s">
        <v>125</v>
      </c>
      <c r="G158" s="1">
        <v>45468.5</v>
      </c>
      <c r="H158" s="1">
        <v>45469.489583333336</v>
      </c>
      <c r="I158" s="1">
        <v>45470.114583333336</v>
      </c>
      <c r="J158" t="s">
        <v>17</v>
      </c>
      <c r="K158" s="1">
        <v>45461.5</v>
      </c>
      <c r="L158" s="1">
        <v>45467.489583333336</v>
      </c>
      <c r="M158" s="1">
        <v>45462.000694444447</v>
      </c>
      <c r="N158" s="1">
        <v>45467.625</v>
      </c>
      <c r="O158" s="1">
        <v>45460</v>
      </c>
      <c r="P158" s="1">
        <v>45466</v>
      </c>
    </row>
    <row r="159" spans="1:16" hidden="1" x14ac:dyDescent="0.25">
      <c r="A159" s="1">
        <v>45464.61041666667</v>
      </c>
      <c r="B159" t="s">
        <v>127</v>
      </c>
      <c r="C159" t="s">
        <v>444</v>
      </c>
      <c r="D159" t="s">
        <v>309</v>
      </c>
      <c r="E159" t="s">
        <v>129</v>
      </c>
      <c r="F159" t="s">
        <v>21</v>
      </c>
      <c r="G159" s="1">
        <v>45462.416666666664</v>
      </c>
      <c r="H159" s="1">
        <v>45470.020833333336</v>
      </c>
      <c r="I159" s="1">
        <v>45470.4375</v>
      </c>
      <c r="J159" t="s">
        <v>19</v>
      </c>
      <c r="K159" s="1">
        <v>45455.416666666664</v>
      </c>
      <c r="L159" s="1">
        <v>45468.020833333336</v>
      </c>
      <c r="M159" s="1">
        <v>45456.000694444447</v>
      </c>
      <c r="N159" s="1">
        <v>45461.5</v>
      </c>
      <c r="O159" s="1">
        <v>45453.916666666664</v>
      </c>
      <c r="P159" s="1">
        <v>45459.916666666664</v>
      </c>
    </row>
    <row r="160" spans="1:16" hidden="1" x14ac:dyDescent="0.25">
      <c r="A160" s="1">
        <v>45464.61041666667</v>
      </c>
      <c r="B160" t="s">
        <v>249</v>
      </c>
      <c r="C160" t="s">
        <v>493</v>
      </c>
      <c r="D160" t="s">
        <v>493</v>
      </c>
      <c r="E160" t="s">
        <v>246</v>
      </c>
      <c r="G160" s="1">
        <v>45466.291666666664</v>
      </c>
      <c r="H160" s="1">
        <v>45469</v>
      </c>
      <c r="I160" s="1">
        <v>45469.208333333336</v>
      </c>
      <c r="J160" t="s">
        <v>76</v>
      </c>
      <c r="K160" s="1">
        <v>45459.291666666664</v>
      </c>
      <c r="L160" s="1">
        <v>45467</v>
      </c>
      <c r="M160" s="1">
        <v>45460.000694444447</v>
      </c>
      <c r="N160" s="1">
        <v>45465.708333333336</v>
      </c>
      <c r="O160" s="1">
        <v>45456.291666666664</v>
      </c>
      <c r="P160" s="1">
        <v>45467</v>
      </c>
    </row>
    <row r="161" spans="1:16" hidden="1" x14ac:dyDescent="0.25">
      <c r="A161" s="1">
        <v>45464.61041666667</v>
      </c>
      <c r="B161" t="s">
        <v>435</v>
      </c>
      <c r="C161" t="s">
        <v>322</v>
      </c>
      <c r="D161" t="s">
        <v>322</v>
      </c>
      <c r="E161" t="s">
        <v>273</v>
      </c>
      <c r="F161" t="s">
        <v>125</v>
      </c>
      <c r="G161" s="1">
        <v>45469.416666666664</v>
      </c>
      <c r="H161" s="1">
        <v>45470.177083333336</v>
      </c>
      <c r="I161" s="1">
        <v>45470.96875</v>
      </c>
      <c r="J161" t="s">
        <v>80</v>
      </c>
      <c r="K161" s="1">
        <v>45462.416666666664</v>
      </c>
      <c r="L161" s="1">
        <v>45468.177083333336</v>
      </c>
      <c r="M161" s="1">
        <v>45463.000694444447</v>
      </c>
      <c r="N161" s="1">
        <v>45467.625</v>
      </c>
      <c r="O161" s="1">
        <v>45460.916666666664</v>
      </c>
      <c r="P161" s="1">
        <v>45466.916666666664</v>
      </c>
    </row>
    <row r="162" spans="1:16" hidden="1" x14ac:dyDescent="0.25">
      <c r="A162" s="1">
        <v>45464.61041666667</v>
      </c>
      <c r="B162" t="s">
        <v>569</v>
      </c>
      <c r="C162" t="s">
        <v>386</v>
      </c>
      <c r="D162" t="s">
        <v>386</v>
      </c>
      <c r="E162" t="s">
        <v>436</v>
      </c>
      <c r="F162" t="s">
        <v>75</v>
      </c>
      <c r="G162" s="1">
        <v>45470.541666666664</v>
      </c>
      <c r="H162" s="1">
        <v>45470.541666666664</v>
      </c>
      <c r="I162" s="1">
        <v>45471.541666666664</v>
      </c>
      <c r="J162" t="s">
        <v>13</v>
      </c>
      <c r="K162" s="1">
        <v>45463.541666666664</v>
      </c>
      <c r="L162" s="1">
        <v>45468.541666666664</v>
      </c>
      <c r="M162" s="1">
        <v>45464.000694444447</v>
      </c>
      <c r="N162" s="1">
        <v>45469.5</v>
      </c>
      <c r="O162" s="1">
        <v>45462.041666666664</v>
      </c>
      <c r="P162" s="1">
        <v>45468.041666666664</v>
      </c>
    </row>
    <row r="163" spans="1:16" hidden="1" x14ac:dyDescent="0.25">
      <c r="A163" s="1">
        <v>45464.61041666667</v>
      </c>
      <c r="B163" t="s">
        <v>192</v>
      </c>
      <c r="C163" t="s">
        <v>282</v>
      </c>
      <c r="D163" t="s">
        <v>320</v>
      </c>
      <c r="E163" t="s">
        <v>46</v>
      </c>
      <c r="F163" t="s">
        <v>13</v>
      </c>
      <c r="G163" s="1">
        <v>45470</v>
      </c>
      <c r="H163" s="1">
        <v>45471.072916666664</v>
      </c>
      <c r="I163" s="1">
        <v>45472.197916666664</v>
      </c>
      <c r="J163" t="s">
        <v>27</v>
      </c>
      <c r="K163" s="1">
        <v>45463</v>
      </c>
      <c r="L163" s="1">
        <v>45469.072916666664</v>
      </c>
      <c r="M163" s="1">
        <v>45464.000694444447</v>
      </c>
      <c r="N163" s="1">
        <v>45468.625</v>
      </c>
      <c r="O163" s="1">
        <v>45461.5</v>
      </c>
      <c r="P163" s="1">
        <v>45467.5</v>
      </c>
    </row>
    <row r="164" spans="1:16" hidden="1" x14ac:dyDescent="0.25">
      <c r="A164" s="1">
        <v>45464.61041666667</v>
      </c>
      <c r="B164" t="s">
        <v>624</v>
      </c>
      <c r="C164" t="s">
        <v>625</v>
      </c>
      <c r="D164" t="s">
        <v>625</v>
      </c>
      <c r="E164" t="s">
        <v>246</v>
      </c>
      <c r="G164" s="1">
        <v>45471.291666666664</v>
      </c>
      <c r="H164" s="1">
        <v>45471.614583333336</v>
      </c>
      <c r="I164" s="1">
        <v>45471.822916666664</v>
      </c>
      <c r="J164" t="s">
        <v>76</v>
      </c>
      <c r="K164" s="1">
        <v>45464.291666666664</v>
      </c>
      <c r="L164" s="1">
        <v>45469.614583333336</v>
      </c>
      <c r="M164" s="1">
        <v>45465.000694444447</v>
      </c>
      <c r="N164" s="1">
        <v>45468.614583333336</v>
      </c>
      <c r="O164" s="1">
        <v>45462.791666666664</v>
      </c>
      <c r="P164" s="1">
        <v>45468.791666666664</v>
      </c>
    </row>
    <row r="165" spans="1:16" hidden="1" x14ac:dyDescent="0.25">
      <c r="A165" s="1">
        <v>45464.61041666667</v>
      </c>
      <c r="B165" t="s">
        <v>65</v>
      </c>
      <c r="C165" t="s">
        <v>362</v>
      </c>
      <c r="D165" t="s">
        <v>363</v>
      </c>
      <c r="E165" t="s">
        <v>44</v>
      </c>
      <c r="F165" t="s">
        <v>30</v>
      </c>
      <c r="G165" s="1">
        <v>45467.25</v>
      </c>
      <c r="H165" s="1">
        <v>45471.739583333336</v>
      </c>
      <c r="I165" s="1">
        <v>45472.21875</v>
      </c>
      <c r="J165" t="s">
        <v>13</v>
      </c>
      <c r="K165" s="1">
        <v>45460.25</v>
      </c>
      <c r="L165" s="1">
        <v>45469.739583333336</v>
      </c>
      <c r="M165" s="1">
        <v>45461.000694444447</v>
      </c>
      <c r="N165" s="1">
        <v>45469.416666666664</v>
      </c>
      <c r="O165" s="1">
        <v>45458.75</v>
      </c>
      <c r="P165" s="1">
        <v>45464.75</v>
      </c>
    </row>
    <row r="166" spans="1:16" hidden="1" x14ac:dyDescent="0.25">
      <c r="A166" s="1">
        <v>45464.61041666667</v>
      </c>
      <c r="B166" t="s">
        <v>148</v>
      </c>
      <c r="C166" t="s">
        <v>871</v>
      </c>
      <c r="D166" t="s">
        <v>568</v>
      </c>
      <c r="E166" t="s">
        <v>121</v>
      </c>
      <c r="F166" t="s">
        <v>122</v>
      </c>
      <c r="G166" s="1">
        <v>45472</v>
      </c>
      <c r="H166" s="1">
        <v>45471.875</v>
      </c>
      <c r="I166" s="1">
        <v>45472.541666666664</v>
      </c>
      <c r="J166" t="s">
        <v>16</v>
      </c>
      <c r="K166" s="1">
        <v>45465</v>
      </c>
      <c r="L166" s="1">
        <v>45469.875</v>
      </c>
      <c r="M166" s="1">
        <v>45466.000694444447</v>
      </c>
      <c r="N166" s="1">
        <v>45470.625</v>
      </c>
      <c r="O166" s="1">
        <v>45463.5</v>
      </c>
      <c r="P166" s="1">
        <v>45469.5</v>
      </c>
    </row>
    <row r="167" spans="1:16" hidden="1" x14ac:dyDescent="0.25">
      <c r="A167" s="1">
        <v>45464.61041666667</v>
      </c>
      <c r="B167" t="s">
        <v>151</v>
      </c>
      <c r="C167" t="s">
        <v>285</v>
      </c>
      <c r="D167" t="s">
        <v>286</v>
      </c>
      <c r="E167" t="s">
        <v>77</v>
      </c>
      <c r="F167" t="s">
        <v>14</v>
      </c>
      <c r="G167" s="1">
        <v>45471</v>
      </c>
      <c r="H167" s="1">
        <v>45472.28125</v>
      </c>
      <c r="I167" s="1">
        <v>45473.40625</v>
      </c>
      <c r="J167" t="s">
        <v>76</v>
      </c>
      <c r="K167" s="1">
        <v>45464</v>
      </c>
      <c r="L167" s="1">
        <v>45470.28125</v>
      </c>
      <c r="M167" s="1">
        <v>45465.000694444447</v>
      </c>
      <c r="N167" s="1">
        <v>45469.625</v>
      </c>
      <c r="O167" s="1">
        <v>45462.5</v>
      </c>
      <c r="P167" s="1">
        <v>45468.5</v>
      </c>
    </row>
    <row r="168" spans="1:16" hidden="1" x14ac:dyDescent="0.25">
      <c r="A168" s="1">
        <v>45464.61041666667</v>
      </c>
      <c r="B168" t="s">
        <v>152</v>
      </c>
      <c r="C168" t="s">
        <v>290</v>
      </c>
      <c r="D168" t="s">
        <v>256</v>
      </c>
      <c r="E168" t="s">
        <v>42</v>
      </c>
      <c r="F168" t="s">
        <v>14</v>
      </c>
      <c r="G168" s="1">
        <v>45473.75</v>
      </c>
      <c r="H168" s="1">
        <v>45473.291666666664</v>
      </c>
      <c r="I168" s="1">
        <v>45473.958333333336</v>
      </c>
      <c r="J168" t="s">
        <v>17</v>
      </c>
      <c r="K168" s="1">
        <v>45466.75</v>
      </c>
      <c r="L168" s="1">
        <v>45471.291666666664</v>
      </c>
      <c r="M168" s="1">
        <v>45467.000694444447</v>
      </c>
      <c r="N168" s="1">
        <v>45472.625</v>
      </c>
      <c r="O168" s="1">
        <v>45465.25</v>
      </c>
      <c r="P168" s="1">
        <v>45471.25</v>
      </c>
    </row>
    <row r="169" spans="1:16" hidden="1" x14ac:dyDescent="0.25">
      <c r="A169" s="1">
        <v>45464.61041666667</v>
      </c>
      <c r="B169" t="s">
        <v>634</v>
      </c>
      <c r="C169" t="s">
        <v>467</v>
      </c>
      <c r="D169" t="s">
        <v>472</v>
      </c>
      <c r="E169" t="s">
        <v>78</v>
      </c>
      <c r="F169" t="s">
        <v>13</v>
      </c>
      <c r="G169" s="1">
        <v>45472.75</v>
      </c>
      <c r="H169" s="1">
        <v>45473.4375</v>
      </c>
      <c r="I169" s="1">
        <v>45475.0625</v>
      </c>
      <c r="J169" t="s">
        <v>14</v>
      </c>
      <c r="K169" s="1">
        <v>45465.75</v>
      </c>
      <c r="L169" s="1">
        <v>45471.4375</v>
      </c>
      <c r="M169" s="1">
        <v>45466.000694444447</v>
      </c>
      <c r="N169" s="1">
        <v>45471.625</v>
      </c>
      <c r="O169" s="1">
        <v>45463.25</v>
      </c>
      <c r="P169" s="1">
        <v>45469.25</v>
      </c>
    </row>
    <row r="170" spans="1:16" hidden="1" x14ac:dyDescent="0.25">
      <c r="A170" s="1">
        <v>45464.61041666667</v>
      </c>
      <c r="B170" t="s">
        <v>128</v>
      </c>
      <c r="C170" t="s">
        <v>362</v>
      </c>
      <c r="D170" t="s">
        <v>363</v>
      </c>
      <c r="E170" t="s">
        <v>44</v>
      </c>
      <c r="F170" t="s">
        <v>30</v>
      </c>
      <c r="G170" s="1">
        <v>45474.5</v>
      </c>
      <c r="H170" s="1">
        <v>45474.052083333336</v>
      </c>
      <c r="I170" s="1">
        <v>45474.677083333336</v>
      </c>
      <c r="J170" t="s">
        <v>13</v>
      </c>
      <c r="K170" s="1">
        <v>45467.5</v>
      </c>
      <c r="L170" s="1">
        <v>45472.052083333336</v>
      </c>
      <c r="M170" s="1">
        <v>45468.000694444447</v>
      </c>
      <c r="N170" s="1">
        <v>45472.625</v>
      </c>
      <c r="O170" s="1">
        <v>45466</v>
      </c>
      <c r="P170" s="1">
        <v>45472</v>
      </c>
    </row>
    <row r="171" spans="1:16" hidden="1" x14ac:dyDescent="0.25">
      <c r="A171" s="1">
        <v>45464.61041666667</v>
      </c>
      <c r="B171" t="s">
        <v>64</v>
      </c>
      <c r="C171" t="s">
        <v>368</v>
      </c>
      <c r="D171" t="s">
        <v>369</v>
      </c>
      <c r="E171" t="s">
        <v>52</v>
      </c>
      <c r="G171" s="1">
        <v>45475.333333333336</v>
      </c>
      <c r="H171" s="1">
        <v>45474.625</v>
      </c>
      <c r="I171" s="1">
        <v>45475.083333333336</v>
      </c>
      <c r="J171" t="s">
        <v>23</v>
      </c>
      <c r="K171" s="1">
        <v>45468.333333333336</v>
      </c>
      <c r="L171" s="1">
        <v>45472.625</v>
      </c>
      <c r="M171" s="1">
        <v>45469.000694444447</v>
      </c>
      <c r="N171" s="1">
        <v>45471.625</v>
      </c>
      <c r="O171" s="1">
        <v>45466.833333333336</v>
      </c>
      <c r="P171" s="1">
        <v>45472.833333333336</v>
      </c>
    </row>
    <row r="172" spans="1:16" hidden="1" x14ac:dyDescent="0.25">
      <c r="A172" s="1">
        <v>45464.61041666667</v>
      </c>
      <c r="B172" t="s">
        <v>564</v>
      </c>
      <c r="C172" t="s">
        <v>287</v>
      </c>
      <c r="D172" t="s">
        <v>287</v>
      </c>
      <c r="E172" t="s">
        <v>138</v>
      </c>
      <c r="F172" t="s">
        <v>139</v>
      </c>
      <c r="G172" s="1">
        <v>45475.25</v>
      </c>
      <c r="H172" s="1">
        <v>45475.208333333336</v>
      </c>
      <c r="I172" s="1">
        <v>45476.208333333336</v>
      </c>
      <c r="J172" t="s">
        <v>17</v>
      </c>
      <c r="K172" s="1">
        <v>45468.25</v>
      </c>
      <c r="L172" s="1">
        <v>45473.208333333336</v>
      </c>
      <c r="M172" s="1">
        <v>45469.000694444447</v>
      </c>
      <c r="N172" s="1">
        <v>45474.5</v>
      </c>
      <c r="O172" s="1">
        <v>45466.75</v>
      </c>
      <c r="P172" s="1">
        <v>45472.75</v>
      </c>
    </row>
    <row r="173" spans="1:16" hidden="1" x14ac:dyDescent="0.25">
      <c r="A173" s="1">
        <v>45464.61041666667</v>
      </c>
      <c r="B173" t="s">
        <v>191</v>
      </c>
      <c r="C173" t="s">
        <v>691</v>
      </c>
      <c r="D173" t="s">
        <v>692</v>
      </c>
      <c r="E173" t="s">
        <v>42</v>
      </c>
      <c r="F173" t="s">
        <v>14</v>
      </c>
      <c r="G173" s="1">
        <v>45481</v>
      </c>
      <c r="H173" s="1">
        <v>45481.041666666664</v>
      </c>
      <c r="I173" s="1">
        <v>45481.708333333336</v>
      </c>
      <c r="J173" t="s">
        <v>17</v>
      </c>
      <c r="K173" s="1">
        <v>45474</v>
      </c>
      <c r="L173" s="1">
        <v>45479.041666666664</v>
      </c>
      <c r="M173" s="1">
        <v>45475.000694444447</v>
      </c>
      <c r="N173" s="1">
        <v>45479.625</v>
      </c>
      <c r="O173" s="1">
        <v>45472.5</v>
      </c>
      <c r="P173" s="1">
        <v>45478.5</v>
      </c>
    </row>
    <row r="174" spans="1:16" hidden="1" x14ac:dyDescent="0.25">
      <c r="A174" s="1">
        <v>45464.589583333334</v>
      </c>
      <c r="B174" t="s">
        <v>490</v>
      </c>
      <c r="C174" t="s">
        <v>386</v>
      </c>
      <c r="D174" t="s">
        <v>471</v>
      </c>
      <c r="E174" t="s">
        <v>78</v>
      </c>
      <c r="F174" t="s">
        <v>13</v>
      </c>
      <c r="G174" s="1">
        <v>45466</v>
      </c>
      <c r="H174" s="1">
        <v>45466.34375</v>
      </c>
      <c r="I174" s="1">
        <v>45468.104166666664</v>
      </c>
      <c r="J174" t="s">
        <v>14</v>
      </c>
      <c r="K174" s="1">
        <v>45459</v>
      </c>
      <c r="L174" s="1">
        <v>45464.34375</v>
      </c>
      <c r="M174" s="1">
        <v>45460.000694444447</v>
      </c>
      <c r="N174" s="1">
        <v>45464.5</v>
      </c>
      <c r="O174" s="1">
        <v>45456.5</v>
      </c>
      <c r="P174" s="1">
        <v>45462.5</v>
      </c>
    </row>
    <row r="175" spans="1:16" hidden="1" x14ac:dyDescent="0.25">
      <c r="A175" s="1">
        <v>45464.589583333334</v>
      </c>
      <c r="B175" t="s">
        <v>357</v>
      </c>
      <c r="C175" t="s">
        <v>284</v>
      </c>
      <c r="D175" t="s">
        <v>255</v>
      </c>
      <c r="E175" t="s">
        <v>45</v>
      </c>
      <c r="F175" t="s">
        <v>173</v>
      </c>
      <c r="G175" s="1">
        <v>45467.208333333336</v>
      </c>
      <c r="H175" s="1">
        <v>45468.145833333336</v>
      </c>
      <c r="I175" s="1">
        <v>45468.895833333336</v>
      </c>
      <c r="J175" t="s">
        <v>21</v>
      </c>
      <c r="K175" s="1">
        <v>45460.208333333336</v>
      </c>
      <c r="L175" s="1">
        <v>45466.145833333336</v>
      </c>
      <c r="M175" s="1">
        <v>45461.000694444447</v>
      </c>
      <c r="N175" s="1">
        <v>45466.625</v>
      </c>
      <c r="O175" s="1">
        <v>45458.708333333336</v>
      </c>
      <c r="P175" s="1">
        <v>45464.708333333336</v>
      </c>
    </row>
    <row r="176" spans="1:16" hidden="1" x14ac:dyDescent="0.25">
      <c r="A176" s="1">
        <v>45464.589583333334</v>
      </c>
      <c r="B176" t="s">
        <v>454</v>
      </c>
      <c r="C176" t="s">
        <v>455</v>
      </c>
      <c r="D176" t="s">
        <v>456</v>
      </c>
      <c r="E176" t="s">
        <v>79</v>
      </c>
      <c r="F176" t="s">
        <v>217</v>
      </c>
      <c r="G176" s="1">
        <v>45468</v>
      </c>
      <c r="H176" s="1">
        <v>45468.166666666664</v>
      </c>
      <c r="I176" s="1">
        <v>45468.833333333336</v>
      </c>
      <c r="J176" t="s">
        <v>16</v>
      </c>
      <c r="K176" s="1">
        <v>45461</v>
      </c>
      <c r="L176" s="1">
        <v>45466.166666666664</v>
      </c>
      <c r="M176" s="1">
        <v>45462.000694444447</v>
      </c>
      <c r="N176" s="1">
        <v>45465.625</v>
      </c>
      <c r="O176" s="1">
        <v>45459.5</v>
      </c>
      <c r="P176" s="1">
        <v>45465.5</v>
      </c>
    </row>
    <row r="177" spans="1:16" hidden="1" x14ac:dyDescent="0.25">
      <c r="A177" s="1">
        <v>45464.589583333334</v>
      </c>
      <c r="B177" t="s">
        <v>249</v>
      </c>
      <c r="C177" t="s">
        <v>493</v>
      </c>
      <c r="D177" t="s">
        <v>493</v>
      </c>
      <c r="E177" t="s">
        <v>246</v>
      </c>
      <c r="G177" s="1">
        <v>45466.291666666664</v>
      </c>
      <c r="H177" s="1">
        <v>45467.989583333336</v>
      </c>
      <c r="I177" s="1">
        <v>45468.197916666664</v>
      </c>
      <c r="J177" t="s">
        <v>76</v>
      </c>
      <c r="K177" s="1">
        <v>45459.291666666664</v>
      </c>
      <c r="L177" s="1">
        <v>45465.989583333336</v>
      </c>
      <c r="M177" s="1">
        <v>45460.000694444447</v>
      </c>
      <c r="N177" s="1">
        <v>45465.708333333336</v>
      </c>
      <c r="O177" s="1">
        <v>45456.291666666664</v>
      </c>
      <c r="P177" s="1">
        <v>45465.989583333336</v>
      </c>
    </row>
    <row r="178" spans="1:16" hidden="1" x14ac:dyDescent="0.25">
      <c r="A178" s="1">
        <v>45464.589583333334</v>
      </c>
      <c r="B178" t="s">
        <v>64</v>
      </c>
      <c r="C178" t="s">
        <v>329</v>
      </c>
      <c r="D178" t="s">
        <v>330</v>
      </c>
      <c r="E178" t="s">
        <v>52</v>
      </c>
      <c r="G178" s="1">
        <v>45468.333333333336</v>
      </c>
      <c r="H178" s="1">
        <v>45468.895833333336</v>
      </c>
      <c r="I178" s="1">
        <v>45469.385416666664</v>
      </c>
      <c r="J178" t="s">
        <v>23</v>
      </c>
      <c r="K178" s="1">
        <v>45461.333333333336</v>
      </c>
      <c r="L178" s="1">
        <v>45466.895833333336</v>
      </c>
      <c r="M178" s="1">
        <v>45462.000694444447</v>
      </c>
      <c r="N178" s="1">
        <v>45467.5</v>
      </c>
      <c r="O178" s="1">
        <v>45459.833333333336</v>
      </c>
      <c r="P178" s="1">
        <v>45465.833333333336</v>
      </c>
    </row>
    <row r="179" spans="1:16" hidden="1" x14ac:dyDescent="0.25">
      <c r="A179" s="1">
        <v>45464.589583333334</v>
      </c>
      <c r="B179" t="s">
        <v>545</v>
      </c>
      <c r="C179" t="s">
        <v>546</v>
      </c>
      <c r="D179" t="s">
        <v>546</v>
      </c>
      <c r="E179" t="s">
        <v>18</v>
      </c>
      <c r="F179" t="s">
        <v>19</v>
      </c>
      <c r="G179" s="1">
        <v>45468.916666666664</v>
      </c>
      <c r="H179" s="1">
        <v>45468.9375</v>
      </c>
      <c r="I179" s="1">
        <v>45469.979166666664</v>
      </c>
      <c r="J179" t="s">
        <v>80</v>
      </c>
      <c r="K179" s="1">
        <v>45461.916666666664</v>
      </c>
      <c r="L179" s="1">
        <v>45466.9375</v>
      </c>
      <c r="M179" s="1">
        <v>45462.000694444447</v>
      </c>
      <c r="N179" s="1">
        <v>45467.625</v>
      </c>
      <c r="O179" s="1">
        <v>45460.416666666664</v>
      </c>
      <c r="P179" s="1">
        <v>45466.416666666664</v>
      </c>
    </row>
    <row r="180" spans="1:16" hidden="1" x14ac:dyDescent="0.25">
      <c r="A180" s="1">
        <v>45464.568749999999</v>
      </c>
      <c r="B180" t="s">
        <v>489</v>
      </c>
      <c r="C180" t="s">
        <v>342</v>
      </c>
      <c r="D180" t="s">
        <v>342</v>
      </c>
      <c r="E180" t="s">
        <v>436</v>
      </c>
      <c r="F180" t="s">
        <v>75</v>
      </c>
      <c r="G180" s="1">
        <v>45463.541666666664</v>
      </c>
      <c r="H180" s="1">
        <v>45465.010416666664</v>
      </c>
      <c r="I180" s="1">
        <v>45466.302083333336</v>
      </c>
      <c r="J180" t="s">
        <v>13</v>
      </c>
      <c r="K180" s="1">
        <v>45456.541666666664</v>
      </c>
      <c r="L180" s="1">
        <v>45463.010416666664</v>
      </c>
      <c r="M180" s="1">
        <v>45457.000694444447</v>
      </c>
      <c r="N180" s="1">
        <v>45462.5</v>
      </c>
      <c r="O180" s="1">
        <v>45455.041666666664</v>
      </c>
      <c r="P180" s="1">
        <v>45461.041666666664</v>
      </c>
    </row>
    <row r="181" spans="1:16" hidden="1" x14ac:dyDescent="0.25">
      <c r="A181" s="1">
        <v>45464.568749999999</v>
      </c>
      <c r="B181" t="s">
        <v>136</v>
      </c>
      <c r="C181" t="s">
        <v>156</v>
      </c>
      <c r="D181" t="s">
        <v>157</v>
      </c>
      <c r="E181" t="s">
        <v>43</v>
      </c>
      <c r="F181" t="s">
        <v>14</v>
      </c>
      <c r="G181" s="1">
        <v>45465.5</v>
      </c>
      <c r="H181" s="1">
        <v>45465.583333333336</v>
      </c>
      <c r="I181" s="1">
        <v>45466.270833333336</v>
      </c>
      <c r="J181" t="s">
        <v>13</v>
      </c>
      <c r="K181" s="1">
        <v>45458.5</v>
      </c>
      <c r="L181" s="1">
        <v>45463.583333333336</v>
      </c>
      <c r="M181" s="1">
        <v>45459.000694444447</v>
      </c>
      <c r="N181" s="1">
        <v>45463.625</v>
      </c>
      <c r="O181" s="1">
        <v>45457</v>
      </c>
      <c r="P181" s="1">
        <v>45463</v>
      </c>
    </row>
    <row r="182" spans="1:16" hidden="1" x14ac:dyDescent="0.25">
      <c r="A182" s="1">
        <v>45464.568749999999</v>
      </c>
      <c r="B182" t="s">
        <v>326</v>
      </c>
      <c r="C182" t="s">
        <v>283</v>
      </c>
      <c r="D182" t="s">
        <v>247</v>
      </c>
      <c r="E182" t="s">
        <v>42</v>
      </c>
      <c r="F182" t="s">
        <v>14</v>
      </c>
      <c r="G182" s="1">
        <v>45459.291666666664</v>
      </c>
      <c r="H182" s="1">
        <v>45466.364583333336</v>
      </c>
      <c r="I182" s="1">
        <v>45467.947916666664</v>
      </c>
      <c r="J182" t="s">
        <v>17</v>
      </c>
      <c r="K182" s="1">
        <v>45452.291666666664</v>
      </c>
      <c r="L182" s="1">
        <v>45464.364583333336</v>
      </c>
      <c r="M182" s="1">
        <v>45453.000694444447</v>
      </c>
      <c r="N182" s="1">
        <v>45464.625</v>
      </c>
      <c r="O182" s="1">
        <v>45450.791666666664</v>
      </c>
      <c r="P182" s="1">
        <v>45456.791666666664</v>
      </c>
    </row>
    <row r="183" spans="1:16" hidden="1" x14ac:dyDescent="0.25">
      <c r="A183" s="1">
        <v>45464.568749999999</v>
      </c>
      <c r="B183" t="s">
        <v>151</v>
      </c>
      <c r="C183" t="s">
        <v>285</v>
      </c>
      <c r="D183" t="s">
        <v>286</v>
      </c>
      <c r="E183" t="s">
        <v>77</v>
      </c>
      <c r="F183" t="s">
        <v>14</v>
      </c>
      <c r="G183" s="1">
        <v>45471</v>
      </c>
      <c r="H183" s="1">
        <v>45472.270833333336</v>
      </c>
      <c r="I183" s="1">
        <v>45473.395833333336</v>
      </c>
      <c r="J183" t="s">
        <v>76</v>
      </c>
      <c r="K183" s="1">
        <v>45464</v>
      </c>
      <c r="L183" s="1">
        <v>45470.270833333336</v>
      </c>
      <c r="M183" s="1">
        <v>45465.000694444447</v>
      </c>
      <c r="N183" s="1">
        <v>45469.625</v>
      </c>
      <c r="O183" s="1">
        <v>45462.5</v>
      </c>
      <c r="P183" s="1">
        <v>45468.5</v>
      </c>
    </row>
    <row r="184" spans="1:16" hidden="1" x14ac:dyDescent="0.25">
      <c r="A184" s="1">
        <v>45464.511111111111</v>
      </c>
      <c r="B184" t="s">
        <v>148</v>
      </c>
      <c r="C184" t="s">
        <v>295</v>
      </c>
      <c r="D184" t="s">
        <v>716</v>
      </c>
      <c r="E184" t="s">
        <v>121</v>
      </c>
      <c r="F184" t="s">
        <v>122</v>
      </c>
      <c r="G184" s="1">
        <v>45492.916666666664</v>
      </c>
      <c r="H184" s="1">
        <v>45492.916666666664</v>
      </c>
      <c r="I184" s="1">
        <v>45493.583333333336</v>
      </c>
      <c r="J184" t="s">
        <v>16</v>
      </c>
      <c r="K184" s="1">
        <v>45485.916666666664</v>
      </c>
      <c r="L184" s="1">
        <v>45490.916666666664</v>
      </c>
      <c r="M184" s="1">
        <v>45486.000694444447</v>
      </c>
      <c r="N184" s="1">
        <v>45491.625</v>
      </c>
      <c r="O184" s="1">
        <v>45484.416666666664</v>
      </c>
      <c r="P184" s="1">
        <v>45490.416666666664</v>
      </c>
    </row>
    <row r="185" spans="1:16" hidden="1" x14ac:dyDescent="0.25">
      <c r="A185" s="1">
        <v>45462.695138888892</v>
      </c>
      <c r="B185" t="s">
        <v>478</v>
      </c>
      <c r="C185" t="s">
        <v>315</v>
      </c>
      <c r="D185" t="s">
        <v>315</v>
      </c>
      <c r="E185" t="s">
        <v>436</v>
      </c>
      <c r="F185" t="s">
        <v>75</v>
      </c>
      <c r="G185" s="1">
        <v>45459.75</v>
      </c>
      <c r="H185" s="1">
        <v>45464.260416666664</v>
      </c>
      <c r="I185" s="1">
        <v>45465.020833333336</v>
      </c>
      <c r="J185" t="s">
        <v>13</v>
      </c>
      <c r="K185" s="1">
        <v>45452.75</v>
      </c>
      <c r="L185" s="1">
        <v>45462.260416666664</v>
      </c>
      <c r="M185" s="1">
        <v>45453.000694444447</v>
      </c>
      <c r="N185" s="1">
        <v>45462.625</v>
      </c>
      <c r="O185" s="1">
        <v>45451.25</v>
      </c>
      <c r="P185" s="1">
        <v>45457.25</v>
      </c>
    </row>
    <row r="186" spans="1:16" hidden="1" x14ac:dyDescent="0.25">
      <c r="A186" s="1">
        <v>45462.695138888892</v>
      </c>
      <c r="B186" t="s">
        <v>489</v>
      </c>
      <c r="C186" t="s">
        <v>342</v>
      </c>
      <c r="D186" t="s">
        <v>342</v>
      </c>
      <c r="E186" t="s">
        <v>436</v>
      </c>
      <c r="F186" t="s">
        <v>75</v>
      </c>
      <c r="G186" s="1">
        <v>45463.541666666664</v>
      </c>
      <c r="H186" s="1">
        <v>45465.0625</v>
      </c>
      <c r="I186" s="1">
        <v>45466.291666666664</v>
      </c>
      <c r="J186" t="s">
        <v>13</v>
      </c>
      <c r="K186" s="1">
        <v>45456.541666666664</v>
      </c>
      <c r="L186" s="1">
        <v>45463.0625</v>
      </c>
      <c r="M186" s="1">
        <v>45457.000694444447</v>
      </c>
      <c r="N186" s="1">
        <v>45462.5</v>
      </c>
      <c r="O186" s="1">
        <v>45455.041666666664</v>
      </c>
      <c r="P186" s="1">
        <v>45461.041666666664</v>
      </c>
    </row>
    <row r="187" spans="1:16" hidden="1" x14ac:dyDescent="0.25">
      <c r="A187" s="1">
        <v>45462.695138888892</v>
      </c>
      <c r="B187" t="s">
        <v>155</v>
      </c>
      <c r="C187" t="s">
        <v>491</v>
      </c>
      <c r="D187" t="s">
        <v>492</v>
      </c>
      <c r="E187" t="s">
        <v>121</v>
      </c>
      <c r="F187" t="s">
        <v>122</v>
      </c>
      <c r="G187" s="1">
        <v>45464.833333333336</v>
      </c>
      <c r="H187" s="1">
        <v>45464.854166666664</v>
      </c>
      <c r="I187" s="1">
        <v>45465.666666666664</v>
      </c>
      <c r="J187" t="s">
        <v>21</v>
      </c>
      <c r="K187" s="1">
        <v>45457.833333333336</v>
      </c>
      <c r="L187" s="1">
        <v>45462.854166666664</v>
      </c>
      <c r="M187" s="1">
        <v>45458.000694444447</v>
      </c>
      <c r="N187" s="1">
        <v>45463.5</v>
      </c>
      <c r="O187" s="1">
        <v>45454.833333333336</v>
      </c>
      <c r="P187" s="1">
        <v>45462.854166666664</v>
      </c>
    </row>
    <row r="188" spans="1:16" hidden="1" x14ac:dyDescent="0.25">
      <c r="A188" s="1">
        <v>45462.695138888892</v>
      </c>
      <c r="B188" t="s">
        <v>136</v>
      </c>
      <c r="C188" t="s">
        <v>156</v>
      </c>
      <c r="D188" t="s">
        <v>157</v>
      </c>
      <c r="E188" t="s">
        <v>43</v>
      </c>
      <c r="F188" t="s">
        <v>14</v>
      </c>
      <c r="G188" s="1">
        <v>45465.5</v>
      </c>
      <c r="H188" s="1">
        <v>45465.708333333336</v>
      </c>
      <c r="I188" s="1">
        <v>45466.166666666664</v>
      </c>
      <c r="J188" t="s">
        <v>13</v>
      </c>
      <c r="K188" s="1">
        <v>45458.5</v>
      </c>
      <c r="L188" s="1">
        <v>45463.708333333336</v>
      </c>
      <c r="M188" s="1">
        <v>45459.000694444447</v>
      </c>
      <c r="N188" s="1">
        <v>45463.625</v>
      </c>
      <c r="O188" s="1">
        <v>45457</v>
      </c>
      <c r="P188" s="1">
        <v>45463</v>
      </c>
    </row>
    <row r="189" spans="1:16" hidden="1" x14ac:dyDescent="0.25">
      <c r="A189" s="1">
        <v>45462.695138888892</v>
      </c>
      <c r="B189" t="s">
        <v>326</v>
      </c>
      <c r="C189" t="s">
        <v>283</v>
      </c>
      <c r="D189" t="s">
        <v>247</v>
      </c>
      <c r="E189" t="s">
        <v>42</v>
      </c>
      <c r="F189" t="s">
        <v>14</v>
      </c>
      <c r="G189" s="1">
        <v>45459.291666666664</v>
      </c>
      <c r="H189" s="1">
        <v>45466.1875</v>
      </c>
      <c r="I189" s="1">
        <v>45467.791666666664</v>
      </c>
      <c r="J189" t="s">
        <v>17</v>
      </c>
      <c r="K189" s="1">
        <v>45452.291666666664</v>
      </c>
      <c r="L189" s="1">
        <v>45464.1875</v>
      </c>
      <c r="M189" s="1">
        <v>45453.000694444447</v>
      </c>
      <c r="N189" s="1">
        <v>45464.625</v>
      </c>
      <c r="O189" s="1">
        <v>45450.791666666664</v>
      </c>
      <c r="P189" s="1">
        <v>45456.791666666664</v>
      </c>
    </row>
    <row r="190" spans="1:16" hidden="1" x14ac:dyDescent="0.25">
      <c r="A190" s="1">
        <v>45462.695138888892</v>
      </c>
      <c r="B190" t="s">
        <v>490</v>
      </c>
      <c r="C190" t="s">
        <v>386</v>
      </c>
      <c r="D190" t="s">
        <v>471</v>
      </c>
      <c r="E190" t="s">
        <v>78</v>
      </c>
      <c r="F190" t="s">
        <v>13</v>
      </c>
      <c r="G190" s="1">
        <v>45466</v>
      </c>
      <c r="H190" s="1">
        <v>45466.333333333336</v>
      </c>
      <c r="I190" s="1">
        <v>45468.104166666664</v>
      </c>
      <c r="J190" t="s">
        <v>14</v>
      </c>
      <c r="K190" s="1">
        <v>45459</v>
      </c>
      <c r="L190" s="1">
        <v>45464.333333333336</v>
      </c>
      <c r="M190" s="1">
        <v>45460.000694444447</v>
      </c>
      <c r="N190" s="1">
        <v>45464.5</v>
      </c>
      <c r="O190" s="1">
        <v>45456.5</v>
      </c>
      <c r="P190" s="1">
        <v>45462.5</v>
      </c>
    </row>
    <row r="191" spans="1:16" hidden="1" x14ac:dyDescent="0.25">
      <c r="A191" s="1">
        <v>45462.695138888892</v>
      </c>
      <c r="B191" t="s">
        <v>65</v>
      </c>
      <c r="C191" t="s">
        <v>362</v>
      </c>
      <c r="D191" t="s">
        <v>363</v>
      </c>
      <c r="E191" t="s">
        <v>44</v>
      </c>
      <c r="F191" t="s">
        <v>30</v>
      </c>
      <c r="G191" s="1">
        <v>45467.25</v>
      </c>
      <c r="H191" s="1">
        <v>45467.6875</v>
      </c>
      <c r="I191" s="1">
        <v>45468.166666666664</v>
      </c>
      <c r="J191" t="s">
        <v>13</v>
      </c>
      <c r="K191" s="1">
        <v>45460.25</v>
      </c>
      <c r="L191" s="1">
        <v>45465.6875</v>
      </c>
      <c r="M191" s="1">
        <v>45461.000694444447</v>
      </c>
      <c r="N191" s="1">
        <v>45466.5</v>
      </c>
      <c r="O191" s="1">
        <v>45458.75</v>
      </c>
      <c r="P191" s="1">
        <v>45464.75</v>
      </c>
    </row>
    <row r="192" spans="1:16" hidden="1" x14ac:dyDescent="0.25">
      <c r="A192" s="1">
        <v>45462.695138888892</v>
      </c>
      <c r="B192" t="s">
        <v>64</v>
      </c>
      <c r="C192" t="s">
        <v>329</v>
      </c>
      <c r="D192" t="s">
        <v>330</v>
      </c>
      <c r="E192" t="s">
        <v>52</v>
      </c>
      <c r="G192" s="1">
        <v>45467.333333333336</v>
      </c>
      <c r="H192" s="1">
        <v>45467.833333333336</v>
      </c>
      <c r="I192" s="1">
        <v>45468.208333333336</v>
      </c>
      <c r="J192" t="s">
        <v>23</v>
      </c>
      <c r="K192" s="1">
        <v>45460.333333333336</v>
      </c>
      <c r="L192" s="1">
        <v>45465.833333333336</v>
      </c>
      <c r="M192" s="1">
        <v>45461.000694444447</v>
      </c>
      <c r="N192" s="1">
        <v>45466.5</v>
      </c>
      <c r="O192" s="1">
        <v>45458.833333333336</v>
      </c>
      <c r="P192" s="1">
        <v>45464.833333333336</v>
      </c>
    </row>
    <row r="193" spans="1:16" hidden="1" x14ac:dyDescent="0.25">
      <c r="A193" s="1">
        <v>45462.695138888892</v>
      </c>
      <c r="B193" t="s">
        <v>357</v>
      </c>
      <c r="C193" t="s">
        <v>284</v>
      </c>
      <c r="D193" t="s">
        <v>255</v>
      </c>
      <c r="E193" t="s">
        <v>45</v>
      </c>
      <c r="F193" t="s">
        <v>173</v>
      </c>
      <c r="G193" s="1">
        <v>45467.208333333336</v>
      </c>
      <c r="H193" s="1">
        <v>45467.895833333336</v>
      </c>
      <c r="I193" s="1">
        <v>45468.583333333336</v>
      </c>
      <c r="J193" t="s">
        <v>21</v>
      </c>
      <c r="K193" s="1">
        <v>45460.208333333336</v>
      </c>
      <c r="L193" s="1">
        <v>45465.895833333336</v>
      </c>
      <c r="M193" s="1">
        <v>45461.000694444447</v>
      </c>
      <c r="N193" s="1">
        <v>45466.625</v>
      </c>
      <c r="O193" s="1">
        <v>45458.708333333336</v>
      </c>
      <c r="P193" s="1">
        <v>45464.708333333336</v>
      </c>
    </row>
    <row r="194" spans="1:16" hidden="1" x14ac:dyDescent="0.25">
      <c r="A194" s="1">
        <v>45462.695138888892</v>
      </c>
      <c r="B194" t="s">
        <v>127</v>
      </c>
      <c r="C194" t="s">
        <v>444</v>
      </c>
      <c r="D194" t="s">
        <v>309</v>
      </c>
      <c r="E194" t="s">
        <v>129</v>
      </c>
      <c r="F194" t="s">
        <v>21</v>
      </c>
      <c r="G194" s="1">
        <v>45462.416666666664</v>
      </c>
      <c r="H194" s="1">
        <v>45467.916666666664</v>
      </c>
      <c r="I194" s="1">
        <v>45468.333333333336</v>
      </c>
      <c r="J194" t="s">
        <v>19</v>
      </c>
      <c r="K194" s="1">
        <v>45455.416666666664</v>
      </c>
      <c r="L194" s="1">
        <v>45465.916666666664</v>
      </c>
      <c r="M194" s="1">
        <v>45456.000694444447</v>
      </c>
      <c r="N194" s="1">
        <v>45461.5</v>
      </c>
      <c r="O194" s="1">
        <v>45453.916666666664</v>
      </c>
      <c r="P194" s="1">
        <v>45459.916666666664</v>
      </c>
    </row>
    <row r="195" spans="1:16" hidden="1" x14ac:dyDescent="0.25">
      <c r="A195" s="1">
        <v>45462.695138888892</v>
      </c>
      <c r="B195" t="s">
        <v>454</v>
      </c>
      <c r="C195" t="s">
        <v>455</v>
      </c>
      <c r="D195" t="s">
        <v>456</v>
      </c>
      <c r="E195" t="s">
        <v>79</v>
      </c>
      <c r="F195" t="s">
        <v>217</v>
      </c>
      <c r="G195" s="1">
        <v>45468</v>
      </c>
      <c r="H195" s="1">
        <v>45468.208333333336</v>
      </c>
      <c r="I195" s="1">
        <v>45468.875</v>
      </c>
      <c r="J195" t="s">
        <v>16</v>
      </c>
      <c r="K195" s="1">
        <v>45461</v>
      </c>
      <c r="L195" s="1">
        <v>45466.208333333336</v>
      </c>
      <c r="M195" s="1">
        <v>45462.000694444447</v>
      </c>
      <c r="N195" s="1">
        <v>45464.416666666664</v>
      </c>
      <c r="O195" s="1">
        <v>45459.5</v>
      </c>
      <c r="P195" s="1">
        <v>45465.5</v>
      </c>
    </row>
    <row r="196" spans="1:16" hidden="1" x14ac:dyDescent="0.25">
      <c r="A196" s="1">
        <v>45462.695138888892</v>
      </c>
      <c r="B196" t="s">
        <v>141</v>
      </c>
      <c r="C196" t="s">
        <v>358</v>
      </c>
      <c r="D196" t="s">
        <v>358</v>
      </c>
      <c r="E196" t="s">
        <v>732</v>
      </c>
      <c r="F196" t="s">
        <v>125</v>
      </c>
      <c r="G196" s="1">
        <v>45468.5</v>
      </c>
      <c r="H196" s="1">
        <v>45468.625</v>
      </c>
      <c r="I196" s="1">
        <v>45469.25</v>
      </c>
      <c r="J196" t="s">
        <v>17</v>
      </c>
      <c r="K196" s="1">
        <v>45461.5</v>
      </c>
      <c r="L196" s="1">
        <v>45466.625</v>
      </c>
      <c r="M196" s="1">
        <v>45462.000694444447</v>
      </c>
      <c r="N196" s="1">
        <v>45467.5</v>
      </c>
      <c r="O196" s="1">
        <v>45460</v>
      </c>
      <c r="P196" s="1">
        <v>45466</v>
      </c>
    </row>
    <row r="197" spans="1:16" hidden="1" x14ac:dyDescent="0.25">
      <c r="A197" s="1">
        <v>45462.695138888892</v>
      </c>
      <c r="B197" t="s">
        <v>249</v>
      </c>
      <c r="C197" t="s">
        <v>493</v>
      </c>
      <c r="D197" t="s">
        <v>493</v>
      </c>
      <c r="E197" t="s">
        <v>246</v>
      </c>
      <c r="G197" s="1">
        <v>45466.291666666664</v>
      </c>
      <c r="H197" s="1">
        <v>45467.916666666664</v>
      </c>
      <c r="I197" s="1">
        <v>45468.125</v>
      </c>
      <c r="J197" t="s">
        <v>76</v>
      </c>
      <c r="K197" s="1">
        <v>45459.291666666664</v>
      </c>
      <c r="L197" s="1">
        <v>45465.916666666664</v>
      </c>
      <c r="M197" s="1">
        <v>45460.000694444447</v>
      </c>
      <c r="N197" s="1">
        <v>45465.708333333336</v>
      </c>
      <c r="O197" s="1">
        <v>45456.291666666664</v>
      </c>
      <c r="P197" s="1">
        <v>45465.916666666664</v>
      </c>
    </row>
    <row r="198" spans="1:16" hidden="1" x14ac:dyDescent="0.25">
      <c r="A198" s="1">
        <v>45462.695138888892</v>
      </c>
      <c r="B198" t="s">
        <v>545</v>
      </c>
      <c r="C198" t="s">
        <v>546</v>
      </c>
      <c r="D198" t="s">
        <v>546</v>
      </c>
      <c r="E198" t="s">
        <v>18</v>
      </c>
      <c r="F198" t="s">
        <v>19</v>
      </c>
      <c r="G198" s="1">
        <v>45468.916666666664</v>
      </c>
      <c r="H198" s="1">
        <v>45468.916666666664</v>
      </c>
      <c r="I198" s="1">
        <v>45469.916666666664</v>
      </c>
      <c r="J198" t="s">
        <v>80</v>
      </c>
      <c r="K198" s="1">
        <v>45461.916666666664</v>
      </c>
      <c r="L198" s="1">
        <v>45466.916666666664</v>
      </c>
      <c r="M198" s="1">
        <v>45462.000694444447</v>
      </c>
      <c r="N198" s="1">
        <v>45466.5</v>
      </c>
      <c r="O198" s="1">
        <v>45460.416666666664</v>
      </c>
      <c r="P198" s="1">
        <v>45466.416666666664</v>
      </c>
    </row>
    <row r="199" spans="1:16" hidden="1" x14ac:dyDescent="0.25">
      <c r="A199" s="1">
        <v>45462.695138888892</v>
      </c>
      <c r="B199" t="s">
        <v>435</v>
      </c>
      <c r="C199" t="s">
        <v>322</v>
      </c>
      <c r="D199" t="s">
        <v>322</v>
      </c>
      <c r="E199" t="s">
        <v>273</v>
      </c>
      <c r="F199" t="s">
        <v>125</v>
      </c>
      <c r="G199" s="1">
        <v>45469.416666666664</v>
      </c>
      <c r="H199" s="1">
        <v>45469.416666666664</v>
      </c>
      <c r="I199" s="1">
        <v>45470.208333333336</v>
      </c>
      <c r="J199" t="s">
        <v>80</v>
      </c>
      <c r="K199" s="1">
        <v>45462.416666666664</v>
      </c>
      <c r="L199" s="1">
        <v>45467.416666666664</v>
      </c>
      <c r="M199" s="1">
        <v>45463.000694444447</v>
      </c>
      <c r="N199" s="1">
        <v>45467.625</v>
      </c>
      <c r="O199" s="1">
        <v>45460.916666666664</v>
      </c>
      <c r="P199" s="1">
        <v>45466.916666666664</v>
      </c>
    </row>
    <row r="200" spans="1:16" hidden="1" x14ac:dyDescent="0.25">
      <c r="A200" s="1">
        <v>45462.695138888892</v>
      </c>
      <c r="B200" t="s">
        <v>192</v>
      </c>
      <c r="C200" t="s">
        <v>282</v>
      </c>
      <c r="D200" t="s">
        <v>320</v>
      </c>
      <c r="E200" t="s">
        <v>46</v>
      </c>
      <c r="F200" t="s">
        <v>13</v>
      </c>
      <c r="G200" s="1">
        <v>45470</v>
      </c>
      <c r="H200" s="1">
        <v>45470.020833333336</v>
      </c>
      <c r="I200" s="1">
        <v>45471.291666666664</v>
      </c>
      <c r="J200" t="s">
        <v>27</v>
      </c>
      <c r="K200" s="1">
        <v>45463</v>
      </c>
      <c r="L200" s="1">
        <v>45468.020833333336</v>
      </c>
      <c r="M200" s="1">
        <v>45464.000694444447</v>
      </c>
      <c r="N200" s="1">
        <v>45468.625</v>
      </c>
      <c r="O200" s="1">
        <v>45461.5</v>
      </c>
      <c r="P200" s="1">
        <v>45467.5</v>
      </c>
    </row>
    <row r="201" spans="1:16" hidden="1" x14ac:dyDescent="0.25">
      <c r="A201" s="1">
        <v>45462.695138888892</v>
      </c>
      <c r="B201" t="s">
        <v>151</v>
      </c>
      <c r="C201" t="s">
        <v>285</v>
      </c>
      <c r="D201" t="s">
        <v>286</v>
      </c>
      <c r="E201" t="s">
        <v>77</v>
      </c>
      <c r="F201" t="s">
        <v>14</v>
      </c>
      <c r="G201" s="1">
        <v>45471</v>
      </c>
      <c r="H201" s="1">
        <v>45471.3125</v>
      </c>
      <c r="I201" s="1">
        <v>45472.4375</v>
      </c>
      <c r="J201" t="s">
        <v>76</v>
      </c>
      <c r="K201" s="1">
        <v>45464</v>
      </c>
      <c r="L201" s="1">
        <v>45469.3125</v>
      </c>
      <c r="M201" s="1">
        <v>45465.000694444447</v>
      </c>
      <c r="N201" s="1">
        <v>45469.625</v>
      </c>
      <c r="O201" s="1">
        <v>45462.5</v>
      </c>
      <c r="P201" s="1">
        <v>45468.5</v>
      </c>
    </row>
    <row r="202" spans="1:16" hidden="1" x14ac:dyDescent="0.25">
      <c r="A202" s="1">
        <v>45462.695138888892</v>
      </c>
      <c r="B202" t="s">
        <v>148</v>
      </c>
      <c r="C202" t="s">
        <v>573</v>
      </c>
      <c r="D202" t="s">
        <v>568</v>
      </c>
      <c r="E202" t="s">
        <v>121</v>
      </c>
      <c r="F202" t="s">
        <v>122</v>
      </c>
      <c r="G202" s="1">
        <v>45472</v>
      </c>
      <c r="H202" s="1">
        <v>45471.875</v>
      </c>
      <c r="I202" s="1">
        <v>45472.541666666664</v>
      </c>
      <c r="J202" t="s">
        <v>16</v>
      </c>
      <c r="K202" s="1">
        <v>45465</v>
      </c>
      <c r="L202" s="1">
        <v>45469.875</v>
      </c>
      <c r="M202" s="1">
        <v>45466.000694444447</v>
      </c>
      <c r="N202" s="1">
        <v>45470.625</v>
      </c>
      <c r="O202" s="1">
        <v>45463.5</v>
      </c>
      <c r="P202" s="1">
        <v>45469.5</v>
      </c>
    </row>
    <row r="203" spans="1:16" hidden="1" x14ac:dyDescent="0.25">
      <c r="A203" s="1">
        <v>45462.695138888892</v>
      </c>
      <c r="B203" t="s">
        <v>63</v>
      </c>
      <c r="C203" t="s">
        <v>156</v>
      </c>
      <c r="D203" t="s">
        <v>157</v>
      </c>
      <c r="E203" t="s">
        <v>43</v>
      </c>
      <c r="F203" t="s">
        <v>14</v>
      </c>
      <c r="G203" s="1">
        <v>45472.583333333336</v>
      </c>
      <c r="H203" s="1">
        <v>45472.583333333336</v>
      </c>
      <c r="I203" s="1">
        <v>45473.25</v>
      </c>
      <c r="J203" t="s">
        <v>13</v>
      </c>
      <c r="K203" s="1">
        <v>45465.583333333336</v>
      </c>
      <c r="L203" s="1">
        <v>45470.583333333336</v>
      </c>
      <c r="M203" s="1">
        <v>45466.000694444447</v>
      </c>
      <c r="N203" s="1">
        <v>45471.625</v>
      </c>
      <c r="O203" s="1">
        <v>45464.083333333336</v>
      </c>
      <c r="P203" s="1">
        <v>45470.083333333336</v>
      </c>
    </row>
    <row r="204" spans="1:16" hidden="1" x14ac:dyDescent="0.25">
      <c r="A204" s="1">
        <v>45462.695138888892</v>
      </c>
      <c r="B204" t="s">
        <v>634</v>
      </c>
      <c r="C204" t="s">
        <v>467</v>
      </c>
      <c r="D204" t="s">
        <v>472</v>
      </c>
      <c r="E204" t="s">
        <v>78</v>
      </c>
      <c r="F204" t="s">
        <v>13</v>
      </c>
      <c r="G204" s="1">
        <v>45472.75</v>
      </c>
      <c r="H204" s="1">
        <v>45472.75</v>
      </c>
      <c r="I204" s="1">
        <v>45474.25</v>
      </c>
      <c r="J204" t="s">
        <v>14</v>
      </c>
      <c r="K204" s="1">
        <v>45465.75</v>
      </c>
      <c r="L204" s="1">
        <v>45470.75</v>
      </c>
      <c r="M204" s="1">
        <v>45466.000694444447</v>
      </c>
      <c r="N204" s="1">
        <v>45471.625</v>
      </c>
      <c r="O204" s="1">
        <v>45463.25</v>
      </c>
      <c r="P204" s="1">
        <v>45469.25</v>
      </c>
    </row>
    <row r="205" spans="1:16" hidden="1" x14ac:dyDescent="0.25">
      <c r="A205" s="1">
        <v>45462.695138888892</v>
      </c>
      <c r="B205" t="s">
        <v>152</v>
      </c>
      <c r="C205" t="s">
        <v>290</v>
      </c>
      <c r="D205" t="s">
        <v>256</v>
      </c>
      <c r="E205" t="s">
        <v>42</v>
      </c>
      <c r="F205" t="s">
        <v>14</v>
      </c>
      <c r="G205" s="1">
        <v>45473.291666666664</v>
      </c>
      <c r="H205" s="1">
        <v>45473.291666666664</v>
      </c>
      <c r="I205" s="1">
        <v>45473.958333333336</v>
      </c>
      <c r="J205" t="s">
        <v>17</v>
      </c>
      <c r="K205" s="1">
        <v>45466.291666666664</v>
      </c>
      <c r="L205" s="1">
        <v>45471.291666666664</v>
      </c>
      <c r="M205" s="1">
        <v>45467.000694444447</v>
      </c>
      <c r="N205" s="1">
        <v>45472.625</v>
      </c>
      <c r="O205" s="1">
        <v>45464.791666666664</v>
      </c>
      <c r="P205" s="1">
        <v>45470.791666666664</v>
      </c>
    </row>
    <row r="206" spans="1:16" hidden="1" x14ac:dyDescent="0.25">
      <c r="A206" s="1">
        <v>45462.695138888892</v>
      </c>
      <c r="B206" t="s">
        <v>133</v>
      </c>
      <c r="C206" t="s">
        <v>488</v>
      </c>
      <c r="D206" t="s">
        <v>186</v>
      </c>
      <c r="E206" t="s">
        <v>45</v>
      </c>
      <c r="F206" t="s">
        <v>14</v>
      </c>
      <c r="G206" s="1">
        <v>45474.25</v>
      </c>
      <c r="H206" s="1">
        <v>45474.104166666664</v>
      </c>
      <c r="I206" s="1">
        <v>45475.020833333336</v>
      </c>
      <c r="J206" t="s">
        <v>16</v>
      </c>
      <c r="K206" s="1">
        <v>45467.25</v>
      </c>
      <c r="L206" s="1">
        <v>45472.104166666664</v>
      </c>
      <c r="M206" s="1">
        <v>45468.000694444447</v>
      </c>
      <c r="N206" s="1">
        <v>45472.625</v>
      </c>
      <c r="O206" s="1">
        <v>45465.75</v>
      </c>
      <c r="P206" s="1">
        <v>45471.75</v>
      </c>
    </row>
    <row r="207" spans="1:16" hidden="1" x14ac:dyDescent="0.25">
      <c r="A207" s="1">
        <v>45462.695138888892</v>
      </c>
      <c r="B207" t="s">
        <v>64</v>
      </c>
      <c r="C207" t="s">
        <v>368</v>
      </c>
      <c r="D207" t="s">
        <v>369</v>
      </c>
      <c r="E207" t="s">
        <v>52</v>
      </c>
      <c r="G207" s="1">
        <v>45474.333333333336</v>
      </c>
      <c r="H207" s="1">
        <v>45474.291666666664</v>
      </c>
      <c r="I207" s="1">
        <v>45474.666666666664</v>
      </c>
      <c r="J207" t="s">
        <v>23</v>
      </c>
      <c r="K207" s="1">
        <v>45467.333333333336</v>
      </c>
      <c r="L207" s="1">
        <v>45472.291666666664</v>
      </c>
      <c r="M207" s="1">
        <v>45468.000694444447</v>
      </c>
      <c r="N207" s="1">
        <v>45473.625</v>
      </c>
      <c r="O207" s="1">
        <v>45465.833333333336</v>
      </c>
      <c r="P207" s="1">
        <v>45471.833333333336</v>
      </c>
    </row>
    <row r="208" spans="1:16" hidden="1" x14ac:dyDescent="0.25">
      <c r="A208" s="1">
        <v>45462.695138888892</v>
      </c>
      <c r="B208" t="s">
        <v>642</v>
      </c>
      <c r="C208" t="s">
        <v>643</v>
      </c>
      <c r="D208" t="s">
        <v>643</v>
      </c>
      <c r="E208" t="s">
        <v>18</v>
      </c>
      <c r="F208" t="s">
        <v>19</v>
      </c>
      <c r="G208" s="1">
        <v>45474.75</v>
      </c>
      <c r="H208" s="1">
        <v>45474.708333333336</v>
      </c>
      <c r="I208" s="1">
        <v>45475.708333333336</v>
      </c>
      <c r="J208" t="s">
        <v>80</v>
      </c>
      <c r="K208" s="1">
        <v>45467.75</v>
      </c>
      <c r="L208" s="1">
        <v>45472.708333333336</v>
      </c>
      <c r="M208" s="1">
        <v>45468.000694444447</v>
      </c>
      <c r="N208" s="1">
        <v>45473.625</v>
      </c>
      <c r="O208" s="1">
        <v>45466.25</v>
      </c>
      <c r="P208" s="1">
        <v>45472.25</v>
      </c>
    </row>
    <row r="209" spans="1:16" hidden="1" x14ac:dyDescent="0.25">
      <c r="A209" s="1">
        <v>45462.695138888892</v>
      </c>
      <c r="B209" t="s">
        <v>564</v>
      </c>
      <c r="C209" t="s">
        <v>287</v>
      </c>
      <c r="D209" t="s">
        <v>287</v>
      </c>
      <c r="E209" t="s">
        <v>138</v>
      </c>
      <c r="F209" t="s">
        <v>139</v>
      </c>
      <c r="G209" s="1">
        <v>45475.25</v>
      </c>
      <c r="H209" s="1">
        <v>45475.25</v>
      </c>
      <c r="I209" s="1">
        <v>45476.25</v>
      </c>
      <c r="J209" t="s">
        <v>17</v>
      </c>
      <c r="K209" s="1">
        <v>45468.25</v>
      </c>
      <c r="L209" s="1">
        <v>45473.25</v>
      </c>
      <c r="M209" s="1">
        <v>45469.000694444447</v>
      </c>
      <c r="N209" s="1">
        <v>45474.5</v>
      </c>
      <c r="O209" s="1">
        <v>45466.75</v>
      </c>
      <c r="P209" s="1">
        <v>45472.75</v>
      </c>
    </row>
    <row r="210" spans="1:16" hidden="1" x14ac:dyDescent="0.25">
      <c r="A210" s="1">
        <v>45462.695138888892</v>
      </c>
      <c r="B210" t="s">
        <v>128</v>
      </c>
      <c r="C210" t="s">
        <v>362</v>
      </c>
      <c r="D210" t="s">
        <v>363</v>
      </c>
      <c r="E210" t="s">
        <v>44</v>
      </c>
      <c r="F210" t="s">
        <v>30</v>
      </c>
      <c r="G210" s="1">
        <v>45476</v>
      </c>
      <c r="H210" s="1">
        <v>45475.833333333336</v>
      </c>
      <c r="I210" s="1">
        <v>45476.458333333336</v>
      </c>
      <c r="J210" t="s">
        <v>13</v>
      </c>
      <c r="K210" s="1">
        <v>45469</v>
      </c>
      <c r="L210" s="1">
        <v>45473.833333333336</v>
      </c>
      <c r="M210" s="1">
        <v>45470.000694444447</v>
      </c>
      <c r="N210" s="1">
        <v>45474.625</v>
      </c>
      <c r="O210" s="1">
        <v>45467.5</v>
      </c>
      <c r="P210" s="1">
        <v>45473.5</v>
      </c>
    </row>
    <row r="211" spans="1:16" hidden="1" x14ac:dyDescent="0.25">
      <c r="A211" s="1">
        <v>45462.695138888892</v>
      </c>
      <c r="B211" t="s">
        <v>478</v>
      </c>
      <c r="C211" t="s">
        <v>471</v>
      </c>
      <c r="D211" t="s">
        <v>471</v>
      </c>
      <c r="E211" t="s">
        <v>273</v>
      </c>
      <c r="F211" t="s">
        <v>125</v>
      </c>
      <c r="G211" s="1">
        <v>45476.416666666664</v>
      </c>
      <c r="H211" s="1">
        <v>45476.416666666664</v>
      </c>
      <c r="I211" s="1">
        <v>45477.25</v>
      </c>
      <c r="J211" t="s">
        <v>80</v>
      </c>
      <c r="K211" s="1">
        <v>45469.416666666664</v>
      </c>
      <c r="L211" s="1">
        <v>45474.416666666664</v>
      </c>
      <c r="M211" s="1">
        <v>45470.000694444447</v>
      </c>
      <c r="N211" s="1">
        <v>45475.625</v>
      </c>
      <c r="O211" s="1">
        <v>45467.916666666664</v>
      </c>
      <c r="P211" s="1">
        <v>45473.916666666664</v>
      </c>
    </row>
    <row r="212" spans="1:16" hidden="1" x14ac:dyDescent="0.25">
      <c r="A212" s="1">
        <v>45462.695138888892</v>
      </c>
      <c r="B212" t="s">
        <v>274</v>
      </c>
      <c r="C212" t="s">
        <v>494</v>
      </c>
      <c r="D212" t="s">
        <v>495</v>
      </c>
      <c r="E212" t="s">
        <v>79</v>
      </c>
      <c r="F212" t="s">
        <v>14</v>
      </c>
      <c r="G212" s="1">
        <v>45476.5</v>
      </c>
      <c r="H212" s="1">
        <v>45476.5</v>
      </c>
      <c r="I212" s="1">
        <v>45477.166666666664</v>
      </c>
      <c r="J212" t="s">
        <v>16</v>
      </c>
      <c r="K212" s="1">
        <v>45469.5</v>
      </c>
      <c r="L212" s="1">
        <v>45474.5</v>
      </c>
      <c r="M212" s="1">
        <v>45470.000694444447</v>
      </c>
      <c r="N212" s="1">
        <v>45475.416666666664</v>
      </c>
      <c r="O212" s="1">
        <v>45468</v>
      </c>
      <c r="P212" s="1">
        <v>45474</v>
      </c>
    </row>
    <row r="213" spans="1:16" hidden="1" x14ac:dyDescent="0.25">
      <c r="A213" s="1">
        <v>45462.695138888892</v>
      </c>
      <c r="B213" t="s">
        <v>267</v>
      </c>
      <c r="C213" t="s">
        <v>304</v>
      </c>
      <c r="D213" t="s">
        <v>257</v>
      </c>
      <c r="E213" t="s">
        <v>42</v>
      </c>
      <c r="F213" t="s">
        <v>14</v>
      </c>
      <c r="G213" s="1">
        <v>45477.291666666664</v>
      </c>
      <c r="H213" s="1">
        <v>45477.291666666664</v>
      </c>
      <c r="I213" s="1">
        <v>45477.958333333336</v>
      </c>
      <c r="J213" t="s">
        <v>17</v>
      </c>
      <c r="K213" s="1">
        <v>45470.291666666664</v>
      </c>
      <c r="L213" s="1">
        <v>45475.291666666664</v>
      </c>
      <c r="M213" s="1">
        <v>45471.000694444447</v>
      </c>
      <c r="N213" s="1">
        <v>45476.625</v>
      </c>
      <c r="O213" s="1">
        <v>45468.791666666664</v>
      </c>
      <c r="P213" s="1">
        <v>45474.791666666664</v>
      </c>
    </row>
    <row r="214" spans="1:16" hidden="1" x14ac:dyDescent="0.25">
      <c r="A214" s="1">
        <v>45462.695138888892</v>
      </c>
      <c r="B214" t="s">
        <v>154</v>
      </c>
      <c r="C214" t="s">
        <v>292</v>
      </c>
      <c r="D214" t="s">
        <v>293</v>
      </c>
      <c r="E214" t="s">
        <v>77</v>
      </c>
      <c r="F214" t="s">
        <v>14</v>
      </c>
      <c r="G214" s="1">
        <v>45478.000694444447</v>
      </c>
      <c r="H214" s="1">
        <v>45478</v>
      </c>
      <c r="I214" s="1">
        <v>45478.875</v>
      </c>
      <c r="J214" t="s">
        <v>76</v>
      </c>
      <c r="K214" s="1">
        <v>45471.000694444447</v>
      </c>
      <c r="L214" s="1">
        <v>45476</v>
      </c>
      <c r="M214" s="1">
        <v>45472.000694444447</v>
      </c>
      <c r="N214" s="1">
        <v>45476.708333333336</v>
      </c>
      <c r="O214" s="1">
        <v>45469.500694444447</v>
      </c>
      <c r="P214" s="1">
        <v>45475.500694444447</v>
      </c>
    </row>
    <row r="215" spans="1:16" hidden="1" x14ac:dyDescent="0.25">
      <c r="A215" s="1">
        <v>45462.695138888892</v>
      </c>
      <c r="B215" t="s">
        <v>184</v>
      </c>
      <c r="C215" t="s">
        <v>689</v>
      </c>
      <c r="D215" t="s">
        <v>575</v>
      </c>
      <c r="E215" t="s">
        <v>121</v>
      </c>
      <c r="F215" t="s">
        <v>122</v>
      </c>
      <c r="G215" s="1">
        <v>45478.833333333336</v>
      </c>
      <c r="H215" s="1">
        <v>45478.916666666664</v>
      </c>
      <c r="I215" s="1">
        <v>45479.645833333336</v>
      </c>
      <c r="J215" t="s">
        <v>16</v>
      </c>
      <c r="K215" s="1">
        <v>45471.833333333336</v>
      </c>
      <c r="L215" s="1">
        <v>45476.916666666664</v>
      </c>
      <c r="M215" s="1">
        <v>45472.000694444447</v>
      </c>
      <c r="N215" s="1">
        <v>45477.625</v>
      </c>
      <c r="O215" s="1">
        <v>45470.333333333336</v>
      </c>
      <c r="P215" s="1">
        <v>45476.333333333336</v>
      </c>
    </row>
    <row r="216" spans="1:16" hidden="1" x14ac:dyDescent="0.25">
      <c r="A216" s="1">
        <v>45462.695138888892</v>
      </c>
      <c r="B216" t="s">
        <v>277</v>
      </c>
      <c r="C216" t="s">
        <v>156</v>
      </c>
      <c r="D216" t="s">
        <v>157</v>
      </c>
      <c r="E216" t="s">
        <v>43</v>
      </c>
      <c r="F216" t="s">
        <v>14</v>
      </c>
      <c r="G216" s="1">
        <v>45479.583333333336</v>
      </c>
      <c r="H216" s="1">
        <v>45479.6875</v>
      </c>
      <c r="I216" s="1">
        <v>45480.354166666664</v>
      </c>
      <c r="J216" t="s">
        <v>13</v>
      </c>
      <c r="K216" s="1">
        <v>45472.583333333336</v>
      </c>
      <c r="L216" s="1">
        <v>45477.6875</v>
      </c>
      <c r="M216" s="1">
        <v>45473.000694444447</v>
      </c>
      <c r="N216" s="1">
        <v>45478.583333333336</v>
      </c>
      <c r="O216" s="1">
        <v>45471.083333333336</v>
      </c>
      <c r="P216" s="1">
        <v>45477.083333333336</v>
      </c>
    </row>
    <row r="217" spans="1:16" hidden="1" x14ac:dyDescent="0.25">
      <c r="A217" s="1">
        <v>45462.695138888892</v>
      </c>
      <c r="B217" t="s">
        <v>195</v>
      </c>
      <c r="C217" t="s">
        <v>288</v>
      </c>
      <c r="D217" t="s">
        <v>322</v>
      </c>
      <c r="E217" t="s">
        <v>46</v>
      </c>
      <c r="F217" t="s">
        <v>13</v>
      </c>
      <c r="G217" s="1">
        <v>45484.000694444447</v>
      </c>
      <c r="H217" s="1">
        <v>45484.000694444447</v>
      </c>
      <c r="I217" s="1">
        <v>45484.875</v>
      </c>
      <c r="J217" t="s">
        <v>27</v>
      </c>
      <c r="K217" s="1">
        <v>45477.000694444447</v>
      </c>
      <c r="L217" s="1">
        <v>45482.000694444447</v>
      </c>
      <c r="M217" s="1">
        <v>45478.000694444447</v>
      </c>
      <c r="N217" s="1">
        <v>45482.625</v>
      </c>
      <c r="O217" s="1">
        <v>45475.500694444447</v>
      </c>
      <c r="P217" s="1">
        <v>45481.500694444447</v>
      </c>
    </row>
    <row r="218" spans="1:16" hidden="1" x14ac:dyDescent="0.25">
      <c r="A218" s="1">
        <v>45462.695138888892</v>
      </c>
      <c r="B218" t="s">
        <v>155</v>
      </c>
      <c r="C218" t="s">
        <v>750</v>
      </c>
      <c r="D218" t="s">
        <v>628</v>
      </c>
      <c r="E218" t="s">
        <v>121</v>
      </c>
      <c r="F218" t="s">
        <v>122</v>
      </c>
      <c r="G218" s="1">
        <v>45485.916666666664</v>
      </c>
      <c r="H218" s="1">
        <v>45485.916666666664</v>
      </c>
      <c r="I218" s="1">
        <v>45486.583333333336</v>
      </c>
      <c r="J218" t="s">
        <v>16</v>
      </c>
      <c r="K218" s="1">
        <v>45478.916666666664</v>
      </c>
      <c r="L218" s="1">
        <v>45483.916666666664</v>
      </c>
      <c r="M218" s="1">
        <v>45479.000694444447</v>
      </c>
      <c r="N218" s="1">
        <v>45484.625</v>
      </c>
      <c r="O218" s="1">
        <v>45475.916666666664</v>
      </c>
      <c r="P218" s="1">
        <v>45483.916666666664</v>
      </c>
    </row>
    <row r="219" spans="1:16" hidden="1" x14ac:dyDescent="0.25">
      <c r="A219" s="1">
        <v>45462.673611111109</v>
      </c>
      <c r="B219" t="s">
        <v>148</v>
      </c>
      <c r="C219" t="s">
        <v>573</v>
      </c>
      <c r="D219" t="s">
        <v>568</v>
      </c>
      <c r="E219" t="s">
        <v>121</v>
      </c>
      <c r="F219" t="s">
        <v>122</v>
      </c>
      <c r="G219" s="1">
        <v>45471.916666666664</v>
      </c>
      <c r="H219" s="1">
        <v>45471.875</v>
      </c>
      <c r="I219" s="1">
        <v>45472.541666666664</v>
      </c>
      <c r="J219" t="s">
        <v>16</v>
      </c>
      <c r="K219" s="1">
        <v>45464.916666666664</v>
      </c>
      <c r="L219" s="1">
        <v>45469.875</v>
      </c>
      <c r="M219" s="1">
        <v>45465.000694444447</v>
      </c>
      <c r="N219" s="1">
        <v>45470.625</v>
      </c>
      <c r="O219" s="1">
        <v>45463.416666666664</v>
      </c>
      <c r="P219" s="1">
        <v>45469.416666666664</v>
      </c>
    </row>
    <row r="220" spans="1:16" hidden="1" x14ac:dyDescent="0.25">
      <c r="A220" s="1">
        <v>45462.673611111109</v>
      </c>
      <c r="B220" t="s">
        <v>64</v>
      </c>
      <c r="C220" t="s">
        <v>368</v>
      </c>
      <c r="D220" t="s">
        <v>369</v>
      </c>
      <c r="E220" t="s">
        <v>52</v>
      </c>
      <c r="G220" s="1">
        <v>45474.333333333336</v>
      </c>
      <c r="H220" s="1">
        <v>45474.333333333336</v>
      </c>
      <c r="I220" s="1">
        <v>45474.708333333336</v>
      </c>
      <c r="J220" t="s">
        <v>23</v>
      </c>
      <c r="K220" s="1">
        <v>45467.333333333336</v>
      </c>
      <c r="L220" s="1">
        <v>45472.333333333336</v>
      </c>
      <c r="M220" s="1">
        <v>45468.000694444447</v>
      </c>
      <c r="N220" s="1">
        <v>45473.625</v>
      </c>
      <c r="O220" s="1">
        <v>45465.833333333336</v>
      </c>
      <c r="P220" s="1">
        <v>45471.833333333336</v>
      </c>
    </row>
    <row r="221" spans="1:16" hidden="1" x14ac:dyDescent="0.25">
      <c r="A221" s="1">
        <v>45462.673611111109</v>
      </c>
      <c r="B221" t="s">
        <v>133</v>
      </c>
      <c r="C221" t="s">
        <v>488</v>
      </c>
      <c r="D221" t="s">
        <v>186</v>
      </c>
      <c r="E221" t="s">
        <v>45</v>
      </c>
      <c r="F221" t="s">
        <v>14</v>
      </c>
      <c r="G221" s="1">
        <v>45478.583333333336</v>
      </c>
      <c r="H221" s="1">
        <v>45478.583333333336</v>
      </c>
      <c r="I221" s="1">
        <v>45479.5</v>
      </c>
      <c r="J221" t="s">
        <v>16</v>
      </c>
      <c r="K221" s="1">
        <v>45471.583333333336</v>
      </c>
      <c r="L221" s="1">
        <v>45476.583333333336</v>
      </c>
      <c r="M221" s="1">
        <v>45472.000694444447</v>
      </c>
      <c r="N221" s="1">
        <v>45477.625</v>
      </c>
      <c r="O221" s="1">
        <v>45470.083333333336</v>
      </c>
      <c r="P221" s="1">
        <v>45476.083333333336</v>
      </c>
    </row>
    <row r="222" spans="1:16" hidden="1" x14ac:dyDescent="0.25">
      <c r="A222" s="1">
        <v>45462.652777777781</v>
      </c>
      <c r="B222" t="s">
        <v>64</v>
      </c>
      <c r="C222" t="s">
        <v>329</v>
      </c>
      <c r="D222" t="s">
        <v>330</v>
      </c>
      <c r="E222" t="s">
        <v>52</v>
      </c>
      <c r="G222" s="1">
        <v>45467.333333333336</v>
      </c>
      <c r="H222" s="1">
        <v>45467.46875</v>
      </c>
      <c r="I222" s="1">
        <v>45467.84375</v>
      </c>
      <c r="J222" t="s">
        <v>23</v>
      </c>
      <c r="K222" s="1">
        <v>45460.333333333336</v>
      </c>
      <c r="L222" s="1">
        <v>45465.46875</v>
      </c>
      <c r="M222" s="1">
        <v>45461.000694444447</v>
      </c>
      <c r="N222" s="1">
        <v>45466.5</v>
      </c>
      <c r="O222" s="1">
        <v>45458.833333333336</v>
      </c>
      <c r="P222" s="1">
        <v>45464.833333333336</v>
      </c>
    </row>
    <row r="223" spans="1:16" hidden="1" x14ac:dyDescent="0.25">
      <c r="A223" s="1">
        <v>45462.631249999999</v>
      </c>
      <c r="B223" t="s">
        <v>489</v>
      </c>
      <c r="C223" t="s">
        <v>342</v>
      </c>
      <c r="D223" t="s">
        <v>342</v>
      </c>
      <c r="E223" t="s">
        <v>436</v>
      </c>
      <c r="F223" t="s">
        <v>75</v>
      </c>
      <c r="G223" s="1">
        <v>45463.541666666664</v>
      </c>
      <c r="H223" s="1">
        <v>45465.0625</v>
      </c>
      <c r="I223" s="1">
        <v>45466.03125</v>
      </c>
      <c r="J223" t="s">
        <v>13</v>
      </c>
      <c r="K223" s="1">
        <v>45456.541666666664</v>
      </c>
      <c r="L223" s="1">
        <v>45463.0625</v>
      </c>
      <c r="M223" s="1">
        <v>45457.000694444447</v>
      </c>
      <c r="N223" s="1">
        <v>45462.5</v>
      </c>
      <c r="O223" s="1">
        <v>45455.041666666664</v>
      </c>
      <c r="P223" s="1">
        <v>45461.041666666664</v>
      </c>
    </row>
    <row r="224" spans="1:16" hidden="1" x14ac:dyDescent="0.25">
      <c r="A224" s="1">
        <v>45462.631249999999</v>
      </c>
      <c r="B224" t="s">
        <v>490</v>
      </c>
      <c r="C224" t="s">
        <v>386</v>
      </c>
      <c r="D224" t="s">
        <v>471</v>
      </c>
      <c r="E224" t="s">
        <v>78</v>
      </c>
      <c r="F224" t="s">
        <v>13</v>
      </c>
      <c r="G224" s="1">
        <v>45466</v>
      </c>
      <c r="H224" s="1">
        <v>45466.072916666664</v>
      </c>
      <c r="I224" s="1">
        <v>45467.864583333336</v>
      </c>
      <c r="J224" t="s">
        <v>14</v>
      </c>
      <c r="K224" s="1">
        <v>45459</v>
      </c>
      <c r="L224" s="1">
        <v>45464.072916666664</v>
      </c>
      <c r="M224" s="1">
        <v>45460.000694444447</v>
      </c>
      <c r="N224" s="1">
        <v>45464.5</v>
      </c>
      <c r="O224" s="1">
        <v>45456.5</v>
      </c>
      <c r="P224" s="1">
        <v>45462.5</v>
      </c>
    </row>
    <row r="225" spans="1:16" hidden="1" x14ac:dyDescent="0.25">
      <c r="A225" s="1">
        <v>45462.631249999999</v>
      </c>
      <c r="B225" t="s">
        <v>249</v>
      </c>
      <c r="C225" t="s">
        <v>493</v>
      </c>
      <c r="D225" t="s">
        <v>493</v>
      </c>
      <c r="E225" t="s">
        <v>246</v>
      </c>
      <c r="G225" s="1">
        <v>45466.291666666664</v>
      </c>
      <c r="H225" s="1">
        <v>45467.572916666664</v>
      </c>
      <c r="I225" s="1">
        <v>45467.78125</v>
      </c>
      <c r="J225" t="s">
        <v>76</v>
      </c>
      <c r="K225" s="1">
        <v>45459.291666666664</v>
      </c>
      <c r="L225" s="1">
        <v>45465.572916666664</v>
      </c>
      <c r="M225" s="1">
        <v>45460.000694444447</v>
      </c>
      <c r="N225" s="1">
        <v>45465.708333333336</v>
      </c>
      <c r="O225" s="1">
        <v>45456.291666666664</v>
      </c>
      <c r="P225" s="1">
        <v>45465.572916666664</v>
      </c>
    </row>
    <row r="226" spans="1:16" hidden="1" x14ac:dyDescent="0.25">
      <c r="A226" s="1">
        <v>45462.631249999999</v>
      </c>
      <c r="B226" t="s">
        <v>151</v>
      </c>
      <c r="C226" t="s">
        <v>285</v>
      </c>
      <c r="D226" t="s">
        <v>286</v>
      </c>
      <c r="E226" t="s">
        <v>77</v>
      </c>
      <c r="F226" t="s">
        <v>14</v>
      </c>
      <c r="G226" s="1">
        <v>45471</v>
      </c>
      <c r="H226" s="1">
        <v>45471.3125</v>
      </c>
      <c r="I226" s="1">
        <v>45472.1875</v>
      </c>
      <c r="J226" t="s">
        <v>76</v>
      </c>
      <c r="K226" s="1">
        <v>45464</v>
      </c>
      <c r="L226" s="1">
        <v>45469.3125</v>
      </c>
      <c r="M226" s="1">
        <v>45465.000694444447</v>
      </c>
      <c r="N226" s="1">
        <v>45469.625</v>
      </c>
      <c r="O226" s="1">
        <v>45462.5</v>
      </c>
      <c r="P226" s="1">
        <v>45468.5</v>
      </c>
    </row>
    <row r="227" spans="1:16" hidden="1" x14ac:dyDescent="0.25">
      <c r="A227" s="1">
        <v>45462.609722222223</v>
      </c>
      <c r="B227" t="s">
        <v>489</v>
      </c>
      <c r="C227" t="s">
        <v>342</v>
      </c>
      <c r="D227" t="s">
        <v>342</v>
      </c>
      <c r="E227" t="s">
        <v>436</v>
      </c>
      <c r="F227" t="s">
        <v>75</v>
      </c>
      <c r="G227" s="1">
        <v>45463.541666666664</v>
      </c>
      <c r="H227" s="1">
        <v>45464.8125</v>
      </c>
      <c r="I227" s="1">
        <v>45466.03125</v>
      </c>
      <c r="J227" t="s">
        <v>13</v>
      </c>
      <c r="K227" s="1">
        <v>45456.541666666664</v>
      </c>
      <c r="L227" s="1">
        <v>45462.8125</v>
      </c>
      <c r="M227" s="1">
        <v>45457.000694444447</v>
      </c>
      <c r="N227" s="1">
        <v>45462.5</v>
      </c>
      <c r="O227" s="1">
        <v>45455.041666666664</v>
      </c>
      <c r="P227" s="1">
        <v>45461.041666666664</v>
      </c>
    </row>
    <row r="228" spans="1:16" hidden="1" x14ac:dyDescent="0.25">
      <c r="A228" s="1">
        <v>45462.609722222223</v>
      </c>
      <c r="B228" t="s">
        <v>490</v>
      </c>
      <c r="C228" t="s">
        <v>386</v>
      </c>
      <c r="D228" t="s">
        <v>471</v>
      </c>
      <c r="E228" t="s">
        <v>78</v>
      </c>
      <c r="F228" t="s">
        <v>13</v>
      </c>
      <c r="G228" s="1">
        <v>45466</v>
      </c>
      <c r="H228" s="1">
        <v>45466.072916666664</v>
      </c>
      <c r="I228" s="1">
        <v>45467.885416666664</v>
      </c>
      <c r="J228" t="s">
        <v>14</v>
      </c>
      <c r="K228" s="1">
        <v>45459</v>
      </c>
      <c r="L228" s="1">
        <v>45464.072916666664</v>
      </c>
      <c r="M228" s="1">
        <v>45460.000694444447</v>
      </c>
      <c r="N228" s="1">
        <v>45464.5</v>
      </c>
      <c r="O228" s="1">
        <v>45456.5</v>
      </c>
      <c r="P228" s="1">
        <v>45462.5</v>
      </c>
    </row>
    <row r="229" spans="1:16" hidden="1" x14ac:dyDescent="0.25">
      <c r="A229" s="1">
        <v>45462.609722222223</v>
      </c>
      <c r="B229" t="s">
        <v>326</v>
      </c>
      <c r="C229" t="s">
        <v>283</v>
      </c>
      <c r="D229" t="s">
        <v>247</v>
      </c>
      <c r="E229" t="s">
        <v>42</v>
      </c>
      <c r="F229" t="s">
        <v>14</v>
      </c>
      <c r="G229" s="1">
        <v>45459.291666666664</v>
      </c>
      <c r="H229" s="1">
        <v>45466.291666666664</v>
      </c>
      <c r="I229" s="1">
        <v>45467.333333333336</v>
      </c>
      <c r="J229" t="s">
        <v>17</v>
      </c>
      <c r="K229" s="1">
        <v>45452.291666666664</v>
      </c>
      <c r="L229" s="1">
        <v>45464.291666666664</v>
      </c>
      <c r="M229" s="1">
        <v>45453.000694444447</v>
      </c>
      <c r="N229" s="1">
        <v>45464.625</v>
      </c>
      <c r="O229" s="1">
        <v>45450.791666666664</v>
      </c>
      <c r="P229" s="1">
        <v>45456.791666666664</v>
      </c>
    </row>
    <row r="230" spans="1:16" hidden="1" x14ac:dyDescent="0.25">
      <c r="A230" s="1">
        <v>45462.588888888888</v>
      </c>
      <c r="B230" t="s">
        <v>478</v>
      </c>
      <c r="C230" t="s">
        <v>315</v>
      </c>
      <c r="D230" t="s">
        <v>315</v>
      </c>
      <c r="E230" t="s">
        <v>436</v>
      </c>
      <c r="F230" t="s">
        <v>75</v>
      </c>
      <c r="G230" s="1">
        <v>45459.75</v>
      </c>
      <c r="H230" s="1">
        <v>45464.260416666664</v>
      </c>
      <c r="I230" s="1">
        <v>45464.770833333336</v>
      </c>
      <c r="J230" t="s">
        <v>13</v>
      </c>
      <c r="K230" s="1">
        <v>45452.75</v>
      </c>
      <c r="L230" s="1">
        <v>45462.260416666664</v>
      </c>
      <c r="M230" s="1">
        <v>45453.000694444447</v>
      </c>
      <c r="N230" s="1">
        <v>45462.625</v>
      </c>
      <c r="O230" s="1">
        <v>45451.25</v>
      </c>
      <c r="P230" s="1">
        <v>45457.25</v>
      </c>
    </row>
    <row r="231" spans="1:16" hidden="1" x14ac:dyDescent="0.25">
      <c r="A231" s="1">
        <v>45462.588888888888</v>
      </c>
      <c r="B231" t="s">
        <v>128</v>
      </c>
      <c r="C231" t="s">
        <v>362</v>
      </c>
      <c r="D231" t="s">
        <v>363</v>
      </c>
      <c r="E231" t="s">
        <v>44</v>
      </c>
      <c r="F231" t="s">
        <v>30</v>
      </c>
      <c r="G231" s="1">
        <v>45478.75</v>
      </c>
      <c r="H231" s="1">
        <v>45475.833333333336</v>
      </c>
      <c r="I231" s="1">
        <v>45476.458333333336</v>
      </c>
      <c r="J231" t="s">
        <v>13</v>
      </c>
      <c r="K231" s="1">
        <v>45471.75</v>
      </c>
      <c r="L231" s="1">
        <v>45473.833333333336</v>
      </c>
      <c r="M231" s="1">
        <v>45472.000694444447</v>
      </c>
      <c r="N231" s="1">
        <v>45474.625</v>
      </c>
      <c r="O231" s="1">
        <v>45470.25</v>
      </c>
      <c r="P231" s="1">
        <v>45476.25</v>
      </c>
    </row>
    <row r="232" spans="1:16" hidden="1" x14ac:dyDescent="0.25">
      <c r="A232" s="1">
        <v>45462.520138888889</v>
      </c>
      <c r="B232" t="s">
        <v>478</v>
      </c>
      <c r="C232" t="s">
        <v>315</v>
      </c>
      <c r="D232" t="s">
        <v>315</v>
      </c>
      <c r="E232" t="s">
        <v>436</v>
      </c>
      <c r="F232" t="s">
        <v>75</v>
      </c>
      <c r="G232" s="1">
        <v>45459.75</v>
      </c>
      <c r="H232" s="1">
        <v>45464.083333333336</v>
      </c>
      <c r="I232" s="1">
        <v>45464.791666666664</v>
      </c>
      <c r="J232" t="s">
        <v>13</v>
      </c>
      <c r="K232" s="1">
        <v>45452.75</v>
      </c>
      <c r="L232" s="1">
        <v>45462.083333333336</v>
      </c>
      <c r="M232" s="1">
        <v>45453.000694444447</v>
      </c>
      <c r="N232" s="1">
        <v>45462.625</v>
      </c>
      <c r="O232" s="1">
        <v>45451.25</v>
      </c>
      <c r="P232" s="1">
        <v>45457.25</v>
      </c>
    </row>
    <row r="233" spans="1:16" hidden="1" x14ac:dyDescent="0.25">
      <c r="A233" s="1">
        <v>45462.520138888889</v>
      </c>
      <c r="B233" t="s">
        <v>131</v>
      </c>
      <c r="C233" t="s">
        <v>289</v>
      </c>
      <c r="D233" t="s">
        <v>289</v>
      </c>
      <c r="E233" t="s">
        <v>273</v>
      </c>
      <c r="F233" t="s">
        <v>125</v>
      </c>
      <c r="G233" s="1">
        <v>45462.416666666664</v>
      </c>
      <c r="H233" s="1">
        <v>45464.604166666664</v>
      </c>
      <c r="I233" s="1">
        <v>45465.25</v>
      </c>
      <c r="J233" t="s">
        <v>80</v>
      </c>
      <c r="K233" s="1">
        <v>45455.416666666664</v>
      </c>
      <c r="L233" s="1">
        <v>45462.604166666664</v>
      </c>
      <c r="M233" s="1">
        <v>45456.000694444447</v>
      </c>
      <c r="N233" s="1">
        <v>45462.5</v>
      </c>
      <c r="O233" s="1">
        <v>45453.916666666664</v>
      </c>
      <c r="P233" s="1">
        <v>45459.916666666664</v>
      </c>
    </row>
    <row r="234" spans="1:16" hidden="1" x14ac:dyDescent="0.25">
      <c r="A234" s="1">
        <v>45462.520138888889</v>
      </c>
      <c r="B234" t="s">
        <v>489</v>
      </c>
      <c r="C234" t="s">
        <v>342</v>
      </c>
      <c r="D234" t="s">
        <v>342</v>
      </c>
      <c r="E234" t="s">
        <v>436</v>
      </c>
      <c r="F234" t="s">
        <v>75</v>
      </c>
      <c r="G234" s="1">
        <v>45463.541666666664</v>
      </c>
      <c r="H234" s="1">
        <v>45464.833333333336</v>
      </c>
      <c r="I234" s="1">
        <v>45465.791666666664</v>
      </c>
      <c r="J234" t="s">
        <v>13</v>
      </c>
      <c r="K234" s="1">
        <v>45456.541666666664</v>
      </c>
      <c r="L234" s="1">
        <v>45462.833333333336</v>
      </c>
      <c r="M234" s="1">
        <v>45457.000694444447</v>
      </c>
      <c r="N234" s="1">
        <v>45462.5</v>
      </c>
      <c r="O234" s="1">
        <v>45455.041666666664</v>
      </c>
      <c r="P234" s="1">
        <v>45461.041666666664</v>
      </c>
    </row>
    <row r="235" spans="1:16" hidden="1" x14ac:dyDescent="0.25">
      <c r="A235" s="1">
        <v>45462.520138888889</v>
      </c>
      <c r="B235" t="s">
        <v>136</v>
      </c>
      <c r="C235" t="s">
        <v>156</v>
      </c>
      <c r="D235" t="s">
        <v>157</v>
      </c>
      <c r="E235" t="s">
        <v>43</v>
      </c>
      <c r="F235" t="s">
        <v>14</v>
      </c>
      <c r="G235" s="1">
        <v>45465.5</v>
      </c>
      <c r="H235" s="1">
        <v>45465.583333333336</v>
      </c>
      <c r="I235" s="1">
        <v>45466.041666666664</v>
      </c>
      <c r="J235" t="s">
        <v>13</v>
      </c>
      <c r="K235" s="1">
        <v>45458.5</v>
      </c>
      <c r="L235" s="1">
        <v>45463.583333333336</v>
      </c>
      <c r="M235" s="1">
        <v>45459.000694444447</v>
      </c>
      <c r="N235" s="1">
        <v>45463.625</v>
      </c>
      <c r="O235" s="1">
        <v>45457</v>
      </c>
      <c r="P235" s="1">
        <v>45463</v>
      </c>
    </row>
    <row r="236" spans="1:16" hidden="1" x14ac:dyDescent="0.25">
      <c r="A236" s="1">
        <v>45462.520138888889</v>
      </c>
      <c r="B236" t="s">
        <v>155</v>
      </c>
      <c r="C236" t="s">
        <v>491</v>
      </c>
      <c r="D236" t="s">
        <v>492</v>
      </c>
      <c r="E236" t="s">
        <v>121</v>
      </c>
      <c r="F236" t="s">
        <v>122</v>
      </c>
      <c r="G236" s="1">
        <v>45464.833333333336</v>
      </c>
      <c r="H236" s="1">
        <v>45464.854166666664</v>
      </c>
      <c r="I236" s="1">
        <v>45465.572916666664</v>
      </c>
      <c r="J236" t="s">
        <v>21</v>
      </c>
      <c r="K236" s="1">
        <v>45457.833333333336</v>
      </c>
      <c r="L236" s="1">
        <v>45462.854166666664</v>
      </c>
      <c r="M236" s="1">
        <v>45458.000694444447</v>
      </c>
      <c r="N236" s="1">
        <v>45463.5</v>
      </c>
      <c r="O236" s="1">
        <v>45454.833333333336</v>
      </c>
      <c r="P236" s="1">
        <v>45462.854166666664</v>
      </c>
    </row>
    <row r="237" spans="1:16" hidden="1" x14ac:dyDescent="0.25">
      <c r="A237" s="1">
        <v>45462.520138888889</v>
      </c>
      <c r="B237" t="s">
        <v>490</v>
      </c>
      <c r="C237" t="s">
        <v>386</v>
      </c>
      <c r="D237" t="s">
        <v>471</v>
      </c>
      <c r="E237" t="s">
        <v>78</v>
      </c>
      <c r="F237" t="s">
        <v>13</v>
      </c>
      <c r="G237" s="1">
        <v>45466</v>
      </c>
      <c r="H237" s="1">
        <v>45465.833333333336</v>
      </c>
      <c r="I237" s="1">
        <v>45467.645833333336</v>
      </c>
      <c r="J237" t="s">
        <v>14</v>
      </c>
      <c r="K237" s="1">
        <v>45459</v>
      </c>
      <c r="L237" s="1">
        <v>45463.833333333336</v>
      </c>
      <c r="M237" s="1">
        <v>45460.000694444447</v>
      </c>
      <c r="N237" s="1">
        <v>45464.5</v>
      </c>
      <c r="O237" s="1">
        <v>45456.5</v>
      </c>
      <c r="P237" s="1">
        <v>45462.5</v>
      </c>
    </row>
    <row r="238" spans="1:16" hidden="1" x14ac:dyDescent="0.25">
      <c r="A238" s="1">
        <v>45462.479166666664</v>
      </c>
      <c r="B238" t="s">
        <v>454</v>
      </c>
      <c r="C238" t="s">
        <v>455</v>
      </c>
      <c r="D238" t="s">
        <v>456</v>
      </c>
      <c r="E238" t="s">
        <v>79</v>
      </c>
      <c r="F238" t="s">
        <v>217</v>
      </c>
      <c r="G238" s="1">
        <v>45468</v>
      </c>
      <c r="H238" s="1">
        <v>45468.15625</v>
      </c>
      <c r="I238" s="1">
        <v>45468.822916666664</v>
      </c>
      <c r="J238" t="s">
        <v>16</v>
      </c>
      <c r="K238" s="1">
        <v>45461</v>
      </c>
      <c r="L238" s="1">
        <v>45466.15625</v>
      </c>
      <c r="M238" s="1">
        <v>45462.000694444447</v>
      </c>
      <c r="N238" s="1">
        <v>45464.416666666664</v>
      </c>
      <c r="O238" s="1">
        <v>45459.5</v>
      </c>
      <c r="P238" s="1">
        <v>45465.5</v>
      </c>
    </row>
    <row r="239" spans="1:16" hidden="1" x14ac:dyDescent="0.25">
      <c r="A239" s="1">
        <v>45462.479166666664</v>
      </c>
      <c r="B239" t="s">
        <v>141</v>
      </c>
      <c r="C239" t="s">
        <v>358</v>
      </c>
      <c r="D239" t="s">
        <v>358</v>
      </c>
      <c r="E239" t="s">
        <v>732</v>
      </c>
      <c r="F239" t="s">
        <v>125</v>
      </c>
      <c r="G239" s="1">
        <v>45468.5</v>
      </c>
      <c r="H239" s="1">
        <v>45468.583333333336</v>
      </c>
      <c r="I239" s="1">
        <v>45469.208333333336</v>
      </c>
      <c r="J239" t="s">
        <v>17</v>
      </c>
      <c r="K239" s="1">
        <v>45461.5</v>
      </c>
      <c r="L239" s="1">
        <v>45466.583333333336</v>
      </c>
      <c r="M239" s="1">
        <v>45462.000694444447</v>
      </c>
      <c r="N239" s="1">
        <v>45467.5</v>
      </c>
      <c r="O239" s="1">
        <v>45460</v>
      </c>
      <c r="P239" s="1">
        <v>45466</v>
      </c>
    </row>
    <row r="240" spans="1:16" hidden="1" x14ac:dyDescent="0.25">
      <c r="A240" s="1">
        <v>45462.479166666664</v>
      </c>
      <c r="B240" t="s">
        <v>545</v>
      </c>
      <c r="C240" t="s">
        <v>546</v>
      </c>
      <c r="D240" t="s">
        <v>546</v>
      </c>
      <c r="E240" t="s">
        <v>18</v>
      </c>
      <c r="F240" t="s">
        <v>19</v>
      </c>
      <c r="G240" s="1">
        <v>45468.916666666664</v>
      </c>
      <c r="H240" s="1">
        <v>45468.833333333336</v>
      </c>
      <c r="I240" s="1">
        <v>45469.875</v>
      </c>
      <c r="J240" t="s">
        <v>80</v>
      </c>
      <c r="K240" s="1">
        <v>45461.916666666664</v>
      </c>
      <c r="L240" s="1">
        <v>45466.833333333336</v>
      </c>
      <c r="M240" s="1">
        <v>45462.000694444447</v>
      </c>
      <c r="N240" s="1">
        <v>45466.5</v>
      </c>
      <c r="O240" s="1">
        <v>45460.416666666664</v>
      </c>
      <c r="P240" s="1">
        <v>45466.416666666664</v>
      </c>
    </row>
    <row r="241" spans="1:16" hidden="1" x14ac:dyDescent="0.25">
      <c r="A241" s="1">
        <v>45462.458333333336</v>
      </c>
      <c r="B241" t="s">
        <v>357</v>
      </c>
      <c r="C241" t="s">
        <v>284</v>
      </c>
      <c r="D241" t="s">
        <v>255</v>
      </c>
      <c r="E241" t="s">
        <v>45</v>
      </c>
      <c r="F241" t="s">
        <v>173</v>
      </c>
      <c r="G241" s="1">
        <v>45467.208333333336</v>
      </c>
      <c r="H241" s="1">
        <v>45467.458333333336</v>
      </c>
      <c r="I241" s="1">
        <v>45468.125</v>
      </c>
      <c r="J241" t="s">
        <v>21</v>
      </c>
      <c r="K241" s="1">
        <v>45460.208333333336</v>
      </c>
      <c r="L241" s="1">
        <v>45465.458333333336</v>
      </c>
      <c r="M241" s="1">
        <v>45461.000694444447</v>
      </c>
      <c r="N241" s="1">
        <v>45466.625</v>
      </c>
      <c r="O241" s="1">
        <v>45458.708333333336</v>
      </c>
      <c r="P241" s="1">
        <v>45464.708333333336</v>
      </c>
    </row>
    <row r="242" spans="1:16" hidden="1" x14ac:dyDescent="0.25">
      <c r="A242" s="1">
        <v>45462.458333333336</v>
      </c>
      <c r="B242" t="s">
        <v>65</v>
      </c>
      <c r="C242" t="s">
        <v>362</v>
      </c>
      <c r="D242" t="s">
        <v>363</v>
      </c>
      <c r="E242" t="s">
        <v>44</v>
      </c>
      <c r="F242" t="s">
        <v>30</v>
      </c>
      <c r="G242" s="1">
        <v>45467.25</v>
      </c>
      <c r="H242" s="1">
        <v>45467.6875</v>
      </c>
      <c r="I242" s="1">
        <v>45468.1875</v>
      </c>
      <c r="J242" t="s">
        <v>13</v>
      </c>
      <c r="K242" s="1">
        <v>45460.25</v>
      </c>
      <c r="L242" s="1">
        <v>45465.6875</v>
      </c>
      <c r="M242" s="1">
        <v>45461.000694444447</v>
      </c>
      <c r="N242" s="1">
        <v>45466.5</v>
      </c>
      <c r="O242" s="1">
        <v>45458.75</v>
      </c>
      <c r="P242" s="1">
        <v>45464.75</v>
      </c>
    </row>
    <row r="243" spans="1:16" hidden="1" x14ac:dyDescent="0.25">
      <c r="A243" s="1">
        <v>45462.458333333336</v>
      </c>
      <c r="B243" t="s">
        <v>454</v>
      </c>
      <c r="C243" t="s">
        <v>455</v>
      </c>
      <c r="D243" t="s">
        <v>456</v>
      </c>
      <c r="E243" t="s">
        <v>79</v>
      </c>
      <c r="F243" t="s">
        <v>217</v>
      </c>
      <c r="G243" s="1">
        <v>45468</v>
      </c>
      <c r="H243" s="1">
        <v>45468.125</v>
      </c>
      <c r="I243" s="1">
        <v>45468.791666666664</v>
      </c>
      <c r="J243" t="s">
        <v>16</v>
      </c>
      <c r="K243" s="1">
        <v>45461</v>
      </c>
      <c r="L243" s="1">
        <v>45466.125</v>
      </c>
      <c r="M243" s="1">
        <v>45462.000694444447</v>
      </c>
      <c r="N243" s="1">
        <v>45464.416666666664</v>
      </c>
      <c r="O243" s="1">
        <v>45459.5</v>
      </c>
      <c r="P243" s="1">
        <v>45465.5</v>
      </c>
    </row>
    <row r="244" spans="1:16" hidden="1" x14ac:dyDescent="0.25">
      <c r="A244" s="1">
        <v>45462.458333333336</v>
      </c>
      <c r="B244" t="s">
        <v>64</v>
      </c>
      <c r="C244" t="s">
        <v>329</v>
      </c>
      <c r="D244" t="s">
        <v>330</v>
      </c>
      <c r="E244" t="s">
        <v>52</v>
      </c>
      <c r="G244" s="1">
        <v>45467.333333333336</v>
      </c>
      <c r="H244" s="1">
        <v>45468.166666666664</v>
      </c>
      <c r="I244" s="1">
        <v>45468.541666666664</v>
      </c>
      <c r="J244" t="s">
        <v>23</v>
      </c>
      <c r="K244" s="1">
        <v>45460.333333333336</v>
      </c>
      <c r="L244" s="1">
        <v>45466.166666666664</v>
      </c>
      <c r="M244" s="1">
        <v>45461.000694444447</v>
      </c>
      <c r="N244" s="1">
        <v>45466.5</v>
      </c>
      <c r="O244" s="1">
        <v>45458.833333333336</v>
      </c>
      <c r="P244" s="1">
        <v>45464.833333333336</v>
      </c>
    </row>
    <row r="245" spans="1:16" hidden="1" x14ac:dyDescent="0.25">
      <c r="A245" s="1">
        <v>45462.458333333336</v>
      </c>
      <c r="B245" t="s">
        <v>249</v>
      </c>
      <c r="C245" t="s">
        <v>493</v>
      </c>
      <c r="D245" t="s">
        <v>493</v>
      </c>
      <c r="E245" t="s">
        <v>246</v>
      </c>
      <c r="G245" s="1">
        <v>45466.291666666664</v>
      </c>
      <c r="H245" s="1">
        <v>45467.708333333336</v>
      </c>
      <c r="I245" s="1">
        <v>45467.916666666664</v>
      </c>
      <c r="J245" t="s">
        <v>76</v>
      </c>
      <c r="K245" s="1">
        <v>45459.291666666664</v>
      </c>
      <c r="L245" s="1">
        <v>45465.708333333336</v>
      </c>
      <c r="M245" s="1">
        <v>45460.000694444447</v>
      </c>
      <c r="N245" s="1">
        <v>45465.708333333336</v>
      </c>
      <c r="O245" s="1">
        <v>45456.291666666664</v>
      </c>
      <c r="P245" s="1">
        <v>45465.708333333336</v>
      </c>
    </row>
    <row r="246" spans="1:16" hidden="1" x14ac:dyDescent="0.25">
      <c r="A246" s="1">
        <v>45462.4375</v>
      </c>
      <c r="B246" t="s">
        <v>642</v>
      </c>
      <c r="C246" t="s">
        <v>643</v>
      </c>
      <c r="D246" t="s">
        <v>643</v>
      </c>
      <c r="E246" t="s">
        <v>18</v>
      </c>
      <c r="F246" t="s">
        <v>19</v>
      </c>
      <c r="G246" s="1">
        <v>45474.75</v>
      </c>
      <c r="H246" s="1">
        <v>45474.708333333336</v>
      </c>
      <c r="I246" s="1">
        <v>45475.75</v>
      </c>
      <c r="J246" t="s">
        <v>80</v>
      </c>
      <c r="K246" s="1">
        <v>45467.75</v>
      </c>
      <c r="L246" s="1">
        <v>45472.708333333336</v>
      </c>
      <c r="M246" s="1">
        <v>45468.000694444447</v>
      </c>
      <c r="N246" s="1">
        <v>45473.625</v>
      </c>
      <c r="O246" s="1">
        <v>45466.25</v>
      </c>
      <c r="P246" s="1">
        <v>45472.25</v>
      </c>
    </row>
    <row r="247" spans="1:16" hidden="1" x14ac:dyDescent="0.25">
      <c r="A247" s="1">
        <v>45462.396527777775</v>
      </c>
      <c r="B247" t="s">
        <v>490</v>
      </c>
      <c r="C247" t="s">
        <v>386</v>
      </c>
      <c r="D247" t="s">
        <v>471</v>
      </c>
      <c r="E247" t="s">
        <v>78</v>
      </c>
      <c r="F247" t="s">
        <v>13</v>
      </c>
      <c r="G247" s="1">
        <v>45466</v>
      </c>
      <c r="H247" s="1">
        <v>45465.833333333336</v>
      </c>
      <c r="I247" s="1">
        <v>45467.166666666664</v>
      </c>
      <c r="J247" t="s">
        <v>14</v>
      </c>
      <c r="K247" s="1">
        <v>45459</v>
      </c>
      <c r="L247" s="1">
        <v>45463.833333333336</v>
      </c>
      <c r="M247" s="1">
        <v>45460.000694444447</v>
      </c>
      <c r="N247" s="1">
        <v>45464.5</v>
      </c>
      <c r="O247" s="1">
        <v>45456.5</v>
      </c>
      <c r="P247" s="1">
        <v>45462.5</v>
      </c>
    </row>
    <row r="248" spans="1:16" hidden="1" x14ac:dyDescent="0.25">
      <c r="A248" s="1">
        <v>45462.396527777775</v>
      </c>
      <c r="B248" t="s">
        <v>65</v>
      </c>
      <c r="C248" t="s">
        <v>362</v>
      </c>
      <c r="D248" t="s">
        <v>363</v>
      </c>
      <c r="E248" t="s">
        <v>44</v>
      </c>
      <c r="F248" t="s">
        <v>30</v>
      </c>
      <c r="G248" s="1">
        <v>45467.25</v>
      </c>
      <c r="H248" s="1">
        <v>45467.208333333336</v>
      </c>
      <c r="I248" s="1">
        <v>45467.708333333336</v>
      </c>
      <c r="J248" t="s">
        <v>13</v>
      </c>
      <c r="K248" s="1">
        <v>45460.25</v>
      </c>
      <c r="L248" s="1">
        <v>45465.208333333336</v>
      </c>
      <c r="M248" s="1">
        <v>45461.000694444447</v>
      </c>
      <c r="N248" s="1">
        <v>45466.5</v>
      </c>
      <c r="O248" s="1">
        <v>45458.75</v>
      </c>
      <c r="P248" s="1">
        <v>45464.75</v>
      </c>
    </row>
    <row r="249" spans="1:16" hidden="1" x14ac:dyDescent="0.25">
      <c r="A249" s="1">
        <v>45462.396527777775</v>
      </c>
      <c r="B249" t="s">
        <v>249</v>
      </c>
      <c r="C249" t="s">
        <v>493</v>
      </c>
      <c r="D249" t="s">
        <v>493</v>
      </c>
      <c r="E249" t="s">
        <v>246</v>
      </c>
      <c r="G249" s="1">
        <v>45466.291666666664</v>
      </c>
      <c r="H249" s="1">
        <v>45467.395833333336</v>
      </c>
      <c r="I249" s="1">
        <v>45467.604166666664</v>
      </c>
      <c r="J249" t="s">
        <v>76</v>
      </c>
      <c r="K249" s="1">
        <v>45459.291666666664</v>
      </c>
      <c r="L249" s="1">
        <v>45465.395833333336</v>
      </c>
      <c r="M249" s="1">
        <v>45460.000694444447</v>
      </c>
      <c r="N249" s="1">
        <v>45465.708333333336</v>
      </c>
      <c r="O249" s="1">
        <v>45456.291666666664</v>
      </c>
      <c r="P249" s="1">
        <v>45465.395833333336</v>
      </c>
    </row>
    <row r="250" spans="1:16" hidden="1" x14ac:dyDescent="0.25">
      <c r="A250" s="1">
        <v>45461.703472222223</v>
      </c>
      <c r="B250" t="s">
        <v>642</v>
      </c>
      <c r="C250" t="s">
        <v>643</v>
      </c>
      <c r="D250" t="s">
        <v>643</v>
      </c>
      <c r="E250" t="s">
        <v>18</v>
      </c>
      <c r="F250" t="s">
        <v>19</v>
      </c>
      <c r="G250" s="1">
        <v>45474.75</v>
      </c>
      <c r="H250" s="1">
        <v>45474.75</v>
      </c>
      <c r="I250" s="1">
        <v>45475.791666666664</v>
      </c>
      <c r="J250" t="s">
        <v>80</v>
      </c>
      <c r="K250" s="1">
        <v>45467.75</v>
      </c>
      <c r="L250" s="1">
        <v>45472.75</v>
      </c>
      <c r="M250" s="1">
        <v>45468.000694444447</v>
      </c>
      <c r="N250" s="1">
        <v>45473.625</v>
      </c>
      <c r="O250" s="1">
        <v>45466.25</v>
      </c>
      <c r="P250" s="1">
        <v>45472.25</v>
      </c>
    </row>
    <row r="251" spans="1:16" hidden="1" x14ac:dyDescent="0.25">
      <c r="A251" s="1">
        <v>45461.703472222223</v>
      </c>
      <c r="B251" t="s">
        <v>140</v>
      </c>
      <c r="C251" t="s">
        <v>382</v>
      </c>
      <c r="D251" t="s">
        <v>383</v>
      </c>
      <c r="E251" t="s">
        <v>77</v>
      </c>
      <c r="F251" t="s">
        <v>14</v>
      </c>
      <c r="G251" s="1">
        <v>45488.958333333336</v>
      </c>
      <c r="H251" s="1">
        <v>45488.958333333336</v>
      </c>
      <c r="I251" s="1">
        <v>45489.958333333336</v>
      </c>
      <c r="J251" t="s">
        <v>76</v>
      </c>
      <c r="K251" s="1">
        <v>45481.958333333336</v>
      </c>
      <c r="L251" s="1">
        <v>45486.958333333336</v>
      </c>
      <c r="M251" s="1">
        <v>45482.000694444447</v>
      </c>
      <c r="N251" s="1">
        <v>45487.625</v>
      </c>
      <c r="O251" s="1">
        <v>45480.458333333336</v>
      </c>
      <c r="P251" s="1">
        <v>45486.458333333336</v>
      </c>
    </row>
    <row r="252" spans="1:16" hidden="1" x14ac:dyDescent="0.25">
      <c r="A252" s="1">
        <v>45461.682638888888</v>
      </c>
      <c r="B252" t="s">
        <v>128</v>
      </c>
      <c r="C252" t="s">
        <v>461</v>
      </c>
      <c r="D252" t="s">
        <v>462</v>
      </c>
      <c r="E252" t="s">
        <v>44</v>
      </c>
      <c r="F252" t="s">
        <v>30</v>
      </c>
      <c r="G252" s="1">
        <v>45485.75</v>
      </c>
      <c r="H252" s="1">
        <v>45485.75</v>
      </c>
      <c r="I252" s="1">
        <v>45486.375</v>
      </c>
      <c r="J252" t="s">
        <v>13</v>
      </c>
      <c r="K252" s="1">
        <v>45478.75</v>
      </c>
      <c r="L252" s="1">
        <v>45483.75</v>
      </c>
      <c r="M252" s="1">
        <v>45479.000694444447</v>
      </c>
      <c r="N252" s="1">
        <v>45482.75</v>
      </c>
      <c r="O252" s="1">
        <v>45477.25</v>
      </c>
      <c r="P252" s="1">
        <v>45483.25</v>
      </c>
    </row>
    <row r="253" spans="1:16" hidden="1" x14ac:dyDescent="0.25">
      <c r="A253" s="1">
        <v>45461.682638888888</v>
      </c>
      <c r="B253" t="s">
        <v>135</v>
      </c>
      <c r="C253" t="s">
        <v>313</v>
      </c>
      <c r="D253" t="s">
        <v>314</v>
      </c>
      <c r="E253" t="s">
        <v>43</v>
      </c>
      <c r="F253" t="s">
        <v>14</v>
      </c>
      <c r="G253" s="1">
        <v>45486.583333333336</v>
      </c>
      <c r="H253" s="1">
        <v>45486.583333333336</v>
      </c>
      <c r="I253" s="1">
        <v>45487.239583333336</v>
      </c>
      <c r="J253" t="s">
        <v>13</v>
      </c>
      <c r="K253" s="1">
        <v>45479.583333333336</v>
      </c>
      <c r="L253" s="1">
        <v>45484.583333333336</v>
      </c>
      <c r="M253" s="1">
        <v>45480.000694444447</v>
      </c>
      <c r="N253" s="1">
        <v>45483.583333333336</v>
      </c>
      <c r="O253" s="1">
        <v>45478.083333333336</v>
      </c>
      <c r="P253" s="1">
        <v>45484.083333333336</v>
      </c>
    </row>
    <row r="254" spans="1:16" hidden="1" x14ac:dyDescent="0.25">
      <c r="A254" s="1">
        <v>45461.682638888888</v>
      </c>
      <c r="B254" t="s">
        <v>773</v>
      </c>
      <c r="C254" t="s">
        <v>543</v>
      </c>
      <c r="D254" t="s">
        <v>548</v>
      </c>
      <c r="E254" t="s">
        <v>78</v>
      </c>
      <c r="F254" t="s">
        <v>13</v>
      </c>
      <c r="G254" s="1">
        <v>45486.75</v>
      </c>
      <c r="H254" s="1">
        <v>45486.75</v>
      </c>
      <c r="I254" s="1">
        <v>45488.041666666664</v>
      </c>
      <c r="J254" t="s">
        <v>14</v>
      </c>
      <c r="K254" s="1">
        <v>45479.75</v>
      </c>
      <c r="L254" s="1">
        <v>45484.75</v>
      </c>
      <c r="M254" s="1">
        <v>45480.000694444447</v>
      </c>
      <c r="N254" s="1">
        <v>45483.75</v>
      </c>
      <c r="O254" s="1">
        <v>45477.25</v>
      </c>
      <c r="P254" s="1">
        <v>45483.25</v>
      </c>
    </row>
    <row r="255" spans="1:16" hidden="1" x14ac:dyDescent="0.25">
      <c r="A255" s="1">
        <v>45461.682638888888</v>
      </c>
      <c r="B255" t="s">
        <v>245</v>
      </c>
      <c r="C255" t="s">
        <v>385</v>
      </c>
      <c r="D255" t="s">
        <v>323</v>
      </c>
      <c r="E255" t="s">
        <v>42</v>
      </c>
      <c r="F255" t="s">
        <v>14</v>
      </c>
      <c r="G255" s="1">
        <v>45487.291666666664</v>
      </c>
      <c r="H255" s="1">
        <v>45487.291666666664</v>
      </c>
      <c r="I255" s="1">
        <v>45487.875</v>
      </c>
      <c r="J255" t="s">
        <v>17</v>
      </c>
      <c r="K255" s="1">
        <v>45480.291666666664</v>
      </c>
      <c r="L255" s="1">
        <v>45485.291666666664</v>
      </c>
      <c r="M255" s="1">
        <v>45481.000694444447</v>
      </c>
      <c r="N255" s="1">
        <v>45484.291666666664</v>
      </c>
      <c r="O255" s="1">
        <v>45478.791666666664</v>
      </c>
      <c r="P255" s="1">
        <v>45484.791666666664</v>
      </c>
    </row>
    <row r="256" spans="1:16" hidden="1" x14ac:dyDescent="0.25">
      <c r="A256" s="1">
        <v>45461.682638888888</v>
      </c>
      <c r="B256" t="s">
        <v>145</v>
      </c>
      <c r="C256" t="s">
        <v>318</v>
      </c>
      <c r="D256" t="s">
        <v>302</v>
      </c>
      <c r="E256" t="s">
        <v>45</v>
      </c>
      <c r="F256" t="s">
        <v>14</v>
      </c>
      <c r="G256" s="1">
        <v>45487.000694444447</v>
      </c>
      <c r="H256" s="1">
        <v>45487.917361111111</v>
      </c>
      <c r="I256" s="1">
        <v>45488.625</v>
      </c>
      <c r="J256" t="s">
        <v>16</v>
      </c>
      <c r="K256" s="1">
        <v>45480.000694444447</v>
      </c>
      <c r="L256" s="1">
        <v>45485.917361111111</v>
      </c>
      <c r="M256" s="1">
        <v>45481.000694444447</v>
      </c>
      <c r="N256" s="1">
        <v>45484.917361111111</v>
      </c>
      <c r="O256" s="1">
        <v>45478.500694444447</v>
      </c>
      <c r="P256" s="1">
        <v>45484.500694444447</v>
      </c>
    </row>
    <row r="257" spans="1:16" hidden="1" x14ac:dyDescent="0.25">
      <c r="A257" s="1">
        <v>45461.682638888888</v>
      </c>
      <c r="B257" t="s">
        <v>155</v>
      </c>
      <c r="C257" t="s">
        <v>750</v>
      </c>
      <c r="D257" t="s">
        <v>628</v>
      </c>
      <c r="E257" t="s">
        <v>121</v>
      </c>
      <c r="F257" t="s">
        <v>122</v>
      </c>
      <c r="G257" s="1">
        <v>45485.916666666664</v>
      </c>
      <c r="H257" s="1">
        <v>45485.916666666664</v>
      </c>
      <c r="I257" s="1">
        <v>45486.583333333336</v>
      </c>
      <c r="J257" t="s">
        <v>16</v>
      </c>
      <c r="K257" s="1">
        <v>45478.916666666664</v>
      </c>
      <c r="L257" s="1">
        <v>45483.916666666664</v>
      </c>
      <c r="M257" s="1">
        <v>45479.000694444447</v>
      </c>
      <c r="N257" s="1">
        <v>45482.916666666664</v>
      </c>
      <c r="O257" s="1">
        <v>45475.916666666664</v>
      </c>
      <c r="P257" s="1">
        <v>45483.916666666664</v>
      </c>
    </row>
    <row r="258" spans="1:16" hidden="1" x14ac:dyDescent="0.25">
      <c r="A258" s="1">
        <v>45461.682638888888</v>
      </c>
      <c r="B258" t="s">
        <v>64</v>
      </c>
      <c r="C258" t="s">
        <v>583</v>
      </c>
      <c r="D258" t="s">
        <v>584</v>
      </c>
      <c r="E258" t="s">
        <v>52</v>
      </c>
      <c r="G258" s="1">
        <v>45488.333333333336</v>
      </c>
      <c r="H258" s="1">
        <v>45488.333333333336</v>
      </c>
      <c r="I258" s="1">
        <v>45488.708333333336</v>
      </c>
      <c r="J258" t="s">
        <v>23</v>
      </c>
      <c r="K258" s="1">
        <v>45481.333333333336</v>
      </c>
      <c r="L258" s="1">
        <v>45486.333333333336</v>
      </c>
      <c r="M258" s="1">
        <v>45482.000694444447</v>
      </c>
      <c r="N258" s="1">
        <v>45485.333333333336</v>
      </c>
      <c r="O258" s="1">
        <v>45479.833333333336</v>
      </c>
      <c r="P258" s="1">
        <v>45485.833333333336</v>
      </c>
    </row>
    <row r="259" spans="1:16" hidden="1" x14ac:dyDescent="0.25">
      <c r="A259" s="1">
        <v>45461.682638888888</v>
      </c>
      <c r="B259" t="s">
        <v>788</v>
      </c>
      <c r="C259" t="s">
        <v>358</v>
      </c>
      <c r="D259" t="s">
        <v>358</v>
      </c>
      <c r="E259" t="s">
        <v>138</v>
      </c>
      <c r="F259" t="s">
        <v>139</v>
      </c>
      <c r="G259" s="1">
        <v>45489.25</v>
      </c>
      <c r="H259" s="1">
        <v>45489.25</v>
      </c>
      <c r="I259" s="1">
        <v>45490.25</v>
      </c>
      <c r="J259" t="s">
        <v>17</v>
      </c>
      <c r="K259" s="1">
        <v>45482.25</v>
      </c>
      <c r="L259" s="1">
        <v>45487.25</v>
      </c>
      <c r="M259" s="1">
        <v>45483.000694444447</v>
      </c>
      <c r="N259" s="1">
        <v>45486.25</v>
      </c>
      <c r="O259" s="1">
        <v>45480.75</v>
      </c>
      <c r="P259" s="1">
        <v>45486.75</v>
      </c>
    </row>
    <row r="260" spans="1:16" hidden="1" x14ac:dyDescent="0.25">
      <c r="A260" s="1">
        <v>45461.662499999999</v>
      </c>
      <c r="B260" t="s">
        <v>688</v>
      </c>
      <c r="C260" t="s">
        <v>467</v>
      </c>
      <c r="D260" t="s">
        <v>467</v>
      </c>
      <c r="E260" t="s">
        <v>436</v>
      </c>
      <c r="F260" t="s">
        <v>75</v>
      </c>
      <c r="G260" s="1">
        <v>45477.541666666664</v>
      </c>
      <c r="H260" s="1">
        <v>45477.541666666664</v>
      </c>
      <c r="I260" s="1">
        <v>45478.541666666664</v>
      </c>
      <c r="J260" t="s">
        <v>13</v>
      </c>
      <c r="K260" s="1">
        <v>45470.541666666664</v>
      </c>
      <c r="L260" s="1">
        <v>45475.541666666664</v>
      </c>
      <c r="M260" s="1">
        <v>45471.000694444447</v>
      </c>
      <c r="N260" s="1">
        <v>45474.541666666664</v>
      </c>
      <c r="O260" s="1">
        <v>45469.041666666664</v>
      </c>
      <c r="P260" s="1">
        <v>45475.041666666664</v>
      </c>
    </row>
    <row r="261" spans="1:16" hidden="1" x14ac:dyDescent="0.25">
      <c r="A261" s="1">
        <v>45461.662499999999</v>
      </c>
      <c r="B261" t="s">
        <v>154</v>
      </c>
      <c r="C261" t="s">
        <v>292</v>
      </c>
      <c r="D261" t="s">
        <v>293</v>
      </c>
      <c r="E261" t="s">
        <v>77</v>
      </c>
      <c r="F261" t="s">
        <v>14</v>
      </c>
      <c r="G261" s="1">
        <v>45478.000694444447</v>
      </c>
      <c r="H261" s="1">
        <v>45478</v>
      </c>
      <c r="I261" s="1">
        <v>45478.875</v>
      </c>
      <c r="J261" t="s">
        <v>76</v>
      </c>
      <c r="K261" s="1">
        <v>45471.000694444447</v>
      </c>
      <c r="L261" s="1">
        <v>45476</v>
      </c>
      <c r="M261" s="1">
        <v>45472.000694444447</v>
      </c>
      <c r="N261" s="1">
        <v>45475</v>
      </c>
      <c r="O261" s="1">
        <v>45469.500694444447</v>
      </c>
      <c r="P261" s="1">
        <v>45475.500694444447</v>
      </c>
    </row>
    <row r="262" spans="1:16" hidden="1" x14ac:dyDescent="0.25">
      <c r="A262" s="1">
        <v>45461.662499999999</v>
      </c>
      <c r="B262" t="s">
        <v>648</v>
      </c>
      <c r="C262" t="s">
        <v>649</v>
      </c>
      <c r="D262" t="s">
        <v>649</v>
      </c>
      <c r="E262" t="s">
        <v>246</v>
      </c>
      <c r="G262" s="1">
        <v>45477.291666666664</v>
      </c>
      <c r="H262" s="1">
        <v>45477.291666666664</v>
      </c>
      <c r="I262" s="1">
        <v>45477.541666666664</v>
      </c>
      <c r="J262" t="s">
        <v>76</v>
      </c>
      <c r="K262" s="1">
        <v>45470.291666666664</v>
      </c>
      <c r="L262" s="1">
        <v>45475.291666666664</v>
      </c>
      <c r="M262" s="1">
        <v>45471.000694444447</v>
      </c>
      <c r="N262" s="1">
        <v>45474.291666666664</v>
      </c>
      <c r="O262" s="1">
        <v>45467.291666666664</v>
      </c>
      <c r="P262" s="1">
        <v>45475.291666666664</v>
      </c>
    </row>
    <row r="263" spans="1:16" hidden="1" x14ac:dyDescent="0.25">
      <c r="A263" s="1">
        <v>45461.662499999999</v>
      </c>
      <c r="B263" t="s">
        <v>133</v>
      </c>
      <c r="C263" t="s">
        <v>488</v>
      </c>
      <c r="D263" t="s">
        <v>186</v>
      </c>
      <c r="E263" t="s">
        <v>45</v>
      </c>
      <c r="F263" t="s">
        <v>14</v>
      </c>
      <c r="G263" s="1">
        <v>45481</v>
      </c>
      <c r="H263" s="1">
        <v>45478.583333333336</v>
      </c>
      <c r="I263" s="1">
        <v>45479.5</v>
      </c>
      <c r="J263" t="s">
        <v>16</v>
      </c>
      <c r="K263" s="1">
        <v>45474</v>
      </c>
      <c r="L263" s="1">
        <v>45476.583333333336</v>
      </c>
      <c r="M263" s="1">
        <v>45475.000694444447</v>
      </c>
      <c r="N263" s="1">
        <v>45475.583333333336</v>
      </c>
      <c r="O263" s="1">
        <v>45472.5</v>
      </c>
      <c r="P263" s="1">
        <v>45478.5</v>
      </c>
    </row>
    <row r="264" spans="1:16" hidden="1" x14ac:dyDescent="0.25">
      <c r="A264" s="1">
        <v>45461.662499999999</v>
      </c>
      <c r="B264" t="s">
        <v>65</v>
      </c>
      <c r="C264" t="s">
        <v>461</v>
      </c>
      <c r="D264" t="s">
        <v>462</v>
      </c>
      <c r="E264" t="s">
        <v>44</v>
      </c>
      <c r="F264" t="s">
        <v>30</v>
      </c>
      <c r="G264" s="1">
        <v>45478.75</v>
      </c>
      <c r="H264" s="1">
        <v>45478.75</v>
      </c>
      <c r="I264" s="1">
        <v>45479.375</v>
      </c>
      <c r="J264" t="s">
        <v>13</v>
      </c>
      <c r="K264" s="1">
        <v>45471.75</v>
      </c>
      <c r="L264" s="1">
        <v>45476.75</v>
      </c>
      <c r="M264" s="1">
        <v>45472.000694444447</v>
      </c>
      <c r="N264" s="1">
        <v>45475.75</v>
      </c>
      <c r="O264" s="1">
        <v>45470.25</v>
      </c>
      <c r="P264" s="1">
        <v>45476.25</v>
      </c>
    </row>
    <row r="265" spans="1:16" hidden="1" x14ac:dyDescent="0.25">
      <c r="A265" s="1">
        <v>45461.662499999999</v>
      </c>
      <c r="B265" t="s">
        <v>184</v>
      </c>
      <c r="C265" t="s">
        <v>689</v>
      </c>
      <c r="D265" t="s">
        <v>575</v>
      </c>
      <c r="E265" t="s">
        <v>121</v>
      </c>
      <c r="F265" t="s">
        <v>122</v>
      </c>
      <c r="G265" s="1">
        <v>45478.833333333336</v>
      </c>
      <c r="H265" s="1">
        <v>45478.916666666664</v>
      </c>
      <c r="I265" s="1">
        <v>45479.645833333336</v>
      </c>
      <c r="J265" t="s">
        <v>16</v>
      </c>
      <c r="K265" s="1">
        <v>45471.833333333336</v>
      </c>
      <c r="L265" s="1">
        <v>45476.916666666664</v>
      </c>
      <c r="M265" s="1">
        <v>45472.000694444447</v>
      </c>
      <c r="N265" s="1">
        <v>45475.916666666664</v>
      </c>
      <c r="O265" s="1">
        <v>45470.333333333336</v>
      </c>
      <c r="P265" s="1">
        <v>45476.333333333336</v>
      </c>
    </row>
    <row r="266" spans="1:16" hidden="1" x14ac:dyDescent="0.25">
      <c r="A266" s="1">
        <v>45461.662499999999</v>
      </c>
      <c r="B266" t="s">
        <v>277</v>
      </c>
      <c r="C266" t="s">
        <v>156</v>
      </c>
      <c r="D266" t="s">
        <v>157</v>
      </c>
      <c r="E266" t="s">
        <v>43</v>
      </c>
      <c r="F266" t="s">
        <v>14</v>
      </c>
      <c r="G266" s="1">
        <v>45479.583333333336</v>
      </c>
      <c r="H266" s="1">
        <v>45479.6875</v>
      </c>
      <c r="I266" s="1">
        <v>45480.354166666664</v>
      </c>
      <c r="J266" t="s">
        <v>13</v>
      </c>
      <c r="K266" s="1">
        <v>45472.583333333336</v>
      </c>
      <c r="L266" s="1">
        <v>45477.6875</v>
      </c>
      <c r="M266" s="1">
        <v>45473.000694444447</v>
      </c>
      <c r="N266" s="1">
        <v>45476.6875</v>
      </c>
      <c r="O266" s="1">
        <v>45471.083333333336</v>
      </c>
      <c r="P266" s="1">
        <v>45477.083333333336</v>
      </c>
    </row>
    <row r="267" spans="1:16" hidden="1" x14ac:dyDescent="0.25">
      <c r="A267" s="1">
        <v>45461.662499999999</v>
      </c>
      <c r="B267" t="s">
        <v>310</v>
      </c>
      <c r="C267" t="s">
        <v>518</v>
      </c>
      <c r="D267" t="s">
        <v>474</v>
      </c>
      <c r="E267" t="s">
        <v>78</v>
      </c>
      <c r="F267" t="s">
        <v>13</v>
      </c>
      <c r="G267" s="1">
        <v>45479.75</v>
      </c>
      <c r="H267" s="1">
        <v>45479.75</v>
      </c>
      <c r="I267" s="1">
        <v>45481.25</v>
      </c>
      <c r="J267" t="s">
        <v>14</v>
      </c>
      <c r="K267" s="1">
        <v>45472.75</v>
      </c>
      <c r="L267" s="1">
        <v>45477.75</v>
      </c>
      <c r="M267" s="1">
        <v>45473.000694444447</v>
      </c>
      <c r="N267" s="1">
        <v>45476.75</v>
      </c>
      <c r="O267" s="1">
        <v>45470.25</v>
      </c>
      <c r="P267" s="1">
        <v>45476.25</v>
      </c>
    </row>
    <row r="268" spans="1:16" hidden="1" x14ac:dyDescent="0.25">
      <c r="A268" s="1">
        <v>45461.662499999999</v>
      </c>
      <c r="B268" t="s">
        <v>191</v>
      </c>
      <c r="C268" t="s">
        <v>691</v>
      </c>
      <c r="D268" t="s">
        <v>692</v>
      </c>
      <c r="E268" t="s">
        <v>42</v>
      </c>
      <c r="F268" t="s">
        <v>14</v>
      </c>
      <c r="G268" s="1">
        <v>45485.291666666664</v>
      </c>
      <c r="H268" s="1">
        <v>45481.041666666664</v>
      </c>
      <c r="I268" s="1">
        <v>45481.708333333336</v>
      </c>
      <c r="J268" t="s">
        <v>17</v>
      </c>
      <c r="K268" s="1">
        <v>45478.291666666664</v>
      </c>
      <c r="L268" s="1">
        <v>45479.041666666664</v>
      </c>
      <c r="M268" s="1">
        <v>45479.000694444447</v>
      </c>
      <c r="N268" s="1">
        <v>45478.041666666664</v>
      </c>
      <c r="O268" s="1">
        <v>45476.791666666664</v>
      </c>
      <c r="P268" s="1">
        <v>45482.791666666664</v>
      </c>
    </row>
    <row r="269" spans="1:16" hidden="1" x14ac:dyDescent="0.25">
      <c r="A269" s="1">
        <v>45461.662499999999</v>
      </c>
      <c r="B269" t="s">
        <v>64</v>
      </c>
      <c r="C269" t="s">
        <v>580</v>
      </c>
      <c r="D269" t="s">
        <v>581</v>
      </c>
      <c r="E269" t="s">
        <v>52</v>
      </c>
      <c r="G269" s="1">
        <v>45481.333333333336</v>
      </c>
      <c r="H269" s="1">
        <v>45481.333333333336</v>
      </c>
      <c r="I269" s="1">
        <v>45481.708333333336</v>
      </c>
      <c r="J269" t="s">
        <v>23</v>
      </c>
      <c r="K269" s="1">
        <v>45474.333333333336</v>
      </c>
      <c r="L269" s="1">
        <v>45479.333333333336</v>
      </c>
      <c r="M269" s="1">
        <v>45475.000694444447</v>
      </c>
      <c r="N269" s="1">
        <v>45478.333333333336</v>
      </c>
      <c r="O269" s="1">
        <v>45472.833333333336</v>
      </c>
      <c r="P269" s="1">
        <v>45478.833333333336</v>
      </c>
    </row>
    <row r="270" spans="1:16" hidden="1" x14ac:dyDescent="0.25">
      <c r="A270" s="1">
        <v>45461.662499999999</v>
      </c>
      <c r="B270" t="s">
        <v>250</v>
      </c>
      <c r="C270" t="s">
        <v>306</v>
      </c>
      <c r="D270" t="s">
        <v>258</v>
      </c>
      <c r="E270" t="s">
        <v>45</v>
      </c>
      <c r="F270" t="s">
        <v>14</v>
      </c>
      <c r="G270" s="1">
        <v>45481.000694444447</v>
      </c>
      <c r="H270" s="1">
        <v>45481.750694444447</v>
      </c>
      <c r="I270" s="1">
        <v>45482.375</v>
      </c>
      <c r="J270" t="s">
        <v>16</v>
      </c>
      <c r="K270" s="1">
        <v>45474.000694444447</v>
      </c>
      <c r="L270" s="1">
        <v>45479.750694444447</v>
      </c>
      <c r="M270" s="1">
        <v>45475.000694444447</v>
      </c>
      <c r="N270" s="1">
        <v>45478.750694444447</v>
      </c>
      <c r="O270" s="1">
        <v>45472.500694444447</v>
      </c>
      <c r="P270" s="1">
        <v>45478.500694444447</v>
      </c>
    </row>
    <row r="271" spans="1:16" hidden="1" x14ac:dyDescent="0.25">
      <c r="A271" s="1">
        <v>45461.662499999999</v>
      </c>
      <c r="B271" t="s">
        <v>140</v>
      </c>
      <c r="C271" t="s">
        <v>382</v>
      </c>
      <c r="D271" t="s">
        <v>383</v>
      </c>
      <c r="E271" t="s">
        <v>77</v>
      </c>
      <c r="F271" t="s">
        <v>14</v>
      </c>
      <c r="G271" s="1">
        <v>45481.958333333336</v>
      </c>
      <c r="H271" s="1">
        <v>45481.770833333336</v>
      </c>
      <c r="I271" s="1">
        <v>45482.645833333336</v>
      </c>
      <c r="J271" t="s">
        <v>76</v>
      </c>
      <c r="K271" s="1">
        <v>45474.958333333336</v>
      </c>
      <c r="L271" s="1">
        <v>45479.770833333336</v>
      </c>
      <c r="M271" s="1">
        <v>45475.000694444447</v>
      </c>
      <c r="N271" s="1">
        <v>45478.770833333336</v>
      </c>
      <c r="O271" s="1">
        <v>45473.458333333336</v>
      </c>
      <c r="P271" s="1">
        <v>45479.458333333336</v>
      </c>
    </row>
    <row r="272" spans="1:16" hidden="1" x14ac:dyDescent="0.25">
      <c r="A272" s="1">
        <v>45461.662499999999</v>
      </c>
      <c r="B272" t="s">
        <v>275</v>
      </c>
      <c r="C272" t="s">
        <v>719</v>
      </c>
      <c r="D272" t="s">
        <v>720</v>
      </c>
      <c r="E272" t="s">
        <v>79</v>
      </c>
      <c r="F272" t="s">
        <v>14</v>
      </c>
      <c r="G272" s="1">
        <v>45483.000694444447</v>
      </c>
      <c r="H272" s="1">
        <v>45482.6875</v>
      </c>
      <c r="I272" s="1">
        <v>45483.354166666664</v>
      </c>
      <c r="J272" t="s">
        <v>16</v>
      </c>
      <c r="K272" s="1">
        <v>45476.000694444447</v>
      </c>
      <c r="L272" s="1">
        <v>45480.6875</v>
      </c>
      <c r="M272" s="1">
        <v>45477.000694444447</v>
      </c>
      <c r="N272" s="1">
        <v>45479.6875</v>
      </c>
      <c r="O272" s="1">
        <v>45474.500694444447</v>
      </c>
      <c r="P272" s="1">
        <v>45480.500694444447</v>
      </c>
    </row>
    <row r="273" spans="1:16" hidden="1" x14ac:dyDescent="0.25">
      <c r="A273" s="1">
        <v>45461.662499999999</v>
      </c>
      <c r="B273" t="s">
        <v>127</v>
      </c>
      <c r="C273" t="s">
        <v>607</v>
      </c>
      <c r="D273" t="s">
        <v>445</v>
      </c>
      <c r="E273" t="s">
        <v>129</v>
      </c>
      <c r="F273" t="s">
        <v>21</v>
      </c>
      <c r="G273" s="1">
        <v>45483.416666666664</v>
      </c>
      <c r="H273" s="1">
        <v>45483.416666666664</v>
      </c>
      <c r="I273" s="1">
        <v>45483.833333333336</v>
      </c>
      <c r="J273" t="s">
        <v>19</v>
      </c>
      <c r="K273" s="1">
        <v>45476.416666666664</v>
      </c>
      <c r="L273" s="1">
        <v>45481.416666666664</v>
      </c>
      <c r="M273" s="1">
        <v>45477.000694444447</v>
      </c>
      <c r="N273" s="1">
        <v>45480.416666666664</v>
      </c>
      <c r="O273" s="1">
        <v>45474.916666666664</v>
      </c>
      <c r="P273" s="1">
        <v>45480.916666666664</v>
      </c>
    </row>
    <row r="274" spans="1:16" hidden="1" x14ac:dyDescent="0.25">
      <c r="A274" s="1">
        <v>45461.662499999999</v>
      </c>
      <c r="B274" t="s">
        <v>489</v>
      </c>
      <c r="C274" t="s">
        <v>472</v>
      </c>
      <c r="D274" t="s">
        <v>472</v>
      </c>
      <c r="E274" t="s">
        <v>273</v>
      </c>
      <c r="F274" t="s">
        <v>125</v>
      </c>
      <c r="G274" s="1">
        <v>45483.416666666664</v>
      </c>
      <c r="H274" s="1">
        <v>45483.416666666664</v>
      </c>
      <c r="I274" s="1">
        <v>45484.375</v>
      </c>
      <c r="J274" t="s">
        <v>80</v>
      </c>
      <c r="K274" s="1">
        <v>45476.416666666664</v>
      </c>
      <c r="L274" s="1">
        <v>45481.416666666664</v>
      </c>
      <c r="M274" s="1">
        <v>45477.000694444447</v>
      </c>
      <c r="N274" s="1">
        <v>45480.416666666664</v>
      </c>
      <c r="O274" s="1">
        <v>45474.916666666664</v>
      </c>
      <c r="P274" s="1">
        <v>45480.916666666664</v>
      </c>
    </row>
    <row r="275" spans="1:16" hidden="1" x14ac:dyDescent="0.25">
      <c r="A275" s="1">
        <v>45461.662499999999</v>
      </c>
      <c r="B275" t="s">
        <v>195</v>
      </c>
      <c r="C275" t="s">
        <v>288</v>
      </c>
      <c r="D275" t="s">
        <v>322</v>
      </c>
      <c r="E275" t="s">
        <v>46</v>
      </c>
      <c r="F275" t="s">
        <v>13</v>
      </c>
      <c r="G275" s="1">
        <v>45484.000694444447</v>
      </c>
      <c r="H275" s="1">
        <v>45484.000694444447</v>
      </c>
      <c r="I275" s="1">
        <v>45484.875</v>
      </c>
      <c r="J275" t="s">
        <v>27</v>
      </c>
      <c r="K275" s="1">
        <v>45477.000694444447</v>
      </c>
      <c r="L275" s="1">
        <v>45482.000694444447</v>
      </c>
      <c r="M275" s="1">
        <v>45478.000694444447</v>
      </c>
      <c r="N275" s="1">
        <v>45481.000694444447</v>
      </c>
      <c r="O275" s="1">
        <v>45475.500694444447</v>
      </c>
      <c r="P275" s="1">
        <v>45481.500694444447</v>
      </c>
    </row>
    <row r="276" spans="1:16" hidden="1" x14ac:dyDescent="0.25">
      <c r="A276" s="1">
        <v>45461.662499999999</v>
      </c>
      <c r="B276" t="s">
        <v>743</v>
      </c>
      <c r="C276" t="s">
        <v>518</v>
      </c>
      <c r="D276" t="s">
        <v>518</v>
      </c>
      <c r="E276" t="s">
        <v>436</v>
      </c>
      <c r="F276" t="s">
        <v>75</v>
      </c>
      <c r="G276" s="1">
        <v>45484.541666666664</v>
      </c>
      <c r="H276" s="1">
        <v>45484.541666666664</v>
      </c>
      <c r="I276" s="1">
        <v>45485.541666666664</v>
      </c>
      <c r="J276" t="s">
        <v>13</v>
      </c>
      <c r="K276" s="1">
        <v>45477.541666666664</v>
      </c>
      <c r="L276" s="1">
        <v>45482.541666666664</v>
      </c>
      <c r="M276" s="1">
        <v>45478.000694444447</v>
      </c>
      <c r="N276" s="1">
        <v>45481.541666666664</v>
      </c>
      <c r="O276" s="1">
        <v>45476.041666666664</v>
      </c>
      <c r="P276" s="1">
        <v>45482.041666666664</v>
      </c>
    </row>
    <row r="277" spans="1:16" hidden="1" x14ac:dyDescent="0.25">
      <c r="A277" s="1">
        <v>45461.662499999999</v>
      </c>
      <c r="B277" t="s">
        <v>142</v>
      </c>
      <c r="C277" t="s">
        <v>577</v>
      </c>
      <c r="D277" t="s">
        <v>556</v>
      </c>
      <c r="E277" t="s">
        <v>77</v>
      </c>
      <c r="F277" t="s">
        <v>14</v>
      </c>
      <c r="G277" s="1">
        <v>45484.958333333336</v>
      </c>
      <c r="H277" s="1">
        <v>45484.916666666664</v>
      </c>
      <c r="I277" s="1">
        <v>45485.791666666664</v>
      </c>
      <c r="J277" t="s">
        <v>76</v>
      </c>
      <c r="K277" s="1">
        <v>45477.958333333336</v>
      </c>
      <c r="L277" s="1">
        <v>45482.916666666664</v>
      </c>
      <c r="M277" s="1">
        <v>45478.000694444447</v>
      </c>
      <c r="N277" s="1">
        <v>45481.916666666664</v>
      </c>
      <c r="O277" s="1">
        <v>45476.458333333336</v>
      </c>
      <c r="P277" s="1">
        <v>45482.458333333336</v>
      </c>
    </row>
    <row r="278" spans="1:16" hidden="1" x14ac:dyDescent="0.25">
      <c r="A278" s="1">
        <v>45461.640972222223</v>
      </c>
      <c r="B278" t="s">
        <v>267</v>
      </c>
      <c r="C278" t="s">
        <v>304</v>
      </c>
      <c r="D278" t="s">
        <v>257</v>
      </c>
      <c r="E278" t="s">
        <v>42</v>
      </c>
      <c r="F278" t="s">
        <v>14</v>
      </c>
      <c r="G278" s="1">
        <v>45480.291666666664</v>
      </c>
      <c r="H278" s="1">
        <v>45477.208333333336</v>
      </c>
      <c r="I278" s="1">
        <v>45477.875</v>
      </c>
      <c r="J278" t="s">
        <v>17</v>
      </c>
      <c r="K278" s="1">
        <v>45473.291666666664</v>
      </c>
      <c r="L278" s="1">
        <v>45475.208333333336</v>
      </c>
      <c r="M278" s="1">
        <v>45474.000694444447</v>
      </c>
      <c r="N278" s="1">
        <v>45474.208333333336</v>
      </c>
      <c r="O278" s="1">
        <v>45471.791666666664</v>
      </c>
      <c r="P278" s="1">
        <v>45477.791666666664</v>
      </c>
    </row>
    <row r="279" spans="1:16" hidden="1" x14ac:dyDescent="0.25">
      <c r="A279" s="1">
        <v>45461.640972222223</v>
      </c>
      <c r="B279" t="s">
        <v>154</v>
      </c>
      <c r="C279" t="s">
        <v>292</v>
      </c>
      <c r="D279" t="s">
        <v>293</v>
      </c>
      <c r="E279" t="s">
        <v>77</v>
      </c>
      <c r="F279" t="s">
        <v>14</v>
      </c>
      <c r="G279" s="1">
        <v>45478.000694444447</v>
      </c>
      <c r="H279" s="1">
        <v>45477.958333333336</v>
      </c>
      <c r="I279" s="1">
        <v>45478.833333333336</v>
      </c>
      <c r="J279" t="s">
        <v>76</v>
      </c>
      <c r="K279" s="1">
        <v>45471.000694444447</v>
      </c>
      <c r="L279" s="1">
        <v>45475.958333333336</v>
      </c>
      <c r="M279" s="1">
        <v>45472.000694444447</v>
      </c>
      <c r="N279" s="1">
        <v>45474.958333333336</v>
      </c>
      <c r="O279" s="1">
        <v>45469.500694444447</v>
      </c>
      <c r="P279" s="1">
        <v>45475.500694444447</v>
      </c>
    </row>
    <row r="280" spans="1:16" hidden="1" x14ac:dyDescent="0.25">
      <c r="A280" s="1">
        <v>45461.640972222223</v>
      </c>
      <c r="B280" t="s">
        <v>184</v>
      </c>
      <c r="C280" t="s">
        <v>689</v>
      </c>
      <c r="D280" t="s">
        <v>575</v>
      </c>
      <c r="E280" t="s">
        <v>121</v>
      </c>
      <c r="F280" t="s">
        <v>122</v>
      </c>
      <c r="G280" s="1">
        <v>45478.833333333336</v>
      </c>
      <c r="H280" s="1">
        <v>45478.708333333336</v>
      </c>
      <c r="I280" s="1">
        <v>45479.4375</v>
      </c>
      <c r="J280" t="s">
        <v>16</v>
      </c>
      <c r="K280" s="1">
        <v>45471.833333333336</v>
      </c>
      <c r="L280" s="1">
        <v>45476.708333333336</v>
      </c>
      <c r="M280" s="1">
        <v>45472.000694444447</v>
      </c>
      <c r="N280" s="1">
        <v>45475.708333333336</v>
      </c>
      <c r="O280" s="1">
        <v>45470.333333333336</v>
      </c>
      <c r="P280" s="1">
        <v>45476.333333333336</v>
      </c>
    </row>
    <row r="281" spans="1:16" hidden="1" x14ac:dyDescent="0.25">
      <c r="A281" s="1">
        <v>45461.640972222223</v>
      </c>
      <c r="B281" t="s">
        <v>277</v>
      </c>
      <c r="C281" t="s">
        <v>156</v>
      </c>
      <c r="D281" t="s">
        <v>157</v>
      </c>
      <c r="E281" t="s">
        <v>43</v>
      </c>
      <c r="F281" t="s">
        <v>14</v>
      </c>
      <c r="G281" s="1">
        <v>45479.583333333336</v>
      </c>
      <c r="H281" s="1">
        <v>45479.583333333336</v>
      </c>
      <c r="I281" s="1">
        <v>45480.25</v>
      </c>
      <c r="J281" t="s">
        <v>13</v>
      </c>
      <c r="K281" s="1">
        <v>45472.583333333336</v>
      </c>
      <c r="L281" s="1">
        <v>45477.583333333336</v>
      </c>
      <c r="M281" s="1">
        <v>45473.000694444447</v>
      </c>
      <c r="N281" s="1">
        <v>45476.583333333336</v>
      </c>
      <c r="O281" s="1">
        <v>45471.083333333336</v>
      </c>
      <c r="P281" s="1">
        <v>45477.083333333336</v>
      </c>
    </row>
    <row r="282" spans="1:16" hidden="1" x14ac:dyDescent="0.25">
      <c r="A282" s="1">
        <v>45461.640972222223</v>
      </c>
      <c r="B282" t="s">
        <v>133</v>
      </c>
      <c r="C282" t="s">
        <v>488</v>
      </c>
      <c r="D282" t="s">
        <v>186</v>
      </c>
      <c r="E282" t="s">
        <v>45</v>
      </c>
      <c r="F282" t="s">
        <v>14</v>
      </c>
      <c r="G282" s="1">
        <v>45481</v>
      </c>
      <c r="H282" s="1">
        <v>45480.292361111111</v>
      </c>
      <c r="I282" s="1">
        <v>45481</v>
      </c>
      <c r="J282" t="s">
        <v>16</v>
      </c>
      <c r="K282" s="1">
        <v>45474</v>
      </c>
      <c r="L282" s="1">
        <v>45478.292361111111</v>
      </c>
      <c r="M282" s="1">
        <v>45475.000694444447</v>
      </c>
      <c r="N282" s="1">
        <v>45477.292361111111</v>
      </c>
      <c r="O282" s="1">
        <v>45472.5</v>
      </c>
      <c r="P282" s="1">
        <v>45478.5</v>
      </c>
    </row>
    <row r="283" spans="1:16" hidden="1" x14ac:dyDescent="0.25">
      <c r="A283" s="1">
        <v>45461.578472222223</v>
      </c>
      <c r="B283" t="s">
        <v>131</v>
      </c>
      <c r="C283" t="s">
        <v>289</v>
      </c>
      <c r="D283" t="s">
        <v>289</v>
      </c>
      <c r="E283" t="s">
        <v>273</v>
      </c>
      <c r="F283" t="s">
        <v>125</v>
      </c>
      <c r="G283" s="1">
        <v>45462.416666666664</v>
      </c>
      <c r="H283" s="1">
        <v>45464.291666666664</v>
      </c>
      <c r="I283" s="1">
        <v>45464.989583333336</v>
      </c>
      <c r="J283" t="s">
        <v>80</v>
      </c>
      <c r="K283" s="1">
        <v>45455.416666666664</v>
      </c>
      <c r="L283" s="1">
        <v>45462.291666666664</v>
      </c>
      <c r="M283" s="1">
        <v>45456.000694444447</v>
      </c>
      <c r="N283" s="1">
        <v>45462.5</v>
      </c>
      <c r="O283" s="1">
        <v>45453.916666666664</v>
      </c>
      <c r="P283" s="1">
        <v>45459.916666666664</v>
      </c>
    </row>
    <row r="284" spans="1:16" hidden="1" x14ac:dyDescent="0.25">
      <c r="A284" s="1">
        <v>45461.578472222223</v>
      </c>
      <c r="B284" t="s">
        <v>155</v>
      </c>
      <c r="C284" t="s">
        <v>491</v>
      </c>
      <c r="D284" t="s">
        <v>492</v>
      </c>
      <c r="E284" t="s">
        <v>121</v>
      </c>
      <c r="F284" t="s">
        <v>122</v>
      </c>
      <c r="G284" s="1">
        <v>45464.833333333336</v>
      </c>
      <c r="H284" s="1">
        <v>45465.03125</v>
      </c>
      <c r="I284" s="1">
        <v>45465.75</v>
      </c>
      <c r="J284" t="s">
        <v>16</v>
      </c>
      <c r="K284" s="1">
        <v>45457.833333333336</v>
      </c>
      <c r="L284" s="1">
        <v>45463.03125</v>
      </c>
      <c r="M284" s="1">
        <v>45458.000694444447</v>
      </c>
      <c r="N284" s="1">
        <v>45463.5</v>
      </c>
      <c r="O284" s="1">
        <v>45454.833333333336</v>
      </c>
      <c r="P284" s="1">
        <v>45463.03125</v>
      </c>
    </row>
    <row r="285" spans="1:16" hidden="1" x14ac:dyDescent="0.25">
      <c r="A285" s="1">
        <v>45461.540972222225</v>
      </c>
      <c r="B285" t="s">
        <v>357</v>
      </c>
      <c r="C285" t="s">
        <v>284</v>
      </c>
      <c r="D285" t="s">
        <v>255</v>
      </c>
      <c r="E285" t="s">
        <v>45</v>
      </c>
      <c r="F285" t="s">
        <v>173</v>
      </c>
      <c r="G285" s="1">
        <v>45467.208333333336</v>
      </c>
      <c r="H285" s="1">
        <v>45467.208333333336</v>
      </c>
      <c r="I285" s="1">
        <v>45467.875</v>
      </c>
      <c r="J285" t="s">
        <v>21</v>
      </c>
      <c r="K285" s="1">
        <v>45460.208333333336</v>
      </c>
      <c r="L285" s="1">
        <v>45465.208333333336</v>
      </c>
      <c r="M285" s="1">
        <v>45461.000694444447</v>
      </c>
      <c r="N285" s="1">
        <v>45466.625</v>
      </c>
      <c r="O285" s="1">
        <v>45458.708333333336</v>
      </c>
      <c r="P285" s="1">
        <v>45464.708333333336</v>
      </c>
    </row>
    <row r="286" spans="1:16" hidden="1" x14ac:dyDescent="0.25">
      <c r="A286" s="1">
        <v>45461.540972222225</v>
      </c>
      <c r="B286" t="s">
        <v>65</v>
      </c>
      <c r="C286" t="s">
        <v>362</v>
      </c>
      <c r="D286" t="s">
        <v>363</v>
      </c>
      <c r="E286" t="s">
        <v>44</v>
      </c>
      <c r="F286" t="s">
        <v>30</v>
      </c>
      <c r="G286" s="1">
        <v>45472</v>
      </c>
      <c r="H286" s="1">
        <v>45467.375</v>
      </c>
      <c r="I286" s="1">
        <v>45468</v>
      </c>
      <c r="J286" t="s">
        <v>13</v>
      </c>
      <c r="K286" s="1">
        <v>45465</v>
      </c>
      <c r="L286" s="1">
        <v>45465.375</v>
      </c>
      <c r="M286" s="1">
        <v>45466.000694444447</v>
      </c>
      <c r="N286" s="1">
        <v>45470.5</v>
      </c>
      <c r="O286" s="1">
        <v>45463.5</v>
      </c>
      <c r="P286" s="1">
        <v>45469.5</v>
      </c>
    </row>
    <row r="287" spans="1:16" hidden="1" x14ac:dyDescent="0.25">
      <c r="A287" s="1">
        <v>45461.540972222225</v>
      </c>
      <c r="B287" t="s">
        <v>454</v>
      </c>
      <c r="C287" t="s">
        <v>455</v>
      </c>
      <c r="D287" t="s">
        <v>456</v>
      </c>
      <c r="E287" t="s">
        <v>79</v>
      </c>
      <c r="F287" t="s">
        <v>217</v>
      </c>
      <c r="G287" s="1">
        <v>45468</v>
      </c>
      <c r="H287" s="1">
        <v>45467.916666666664</v>
      </c>
      <c r="I287" s="1">
        <v>45468.583333333336</v>
      </c>
      <c r="J287" t="s">
        <v>16</v>
      </c>
      <c r="K287" s="1">
        <v>45461</v>
      </c>
      <c r="L287" s="1">
        <v>45465.916666666664</v>
      </c>
      <c r="M287" s="1">
        <v>45462.000694444447</v>
      </c>
      <c r="N287" s="1">
        <v>45464.416666666664</v>
      </c>
      <c r="O287" s="1">
        <v>45459.5</v>
      </c>
      <c r="P287" s="1">
        <v>45465.5</v>
      </c>
    </row>
    <row r="288" spans="1:16" hidden="1" x14ac:dyDescent="0.25">
      <c r="A288" s="1">
        <v>45461.540972222225</v>
      </c>
      <c r="B288" t="s">
        <v>545</v>
      </c>
      <c r="C288" t="s">
        <v>546</v>
      </c>
      <c r="D288" t="s">
        <v>546</v>
      </c>
      <c r="E288" t="s">
        <v>18</v>
      </c>
      <c r="F288" t="s">
        <v>19</v>
      </c>
      <c r="G288" s="1">
        <v>45468.916666666664</v>
      </c>
      <c r="H288" s="1">
        <v>45468.916666666664</v>
      </c>
      <c r="I288" s="1">
        <v>45469.958333333336</v>
      </c>
      <c r="J288" t="s">
        <v>80</v>
      </c>
      <c r="K288" s="1">
        <v>45461.916666666664</v>
      </c>
      <c r="L288" s="1">
        <v>45466.916666666664</v>
      </c>
      <c r="M288" s="1">
        <v>45462.000694444447</v>
      </c>
      <c r="N288" s="1">
        <v>45466.5</v>
      </c>
      <c r="O288" s="1">
        <v>45460.416666666664</v>
      </c>
      <c r="P288" s="1">
        <v>45466.416666666664</v>
      </c>
    </row>
    <row r="289" spans="1:16" hidden="1" x14ac:dyDescent="0.25">
      <c r="A289" s="1">
        <v>45461.540972222225</v>
      </c>
      <c r="B289" t="s">
        <v>192</v>
      </c>
      <c r="C289" t="s">
        <v>282</v>
      </c>
      <c r="D289" t="s">
        <v>320</v>
      </c>
      <c r="E289" t="s">
        <v>46</v>
      </c>
      <c r="F289" t="s">
        <v>13</v>
      </c>
      <c r="G289" s="1">
        <v>45470</v>
      </c>
      <c r="H289" s="1">
        <v>45470</v>
      </c>
      <c r="I289" s="1">
        <v>45471.270833333336</v>
      </c>
      <c r="J289" t="s">
        <v>27</v>
      </c>
      <c r="K289" s="1">
        <v>45463</v>
      </c>
      <c r="L289" s="1">
        <v>45468</v>
      </c>
      <c r="M289" s="1">
        <v>45464.000694444447</v>
      </c>
      <c r="N289" s="1">
        <v>45468.625</v>
      </c>
      <c r="O289" s="1">
        <v>45461.5</v>
      </c>
      <c r="P289" s="1">
        <v>45467.5</v>
      </c>
    </row>
    <row r="290" spans="1:16" hidden="1" x14ac:dyDescent="0.25">
      <c r="A290" s="1">
        <v>45461.540972222225</v>
      </c>
      <c r="B290" t="s">
        <v>148</v>
      </c>
      <c r="C290" t="s">
        <v>573</v>
      </c>
      <c r="D290" t="s">
        <v>568</v>
      </c>
      <c r="E290" t="s">
        <v>121</v>
      </c>
      <c r="F290" t="s">
        <v>122</v>
      </c>
      <c r="G290" s="1">
        <v>45471.916666666664</v>
      </c>
      <c r="H290" s="1">
        <v>45471.916666666664</v>
      </c>
      <c r="I290" s="1">
        <v>45472.583333333336</v>
      </c>
      <c r="J290" t="s">
        <v>16</v>
      </c>
      <c r="K290" s="1">
        <v>45464.916666666664</v>
      </c>
      <c r="L290" s="1">
        <v>45469.916666666664</v>
      </c>
      <c r="M290" s="1">
        <v>45465.000694444447</v>
      </c>
      <c r="N290" s="1">
        <v>45470.625</v>
      </c>
      <c r="O290" s="1">
        <v>45463.416666666664</v>
      </c>
      <c r="P290" s="1">
        <v>45469.416666666664</v>
      </c>
    </row>
    <row r="291" spans="1:16" hidden="1" x14ac:dyDescent="0.25">
      <c r="A291" s="1">
        <v>45461.520138888889</v>
      </c>
      <c r="B291" t="s">
        <v>64</v>
      </c>
      <c r="C291" t="s">
        <v>329</v>
      </c>
      <c r="D291" t="s">
        <v>330</v>
      </c>
      <c r="E291" t="s">
        <v>52</v>
      </c>
      <c r="G291" s="1">
        <v>45467.333333333336</v>
      </c>
      <c r="H291" s="1">
        <v>45467.375</v>
      </c>
      <c r="I291" s="1">
        <v>45467.75</v>
      </c>
      <c r="J291" t="s">
        <v>23</v>
      </c>
      <c r="K291" s="1">
        <v>45460.333333333336</v>
      </c>
      <c r="L291" s="1">
        <v>45465.375</v>
      </c>
      <c r="M291" s="1">
        <v>45461.000694444447</v>
      </c>
      <c r="N291" s="1">
        <v>45466.5</v>
      </c>
      <c r="O291" s="1">
        <v>45458.833333333336</v>
      </c>
      <c r="P291" s="1">
        <v>45464.833333333336</v>
      </c>
    </row>
    <row r="292" spans="1:16" hidden="1" x14ac:dyDescent="0.25">
      <c r="A292" s="1">
        <v>45461.520138888889</v>
      </c>
      <c r="B292" t="s">
        <v>454</v>
      </c>
      <c r="C292" t="s">
        <v>455</v>
      </c>
      <c r="D292" t="s">
        <v>456</v>
      </c>
      <c r="E292" t="s">
        <v>79</v>
      </c>
      <c r="F292" t="s">
        <v>217</v>
      </c>
      <c r="G292" s="1">
        <v>45468</v>
      </c>
      <c r="H292" s="1">
        <v>45467.791666666664</v>
      </c>
      <c r="I292" s="1">
        <v>45468.458333333336</v>
      </c>
      <c r="J292" t="s">
        <v>16</v>
      </c>
      <c r="K292" s="1">
        <v>45461</v>
      </c>
      <c r="L292" s="1">
        <v>45465.791666666664</v>
      </c>
      <c r="M292" s="1">
        <v>45462.000694444447</v>
      </c>
      <c r="N292" s="1">
        <v>45464.416666666664</v>
      </c>
      <c r="O292" s="1">
        <v>45459.5</v>
      </c>
      <c r="P292" s="1">
        <v>45465.5</v>
      </c>
    </row>
    <row r="293" spans="1:16" hidden="1" x14ac:dyDescent="0.25">
      <c r="A293" s="1">
        <v>45461.520138888889</v>
      </c>
      <c r="B293" t="s">
        <v>65</v>
      </c>
      <c r="C293" t="s">
        <v>362</v>
      </c>
      <c r="D293" t="s">
        <v>363</v>
      </c>
      <c r="E293" t="s">
        <v>44</v>
      </c>
      <c r="F293" t="s">
        <v>30</v>
      </c>
      <c r="G293" s="1">
        <v>45472</v>
      </c>
      <c r="H293" s="1">
        <v>45467.916666666664</v>
      </c>
      <c r="I293" s="1">
        <v>45468.541666666664</v>
      </c>
      <c r="J293" t="s">
        <v>13</v>
      </c>
      <c r="K293" s="1">
        <v>45465</v>
      </c>
      <c r="L293" s="1">
        <v>45465.916666666664</v>
      </c>
      <c r="M293" s="1">
        <v>45466.000694444447</v>
      </c>
      <c r="N293" s="1">
        <v>45470.5</v>
      </c>
      <c r="O293" s="1">
        <v>45463.5</v>
      </c>
      <c r="P293" s="1">
        <v>45469.5</v>
      </c>
    </row>
    <row r="294" spans="1:16" hidden="1" x14ac:dyDescent="0.25">
      <c r="A294" s="1">
        <v>45461.520138888889</v>
      </c>
      <c r="B294" t="s">
        <v>141</v>
      </c>
      <c r="C294" t="s">
        <v>358</v>
      </c>
      <c r="D294" t="s">
        <v>358</v>
      </c>
      <c r="E294" t="s">
        <v>732</v>
      </c>
      <c r="F294" t="s">
        <v>125</v>
      </c>
      <c r="G294" s="1">
        <v>45468.5</v>
      </c>
      <c r="H294" s="1">
        <v>45468.5</v>
      </c>
      <c r="I294" s="1">
        <v>45469.125</v>
      </c>
      <c r="J294" t="s">
        <v>17</v>
      </c>
      <c r="K294" s="1">
        <v>45461.5</v>
      </c>
      <c r="L294" s="1">
        <v>45466.5</v>
      </c>
      <c r="M294" s="1">
        <v>45462.000694444447</v>
      </c>
      <c r="N294" s="1">
        <v>45467.5</v>
      </c>
      <c r="O294" s="1">
        <v>45460</v>
      </c>
      <c r="P294" s="1">
        <v>45466</v>
      </c>
    </row>
    <row r="295" spans="1:16" hidden="1" x14ac:dyDescent="0.25">
      <c r="A295" s="1">
        <v>45461.499305555553</v>
      </c>
      <c r="B295" t="s">
        <v>141</v>
      </c>
      <c r="C295" t="s">
        <v>358</v>
      </c>
      <c r="D295" t="s">
        <v>358</v>
      </c>
      <c r="E295" t="s">
        <v>732</v>
      </c>
      <c r="F295" t="s">
        <v>125</v>
      </c>
      <c r="G295" s="1">
        <v>45468.5</v>
      </c>
      <c r="H295" s="1">
        <v>45468.270833333336</v>
      </c>
      <c r="I295" s="1">
        <v>45468.895833333336</v>
      </c>
      <c r="J295" t="s">
        <v>17</v>
      </c>
      <c r="K295" s="1">
        <v>45461.5</v>
      </c>
      <c r="L295" s="1">
        <v>45466.270833333336</v>
      </c>
      <c r="M295" s="1">
        <v>45462.000694444447</v>
      </c>
      <c r="N295" s="1">
        <v>45467.5</v>
      </c>
      <c r="O295" s="1">
        <v>45460</v>
      </c>
      <c r="P295" s="1">
        <v>45466</v>
      </c>
    </row>
    <row r="296" spans="1:16" hidden="1" x14ac:dyDescent="0.25">
      <c r="A296" s="1">
        <v>45461.499305555553</v>
      </c>
      <c r="B296" t="s">
        <v>65</v>
      </c>
      <c r="C296" t="s">
        <v>362</v>
      </c>
      <c r="D296" t="s">
        <v>363</v>
      </c>
      <c r="E296" t="s">
        <v>44</v>
      </c>
      <c r="F296" t="s">
        <v>30</v>
      </c>
      <c r="G296" s="1">
        <v>45472</v>
      </c>
      <c r="H296" s="1">
        <v>45471.833333333336</v>
      </c>
      <c r="I296" s="1">
        <v>45472.458333333336</v>
      </c>
      <c r="J296" t="s">
        <v>13</v>
      </c>
      <c r="K296" s="1">
        <v>45465</v>
      </c>
      <c r="L296" s="1">
        <v>45469.833333333336</v>
      </c>
      <c r="M296" s="1">
        <v>45466.000694444447</v>
      </c>
      <c r="N296" s="1">
        <v>45470.5</v>
      </c>
      <c r="O296" s="1">
        <v>45463.5</v>
      </c>
      <c r="P296" s="1">
        <v>45469.5</v>
      </c>
    </row>
    <row r="297" spans="1:16" hidden="1" x14ac:dyDescent="0.25">
      <c r="A297" s="1">
        <v>45461.478472222225</v>
      </c>
      <c r="B297" t="s">
        <v>454</v>
      </c>
      <c r="C297" t="s">
        <v>455</v>
      </c>
      <c r="D297" t="s">
        <v>456</v>
      </c>
      <c r="E297" t="s">
        <v>79</v>
      </c>
      <c r="F297" t="s">
        <v>217</v>
      </c>
      <c r="G297" s="1">
        <v>45468</v>
      </c>
      <c r="H297" s="1">
        <v>45467.986111111109</v>
      </c>
      <c r="I297" s="1">
        <v>45468.652777777781</v>
      </c>
      <c r="J297" t="s">
        <v>16</v>
      </c>
      <c r="K297" s="1">
        <v>45461</v>
      </c>
      <c r="L297" s="1">
        <v>45465.986111111109</v>
      </c>
      <c r="M297" s="1">
        <v>45462.000694444447</v>
      </c>
      <c r="N297" s="1">
        <v>45464.416666666664</v>
      </c>
      <c r="O297" s="1">
        <v>45459.5</v>
      </c>
      <c r="P297" s="1">
        <v>45465.5</v>
      </c>
    </row>
    <row r="298" spans="1:16" hidden="1" x14ac:dyDescent="0.25">
      <c r="A298" s="1">
        <v>45461.457638888889</v>
      </c>
      <c r="B298" t="s">
        <v>155</v>
      </c>
      <c r="C298" t="s">
        <v>491</v>
      </c>
      <c r="D298" t="s">
        <v>492</v>
      </c>
      <c r="E298" t="s">
        <v>121</v>
      </c>
      <c r="F298" t="s">
        <v>122</v>
      </c>
      <c r="G298" s="1">
        <v>45464.833333333336</v>
      </c>
      <c r="H298" s="1">
        <v>45465.041666666664</v>
      </c>
      <c r="I298" s="1">
        <v>45465.770833333336</v>
      </c>
      <c r="J298" t="s">
        <v>16</v>
      </c>
      <c r="K298" s="1">
        <v>45457.833333333336</v>
      </c>
      <c r="L298" s="1">
        <v>45463.041666666664</v>
      </c>
      <c r="M298" s="1">
        <v>45458.000694444447</v>
      </c>
      <c r="N298" s="1">
        <v>45463.5</v>
      </c>
      <c r="O298" s="1">
        <v>45454.833333333336</v>
      </c>
      <c r="P298" s="1">
        <v>45463.041666666664</v>
      </c>
    </row>
    <row r="299" spans="1:16" hidden="1" x14ac:dyDescent="0.25">
      <c r="A299" s="1">
        <v>45461.457638888889</v>
      </c>
      <c r="B299" t="s">
        <v>64</v>
      </c>
      <c r="C299" t="s">
        <v>329</v>
      </c>
      <c r="D299" t="s">
        <v>330</v>
      </c>
      <c r="E299" t="s">
        <v>52</v>
      </c>
      <c r="G299" s="1">
        <v>45467.333333333336</v>
      </c>
      <c r="H299" s="1">
        <v>45467.333333333336</v>
      </c>
      <c r="I299" s="1">
        <v>45467.708333333336</v>
      </c>
      <c r="J299" t="s">
        <v>23</v>
      </c>
      <c r="K299" s="1">
        <v>45460.333333333336</v>
      </c>
      <c r="L299" s="1">
        <v>45465.333333333336</v>
      </c>
      <c r="M299" s="1">
        <v>45461.000694444447</v>
      </c>
      <c r="N299" s="1">
        <v>45466.5</v>
      </c>
      <c r="O299" s="1">
        <v>45458.833333333336</v>
      </c>
      <c r="P299" s="1">
        <v>45464.833333333336</v>
      </c>
    </row>
    <row r="300" spans="1:16" hidden="1" x14ac:dyDescent="0.25">
      <c r="A300" s="1">
        <v>45461.457638888889</v>
      </c>
      <c r="B300" t="s">
        <v>249</v>
      </c>
      <c r="C300" t="s">
        <v>493</v>
      </c>
      <c r="D300" t="s">
        <v>493</v>
      </c>
      <c r="E300" t="s">
        <v>246</v>
      </c>
      <c r="G300" s="1">
        <v>45466.291666666664</v>
      </c>
      <c r="H300" s="1">
        <v>45466</v>
      </c>
      <c r="I300" s="1">
        <v>45466.208333333336</v>
      </c>
      <c r="J300" t="s">
        <v>76</v>
      </c>
      <c r="K300" s="1">
        <v>45459.291666666664</v>
      </c>
      <c r="L300" s="1">
        <v>45464</v>
      </c>
      <c r="M300" s="1">
        <v>45460.000694444447</v>
      </c>
      <c r="N300" s="1">
        <v>45463</v>
      </c>
      <c r="O300" s="1">
        <v>45456.291666666664</v>
      </c>
      <c r="P300" s="1">
        <v>45464</v>
      </c>
    </row>
    <row r="301" spans="1:16" hidden="1" x14ac:dyDescent="0.25">
      <c r="A301" s="1">
        <v>45461.457638888889</v>
      </c>
      <c r="B301" t="s">
        <v>148</v>
      </c>
      <c r="C301" t="s">
        <v>573</v>
      </c>
      <c r="D301" t="s">
        <v>568</v>
      </c>
      <c r="E301" t="s">
        <v>121</v>
      </c>
      <c r="F301" t="s">
        <v>122</v>
      </c>
      <c r="G301" s="1">
        <v>45471.916666666664</v>
      </c>
      <c r="H301" s="1">
        <v>45471.916666666664</v>
      </c>
      <c r="I301" s="1">
        <v>45472.583333333336</v>
      </c>
      <c r="J301" t="s">
        <v>16</v>
      </c>
      <c r="K301" s="1">
        <v>45464.916666666664</v>
      </c>
      <c r="L301" s="1">
        <v>45469.916666666664</v>
      </c>
      <c r="M301" s="1">
        <v>45465.000694444447</v>
      </c>
      <c r="N301" s="1">
        <v>45468.916666666664</v>
      </c>
      <c r="O301" s="1">
        <v>45463.416666666664</v>
      </c>
      <c r="P301" s="1">
        <v>45469.416666666664</v>
      </c>
    </row>
    <row r="302" spans="1:16" hidden="1" x14ac:dyDescent="0.25">
      <c r="A302" s="1">
        <v>45461.457638888889</v>
      </c>
      <c r="B302" t="s">
        <v>63</v>
      </c>
      <c r="C302" t="s">
        <v>156</v>
      </c>
      <c r="D302" t="s">
        <v>157</v>
      </c>
      <c r="E302" t="s">
        <v>43</v>
      </c>
      <c r="F302" t="s">
        <v>14</v>
      </c>
      <c r="G302" s="1">
        <v>45472.583333333336</v>
      </c>
      <c r="H302" s="1">
        <v>45472.583333333336</v>
      </c>
      <c r="I302" s="1">
        <v>45473.25</v>
      </c>
      <c r="J302" t="s">
        <v>13</v>
      </c>
      <c r="K302" s="1">
        <v>45465.583333333336</v>
      </c>
      <c r="L302" s="1">
        <v>45470.583333333336</v>
      </c>
      <c r="M302" s="1">
        <v>45466.000694444447</v>
      </c>
      <c r="N302" s="1">
        <v>45469.583333333336</v>
      </c>
      <c r="O302" s="1">
        <v>45464.083333333336</v>
      </c>
      <c r="P302" s="1">
        <v>45470.083333333336</v>
      </c>
    </row>
    <row r="303" spans="1:16" hidden="1" x14ac:dyDescent="0.25">
      <c r="A303" s="1">
        <v>45461.457638888889</v>
      </c>
      <c r="B303" t="s">
        <v>634</v>
      </c>
      <c r="C303" t="s">
        <v>467</v>
      </c>
      <c r="D303" t="s">
        <v>472</v>
      </c>
      <c r="E303" t="s">
        <v>78</v>
      </c>
      <c r="F303" t="s">
        <v>13</v>
      </c>
      <c r="G303" s="1">
        <v>45472.75</v>
      </c>
      <c r="H303" s="1">
        <v>45472.75</v>
      </c>
      <c r="I303" s="1">
        <v>45474.25</v>
      </c>
      <c r="J303" t="s">
        <v>14</v>
      </c>
      <c r="K303" s="1">
        <v>45465.75</v>
      </c>
      <c r="L303" s="1">
        <v>45470.75</v>
      </c>
      <c r="M303" s="1">
        <v>45466.000694444447</v>
      </c>
      <c r="N303" s="1">
        <v>45469.75</v>
      </c>
      <c r="O303" s="1">
        <v>45463.25</v>
      </c>
      <c r="P303" s="1">
        <v>45469.25</v>
      </c>
    </row>
    <row r="304" spans="1:16" hidden="1" x14ac:dyDescent="0.25">
      <c r="A304" s="1">
        <v>45461.457638888889</v>
      </c>
      <c r="B304" t="s">
        <v>152</v>
      </c>
      <c r="C304" t="s">
        <v>290</v>
      </c>
      <c r="D304" t="s">
        <v>256</v>
      </c>
      <c r="E304" t="s">
        <v>42</v>
      </c>
      <c r="F304" t="s">
        <v>14</v>
      </c>
      <c r="G304" s="1">
        <v>45473.291666666664</v>
      </c>
      <c r="H304" s="1">
        <v>45473.291666666664</v>
      </c>
      <c r="I304" s="1">
        <v>45473.958333333336</v>
      </c>
      <c r="J304" t="s">
        <v>17</v>
      </c>
      <c r="K304" s="1">
        <v>45466.291666666664</v>
      </c>
      <c r="L304" s="1">
        <v>45471.291666666664</v>
      </c>
      <c r="M304" s="1">
        <v>45467.000694444447</v>
      </c>
      <c r="N304" s="1">
        <v>45470.291666666664</v>
      </c>
      <c r="O304" s="1">
        <v>45464.791666666664</v>
      </c>
      <c r="P304" s="1">
        <v>45470.791666666664</v>
      </c>
    </row>
    <row r="305" spans="1:16" hidden="1" x14ac:dyDescent="0.25">
      <c r="A305" s="1">
        <v>45461.457638888889</v>
      </c>
      <c r="B305" t="s">
        <v>357</v>
      </c>
      <c r="C305" t="s">
        <v>284</v>
      </c>
      <c r="D305" t="s">
        <v>255</v>
      </c>
      <c r="E305" t="s">
        <v>45</v>
      </c>
      <c r="F305" t="s">
        <v>14</v>
      </c>
      <c r="G305" s="1">
        <v>45474</v>
      </c>
      <c r="H305" s="1">
        <v>45474</v>
      </c>
      <c r="I305" s="1">
        <v>45475</v>
      </c>
      <c r="J305" t="s">
        <v>16</v>
      </c>
      <c r="K305" s="1">
        <v>45467</v>
      </c>
      <c r="L305" s="1">
        <v>45472</v>
      </c>
      <c r="M305" s="1">
        <v>45468.000694444447</v>
      </c>
      <c r="N305" s="1">
        <v>45471</v>
      </c>
      <c r="O305" s="1">
        <v>45465.5</v>
      </c>
      <c r="P305" s="1">
        <v>45471.5</v>
      </c>
    </row>
    <row r="306" spans="1:16" hidden="1" x14ac:dyDescent="0.25">
      <c r="A306" s="1">
        <v>45461.457638888889</v>
      </c>
      <c r="B306" t="s">
        <v>64</v>
      </c>
      <c r="C306" t="s">
        <v>368</v>
      </c>
      <c r="D306" t="s">
        <v>369</v>
      </c>
      <c r="E306" t="s">
        <v>52</v>
      </c>
      <c r="G306" s="1">
        <v>45474.333333333336</v>
      </c>
      <c r="H306" s="1">
        <v>45474.333333333336</v>
      </c>
      <c r="I306" s="1">
        <v>45474.708333333336</v>
      </c>
      <c r="J306" t="s">
        <v>23</v>
      </c>
      <c r="K306" s="1">
        <v>45467.333333333336</v>
      </c>
      <c r="L306" s="1">
        <v>45472.333333333336</v>
      </c>
      <c r="M306" s="1">
        <v>45468.000694444447</v>
      </c>
      <c r="N306" s="1">
        <v>45471.333333333336</v>
      </c>
      <c r="O306" s="1">
        <v>45465.833333333336</v>
      </c>
      <c r="P306" s="1">
        <v>45471.833333333336</v>
      </c>
    </row>
    <row r="307" spans="1:16" hidden="1" x14ac:dyDescent="0.25">
      <c r="A307" s="1">
        <v>45461.457638888889</v>
      </c>
      <c r="B307" t="s">
        <v>564</v>
      </c>
      <c r="C307" t="s">
        <v>287</v>
      </c>
      <c r="D307" t="s">
        <v>287</v>
      </c>
      <c r="E307" t="s">
        <v>138</v>
      </c>
      <c r="F307" t="s">
        <v>139</v>
      </c>
      <c r="G307" s="1">
        <v>45475.25</v>
      </c>
      <c r="H307" s="1">
        <v>45475.25</v>
      </c>
      <c r="I307" s="1">
        <v>45476.25</v>
      </c>
      <c r="J307" t="s">
        <v>17</v>
      </c>
      <c r="K307" s="1">
        <v>45468.25</v>
      </c>
      <c r="L307" s="1">
        <v>45473.25</v>
      </c>
      <c r="M307" s="1">
        <v>45469.000694444447</v>
      </c>
      <c r="N307" s="1">
        <v>45472.25</v>
      </c>
      <c r="O307" s="1">
        <v>45466.75</v>
      </c>
      <c r="P307" s="1">
        <v>45472.75</v>
      </c>
    </row>
    <row r="308" spans="1:16" hidden="1" x14ac:dyDescent="0.25">
      <c r="A308" s="1">
        <v>45461.457638888889</v>
      </c>
      <c r="B308" t="s">
        <v>128</v>
      </c>
      <c r="C308" t="s">
        <v>362</v>
      </c>
      <c r="D308" t="s">
        <v>363</v>
      </c>
      <c r="E308" t="s">
        <v>44</v>
      </c>
      <c r="F308" t="s">
        <v>30</v>
      </c>
      <c r="G308" s="1">
        <v>45478.75</v>
      </c>
      <c r="H308" s="1">
        <v>45475.833333333336</v>
      </c>
      <c r="I308" s="1">
        <v>45476.458333333336</v>
      </c>
      <c r="J308" t="s">
        <v>13</v>
      </c>
      <c r="K308" s="1">
        <v>45471.75</v>
      </c>
      <c r="L308" s="1">
        <v>45473.833333333336</v>
      </c>
      <c r="M308" s="1">
        <v>45472.000694444447</v>
      </c>
      <c r="N308" s="1">
        <v>45472.833333333336</v>
      </c>
      <c r="O308" s="1">
        <v>45470.25</v>
      </c>
      <c r="P308" s="1">
        <v>45476.25</v>
      </c>
    </row>
    <row r="309" spans="1:16" hidden="1" x14ac:dyDescent="0.25">
      <c r="A309" s="1">
        <v>45461.457638888889</v>
      </c>
      <c r="B309" t="s">
        <v>478</v>
      </c>
      <c r="C309" t="s">
        <v>471</v>
      </c>
      <c r="D309" t="s">
        <v>471</v>
      </c>
      <c r="E309" t="s">
        <v>273</v>
      </c>
      <c r="F309" t="s">
        <v>125</v>
      </c>
      <c r="G309" s="1">
        <v>45476.416666666664</v>
      </c>
      <c r="H309" s="1">
        <v>45476.416666666664</v>
      </c>
      <c r="I309" s="1">
        <v>45477.25</v>
      </c>
      <c r="J309" t="s">
        <v>80</v>
      </c>
      <c r="K309" s="1">
        <v>45469.416666666664</v>
      </c>
      <c r="L309" s="1">
        <v>45474.416666666664</v>
      </c>
      <c r="M309" s="1">
        <v>45470.000694444447</v>
      </c>
      <c r="N309" s="1">
        <v>45473.416666666664</v>
      </c>
      <c r="O309" s="1">
        <v>45467.916666666664</v>
      </c>
      <c r="P309" s="1">
        <v>45473.916666666664</v>
      </c>
    </row>
    <row r="310" spans="1:16" hidden="1" x14ac:dyDescent="0.25">
      <c r="A310" s="1">
        <v>45461.457638888889</v>
      </c>
      <c r="B310" t="s">
        <v>126</v>
      </c>
      <c r="C310" t="s">
        <v>604</v>
      </c>
      <c r="D310" t="s">
        <v>366</v>
      </c>
      <c r="E310" t="s">
        <v>129</v>
      </c>
      <c r="F310" t="s">
        <v>21</v>
      </c>
      <c r="G310" s="1">
        <v>45476.416666666664</v>
      </c>
      <c r="H310" s="1">
        <v>45476.416666666664</v>
      </c>
      <c r="I310" s="1">
        <v>45477.114583333336</v>
      </c>
      <c r="J310" t="s">
        <v>19</v>
      </c>
      <c r="K310" s="1">
        <v>45469.416666666664</v>
      </c>
      <c r="L310" s="1">
        <v>45474.416666666664</v>
      </c>
      <c r="M310" s="1">
        <v>45470.000694444447</v>
      </c>
      <c r="N310" s="1">
        <v>45473.416666666664</v>
      </c>
      <c r="O310" s="1">
        <v>45467.916666666664</v>
      </c>
      <c r="P310" s="1">
        <v>45473.916666666664</v>
      </c>
    </row>
    <row r="311" spans="1:16" hidden="1" x14ac:dyDescent="0.25">
      <c r="A311" s="1">
        <v>45461.436805555553</v>
      </c>
      <c r="B311" t="s">
        <v>131</v>
      </c>
      <c r="C311" t="s">
        <v>289</v>
      </c>
      <c r="D311" t="s">
        <v>289</v>
      </c>
      <c r="E311" t="s">
        <v>273</v>
      </c>
      <c r="F311" t="s">
        <v>125</v>
      </c>
      <c r="G311" s="1">
        <v>45462.416666666664</v>
      </c>
      <c r="H311" s="1">
        <v>45464.291666666664</v>
      </c>
      <c r="I311" s="1">
        <v>45465.1875</v>
      </c>
      <c r="J311" t="s">
        <v>80</v>
      </c>
      <c r="K311" s="1">
        <v>45455.416666666664</v>
      </c>
      <c r="L311" s="1">
        <v>45462.291666666664</v>
      </c>
      <c r="M311" s="1">
        <v>45456.000694444447</v>
      </c>
      <c r="N311" s="1">
        <v>45462.5</v>
      </c>
      <c r="O311" s="1">
        <v>45453.916666666664</v>
      </c>
      <c r="P311" s="1">
        <v>45459.916666666664</v>
      </c>
    </row>
    <row r="312" spans="1:16" hidden="1" x14ac:dyDescent="0.25">
      <c r="A312" s="1">
        <v>45461.436805555553</v>
      </c>
      <c r="B312" t="s">
        <v>489</v>
      </c>
      <c r="C312" t="s">
        <v>342</v>
      </c>
      <c r="D312" t="s">
        <v>342</v>
      </c>
      <c r="E312" t="s">
        <v>436</v>
      </c>
      <c r="F312" t="s">
        <v>75</v>
      </c>
      <c r="G312" s="1">
        <v>45463.541666666664</v>
      </c>
      <c r="H312" s="1">
        <v>45464.833333333336</v>
      </c>
      <c r="I312" s="1">
        <v>45465.666666666664</v>
      </c>
      <c r="J312" t="s">
        <v>13</v>
      </c>
      <c r="K312" s="1">
        <v>45456.541666666664</v>
      </c>
      <c r="L312" s="1">
        <v>45462.833333333336</v>
      </c>
      <c r="M312" s="1">
        <v>45457.000694444447</v>
      </c>
      <c r="N312" s="1">
        <v>45462.5</v>
      </c>
      <c r="O312" s="1">
        <v>45455.041666666664</v>
      </c>
      <c r="P312" s="1">
        <v>45461.041666666664</v>
      </c>
    </row>
    <row r="313" spans="1:16" hidden="1" x14ac:dyDescent="0.25">
      <c r="A313" s="1">
        <v>45461.436805555553</v>
      </c>
      <c r="B313" t="s">
        <v>490</v>
      </c>
      <c r="C313" t="s">
        <v>386</v>
      </c>
      <c r="D313" t="s">
        <v>471</v>
      </c>
      <c r="E313" t="s">
        <v>78</v>
      </c>
      <c r="F313" t="s">
        <v>13</v>
      </c>
      <c r="G313" s="1">
        <v>45466</v>
      </c>
      <c r="H313" s="1">
        <v>45465.875</v>
      </c>
      <c r="I313" s="1">
        <v>45467.208333333336</v>
      </c>
      <c r="J313" t="s">
        <v>14</v>
      </c>
      <c r="K313" s="1">
        <v>45459</v>
      </c>
      <c r="L313" s="1">
        <v>45463.875</v>
      </c>
      <c r="M313" s="1">
        <v>45460.000694444447</v>
      </c>
      <c r="N313" s="1">
        <v>45464.5</v>
      </c>
      <c r="O313" s="1">
        <v>45456.5</v>
      </c>
      <c r="P313" s="1">
        <v>45462.5</v>
      </c>
    </row>
    <row r="314" spans="1:16" hidden="1" x14ac:dyDescent="0.25">
      <c r="A314" s="1">
        <v>45461.436805555553</v>
      </c>
      <c r="B314" t="s">
        <v>249</v>
      </c>
      <c r="C314" t="s">
        <v>493</v>
      </c>
      <c r="D314" t="s">
        <v>493</v>
      </c>
      <c r="E314" t="s">
        <v>246</v>
      </c>
      <c r="G314" s="1">
        <v>45466.291666666664</v>
      </c>
      <c r="H314" s="1">
        <v>45466.291666666664</v>
      </c>
      <c r="I314" s="1">
        <v>45466.5</v>
      </c>
      <c r="J314" t="s">
        <v>76</v>
      </c>
      <c r="K314" s="1">
        <v>45459.291666666664</v>
      </c>
      <c r="L314" s="1">
        <v>45464.291666666664</v>
      </c>
      <c r="M314" s="1">
        <v>45460.000694444447</v>
      </c>
      <c r="N314" s="1">
        <v>45463.291666666664</v>
      </c>
      <c r="O314" s="1">
        <v>45456.291666666664</v>
      </c>
      <c r="P314" s="1">
        <v>45464.291666666664</v>
      </c>
    </row>
    <row r="315" spans="1:16" hidden="1" x14ac:dyDescent="0.25">
      <c r="A315" s="1">
        <v>45461.436805555553</v>
      </c>
      <c r="B315" t="s">
        <v>149</v>
      </c>
      <c r="C315" t="s">
        <v>344</v>
      </c>
      <c r="D315" t="s">
        <v>303</v>
      </c>
      <c r="E315" t="s">
        <v>45</v>
      </c>
      <c r="F315" t="s">
        <v>14</v>
      </c>
      <c r="G315" s="1">
        <v>45488.000694444447</v>
      </c>
      <c r="H315" s="1">
        <v>45488.750694444447</v>
      </c>
      <c r="I315" s="1">
        <v>45489.458333333336</v>
      </c>
      <c r="J315" t="s">
        <v>16</v>
      </c>
      <c r="K315" s="1">
        <v>45481.000694444447</v>
      </c>
      <c r="L315" s="1">
        <v>45486.750694444447</v>
      </c>
      <c r="M315" s="1">
        <v>45482.000694444447</v>
      </c>
      <c r="N315" s="1">
        <v>45485.750694444447</v>
      </c>
      <c r="O315" s="1">
        <v>45479.500694444447</v>
      </c>
      <c r="P315" s="1">
        <v>45485.500694444447</v>
      </c>
    </row>
    <row r="316" spans="1:16" hidden="1" x14ac:dyDescent="0.25">
      <c r="A316" s="1">
        <v>45461.404861111114</v>
      </c>
      <c r="B316" t="s">
        <v>478</v>
      </c>
      <c r="C316" t="s">
        <v>315</v>
      </c>
      <c r="D316" t="s">
        <v>315</v>
      </c>
      <c r="E316" t="s">
        <v>436</v>
      </c>
      <c r="F316" t="s">
        <v>75</v>
      </c>
      <c r="G316" s="1">
        <v>45459.75</v>
      </c>
      <c r="H316" s="1">
        <v>45464.041666666664</v>
      </c>
      <c r="I316" s="1">
        <v>45464.75</v>
      </c>
      <c r="J316" t="s">
        <v>13</v>
      </c>
      <c r="K316" s="1">
        <v>45452.75</v>
      </c>
      <c r="L316" s="1">
        <v>45462.041666666664</v>
      </c>
      <c r="M316" s="1">
        <v>45453.000694444447</v>
      </c>
      <c r="N316" s="1">
        <v>45462.625</v>
      </c>
      <c r="O316" s="1">
        <v>45451.25</v>
      </c>
      <c r="P316" s="1">
        <v>45457.25</v>
      </c>
    </row>
    <row r="317" spans="1:16" hidden="1" x14ac:dyDescent="0.25">
      <c r="A317" s="1">
        <v>45461.404861111114</v>
      </c>
      <c r="B317" t="s">
        <v>131</v>
      </c>
      <c r="C317" t="s">
        <v>289</v>
      </c>
      <c r="D317" t="s">
        <v>289</v>
      </c>
      <c r="E317" t="s">
        <v>273</v>
      </c>
      <c r="F317" t="s">
        <v>125</v>
      </c>
      <c r="G317" s="1">
        <v>45462.416666666664</v>
      </c>
      <c r="H317" s="1">
        <v>45464.104166666664</v>
      </c>
      <c r="I317" s="1">
        <v>45465</v>
      </c>
      <c r="J317" t="s">
        <v>80</v>
      </c>
      <c r="K317" s="1">
        <v>45455.416666666664</v>
      </c>
      <c r="L317" s="1">
        <v>45462.104166666664</v>
      </c>
      <c r="M317" s="1">
        <v>45456.000694444447</v>
      </c>
      <c r="N317" s="1">
        <v>45462.5</v>
      </c>
      <c r="O317" s="1">
        <v>45453.916666666664</v>
      </c>
      <c r="P317" s="1">
        <v>45459.916666666664</v>
      </c>
    </row>
    <row r="318" spans="1:16" hidden="1" x14ac:dyDescent="0.25">
      <c r="A318" s="1">
        <v>45460.7</v>
      </c>
      <c r="B318" t="s">
        <v>152</v>
      </c>
      <c r="C318" t="s">
        <v>290</v>
      </c>
      <c r="D318" t="s">
        <v>256</v>
      </c>
      <c r="E318" t="s">
        <v>42</v>
      </c>
      <c r="F318" t="s">
        <v>14</v>
      </c>
      <c r="G318" s="1">
        <v>45473.291666666664</v>
      </c>
      <c r="H318" s="1">
        <v>45473.291666666664</v>
      </c>
      <c r="I318" s="1">
        <v>45473.958333333336</v>
      </c>
      <c r="J318" t="s">
        <v>17</v>
      </c>
      <c r="K318" s="1">
        <v>45466.291666666664</v>
      </c>
      <c r="L318" s="1">
        <v>45471.291666666664</v>
      </c>
      <c r="M318" s="1">
        <v>45467.000694444447</v>
      </c>
      <c r="N318" s="1">
        <v>45470.625</v>
      </c>
      <c r="O318" s="1">
        <v>45464.791666666664</v>
      </c>
      <c r="P318" s="1">
        <v>45470.791666666664</v>
      </c>
    </row>
    <row r="319" spans="1:16" hidden="1" x14ac:dyDescent="0.25">
      <c r="A319" s="1">
        <v>45460.7</v>
      </c>
      <c r="B319" t="s">
        <v>149</v>
      </c>
      <c r="C319" t="s">
        <v>344</v>
      </c>
      <c r="D319" t="s">
        <v>303</v>
      </c>
      <c r="E319" t="s">
        <v>45</v>
      </c>
      <c r="F319" t="s">
        <v>14</v>
      </c>
      <c r="G319" s="1">
        <v>45495.000694444447</v>
      </c>
      <c r="H319" s="1">
        <v>45488.750694444447</v>
      </c>
      <c r="I319" s="1">
        <v>45489.458333333336</v>
      </c>
      <c r="J319" t="s">
        <v>16</v>
      </c>
      <c r="K319" s="1">
        <v>45488.000694444447</v>
      </c>
      <c r="L319" s="1">
        <v>45486.750694444447</v>
      </c>
      <c r="M319" s="1">
        <v>45489.000694444447</v>
      </c>
      <c r="N319" s="1">
        <v>45485.750694444447</v>
      </c>
      <c r="O319" s="1">
        <v>45486.500694444447</v>
      </c>
      <c r="P319" s="1">
        <v>45492.500694444447</v>
      </c>
    </row>
    <row r="320" spans="1:16" hidden="1" x14ac:dyDescent="0.25">
      <c r="A320" s="1">
        <v>45460.69027777778</v>
      </c>
      <c r="B320" t="s">
        <v>136</v>
      </c>
      <c r="C320" t="s">
        <v>156</v>
      </c>
      <c r="D320" t="s">
        <v>157</v>
      </c>
      <c r="E320" t="s">
        <v>43</v>
      </c>
      <c r="F320" t="s">
        <v>14</v>
      </c>
      <c r="G320" s="1">
        <v>45465.5</v>
      </c>
      <c r="H320" s="1">
        <v>45465.479166666664</v>
      </c>
      <c r="I320" s="1">
        <v>45465.9375</v>
      </c>
      <c r="J320" t="s">
        <v>13</v>
      </c>
      <c r="K320" s="1">
        <v>45458.5</v>
      </c>
      <c r="L320" s="1">
        <v>45463.479166666664</v>
      </c>
      <c r="M320" s="1">
        <v>45459.000694444447</v>
      </c>
      <c r="N320" s="1">
        <v>45463.625</v>
      </c>
      <c r="O320" s="1">
        <v>45457</v>
      </c>
      <c r="P320" s="1">
        <v>45463</v>
      </c>
    </row>
    <row r="321" spans="1:16" hidden="1" x14ac:dyDescent="0.25">
      <c r="A321" s="1">
        <v>45460.658333333333</v>
      </c>
      <c r="B321" t="s">
        <v>145</v>
      </c>
      <c r="C321" t="s">
        <v>318</v>
      </c>
      <c r="D321" t="s">
        <v>302</v>
      </c>
      <c r="E321" t="s">
        <v>45</v>
      </c>
      <c r="F321" t="s">
        <v>14</v>
      </c>
      <c r="G321" s="1">
        <v>45487.000694444447</v>
      </c>
      <c r="H321" s="1">
        <v>45487.521527777775</v>
      </c>
      <c r="I321" s="1">
        <v>45488.229166666664</v>
      </c>
      <c r="J321" t="s">
        <v>16</v>
      </c>
      <c r="K321" s="1">
        <v>45480.000694444447</v>
      </c>
      <c r="L321" s="1">
        <v>45485.521527777775</v>
      </c>
      <c r="M321" s="1">
        <v>45481.000694444447</v>
      </c>
      <c r="N321" s="1">
        <v>45484.521527777775</v>
      </c>
      <c r="O321" s="1">
        <v>45478.500694444447</v>
      </c>
      <c r="P321" s="1">
        <v>45484.500694444447</v>
      </c>
    </row>
    <row r="322" spans="1:16" hidden="1" x14ac:dyDescent="0.25">
      <c r="A322" s="1">
        <v>45460.658333333333</v>
      </c>
      <c r="B322" t="s">
        <v>149</v>
      </c>
      <c r="C322" t="s">
        <v>344</v>
      </c>
      <c r="D322" t="s">
        <v>303</v>
      </c>
      <c r="E322" t="s">
        <v>45</v>
      </c>
      <c r="F322" t="s">
        <v>14</v>
      </c>
      <c r="G322" s="1">
        <v>45495.000694444447</v>
      </c>
      <c r="H322" s="1">
        <v>45488.445138888892</v>
      </c>
      <c r="I322" s="1">
        <v>45489.152777777781</v>
      </c>
      <c r="J322" t="s">
        <v>16</v>
      </c>
      <c r="K322" s="1">
        <v>45488.000694444447</v>
      </c>
      <c r="L322" s="1">
        <v>45486.445138888892</v>
      </c>
      <c r="M322" s="1">
        <v>45489.000694444447</v>
      </c>
      <c r="N322" s="1">
        <v>45485.445138888892</v>
      </c>
      <c r="O322" s="1">
        <v>45486.500694444447</v>
      </c>
      <c r="P322" s="1">
        <v>45492.500694444447</v>
      </c>
    </row>
    <row r="323" spans="1:16" hidden="1" x14ac:dyDescent="0.25">
      <c r="A323" s="1">
        <v>45460.435416666667</v>
      </c>
      <c r="B323" t="s">
        <v>642</v>
      </c>
      <c r="C323" t="s">
        <v>643</v>
      </c>
      <c r="D323" t="s">
        <v>643</v>
      </c>
      <c r="E323" t="s">
        <v>18</v>
      </c>
      <c r="F323" t="s">
        <v>19</v>
      </c>
      <c r="G323" s="1">
        <v>45475.916666666664</v>
      </c>
      <c r="H323" s="1">
        <v>45475.916666666664</v>
      </c>
      <c r="I323" s="1">
        <v>45476.958333333336</v>
      </c>
      <c r="J323" t="s">
        <v>80</v>
      </c>
      <c r="K323" s="1">
        <v>45468.916666666664</v>
      </c>
      <c r="L323" s="1">
        <v>45473.916666666664</v>
      </c>
      <c r="M323" s="1">
        <v>45469.000694444447</v>
      </c>
      <c r="N323" s="1">
        <v>45474.5</v>
      </c>
      <c r="O323" s="1">
        <v>45467.416666666664</v>
      </c>
      <c r="P323" s="1">
        <v>45473.416666666664</v>
      </c>
    </row>
    <row r="324" spans="1:16" hidden="1" x14ac:dyDescent="0.25">
      <c r="A324" s="1">
        <v>45460.435416666667</v>
      </c>
      <c r="B324" t="s">
        <v>128</v>
      </c>
      <c r="C324" t="s">
        <v>362</v>
      </c>
      <c r="D324" t="s">
        <v>363</v>
      </c>
      <c r="E324" t="s">
        <v>44</v>
      </c>
      <c r="F324" t="s">
        <v>30</v>
      </c>
      <c r="G324" s="1">
        <v>45478.75</v>
      </c>
      <c r="H324" s="1">
        <v>45478.381944444445</v>
      </c>
      <c r="I324" s="1">
        <v>45479.006944444445</v>
      </c>
      <c r="J324" t="s">
        <v>13</v>
      </c>
      <c r="K324" s="1">
        <v>45471.75</v>
      </c>
      <c r="L324" s="1">
        <v>45476.381944444445</v>
      </c>
      <c r="M324" s="1">
        <v>45472.000694444447</v>
      </c>
      <c r="N324" s="1">
        <v>45475.381944444445</v>
      </c>
      <c r="O324" s="1">
        <v>45470.25</v>
      </c>
      <c r="P324" s="1">
        <v>45476.25</v>
      </c>
    </row>
    <row r="325" spans="1:16" hidden="1" x14ac:dyDescent="0.25">
      <c r="A325" s="1">
        <v>45460.435416666667</v>
      </c>
      <c r="B325" t="s">
        <v>184</v>
      </c>
      <c r="C325" t="s">
        <v>689</v>
      </c>
      <c r="D325" t="s">
        <v>575</v>
      </c>
      <c r="E325" t="s">
        <v>121</v>
      </c>
      <c r="F325" t="s">
        <v>122</v>
      </c>
      <c r="G325" s="1">
        <v>45478.833333333336</v>
      </c>
      <c r="H325" s="1">
        <v>45478.833333333336</v>
      </c>
      <c r="I325" s="1">
        <v>45479.5625</v>
      </c>
      <c r="J325" t="s">
        <v>16</v>
      </c>
      <c r="K325" s="1">
        <v>45471.833333333336</v>
      </c>
      <c r="L325" s="1">
        <v>45476.833333333336</v>
      </c>
      <c r="M325" s="1">
        <v>45472.000694444447</v>
      </c>
      <c r="N325" s="1">
        <v>45475.833333333336</v>
      </c>
      <c r="O325" s="1">
        <v>45470.333333333336</v>
      </c>
      <c r="P325" s="1">
        <v>45476.333333333336</v>
      </c>
    </row>
    <row r="326" spans="1:16" hidden="1" x14ac:dyDescent="0.25">
      <c r="A326" s="1">
        <v>45460.435416666667</v>
      </c>
      <c r="B326" t="s">
        <v>310</v>
      </c>
      <c r="C326" t="s">
        <v>518</v>
      </c>
      <c r="D326" t="s">
        <v>474</v>
      </c>
      <c r="E326" t="s">
        <v>78</v>
      </c>
      <c r="F326" t="s">
        <v>13</v>
      </c>
      <c r="G326" s="1">
        <v>45479.75</v>
      </c>
      <c r="H326" s="1">
        <v>45479.75</v>
      </c>
      <c r="I326" s="1">
        <v>45481.375</v>
      </c>
      <c r="J326" t="s">
        <v>14</v>
      </c>
      <c r="K326" s="1">
        <v>45472.75</v>
      </c>
      <c r="L326" s="1">
        <v>45477.75</v>
      </c>
      <c r="M326" s="1">
        <v>45473.000694444447</v>
      </c>
      <c r="N326" s="1">
        <v>45476.75</v>
      </c>
      <c r="O326" s="1">
        <v>45470.25</v>
      </c>
      <c r="P326" s="1">
        <v>45476.25</v>
      </c>
    </row>
    <row r="327" spans="1:16" hidden="1" x14ac:dyDescent="0.25">
      <c r="A327" s="1">
        <v>45460.435416666667</v>
      </c>
      <c r="B327" t="s">
        <v>267</v>
      </c>
      <c r="C327" t="s">
        <v>304</v>
      </c>
      <c r="D327" t="s">
        <v>257</v>
      </c>
      <c r="E327" t="s">
        <v>42</v>
      </c>
      <c r="F327" t="s">
        <v>14</v>
      </c>
      <c r="G327" s="1">
        <v>45480.291666666664</v>
      </c>
      <c r="H327" s="1">
        <v>45480.288194444445</v>
      </c>
      <c r="I327" s="1">
        <v>45480.954861111109</v>
      </c>
      <c r="J327" t="s">
        <v>17</v>
      </c>
      <c r="K327" s="1">
        <v>45473.291666666664</v>
      </c>
      <c r="L327" s="1">
        <v>45478.288194444445</v>
      </c>
      <c r="M327" s="1">
        <v>45474.000694444447</v>
      </c>
      <c r="N327" s="1">
        <v>45477.288194444445</v>
      </c>
      <c r="O327" s="1">
        <v>45471.791666666664</v>
      </c>
      <c r="P327" s="1">
        <v>45477.791666666664</v>
      </c>
    </row>
    <row r="328" spans="1:16" hidden="1" x14ac:dyDescent="0.25">
      <c r="A328" s="1">
        <v>45460.435416666667</v>
      </c>
      <c r="B328" t="s">
        <v>133</v>
      </c>
      <c r="C328" t="s">
        <v>488</v>
      </c>
      <c r="D328" t="s">
        <v>186</v>
      </c>
      <c r="E328" t="s">
        <v>45</v>
      </c>
      <c r="F328" t="s">
        <v>14</v>
      </c>
      <c r="G328" s="1">
        <v>45481</v>
      </c>
      <c r="H328" s="1">
        <v>45481.049305555556</v>
      </c>
      <c r="I328" s="1">
        <v>45481.756944444445</v>
      </c>
      <c r="J328" t="s">
        <v>16</v>
      </c>
      <c r="K328" s="1">
        <v>45474</v>
      </c>
      <c r="L328" s="1">
        <v>45479.049305555556</v>
      </c>
      <c r="M328" s="1">
        <v>45475.000694444447</v>
      </c>
      <c r="N328" s="1">
        <v>45478.049305555556</v>
      </c>
      <c r="O328" s="1">
        <v>45472.5</v>
      </c>
      <c r="P328" s="1">
        <v>45478.5</v>
      </c>
    </row>
    <row r="329" spans="1:16" hidden="1" x14ac:dyDescent="0.25">
      <c r="A329" s="1">
        <v>45460.435416666667</v>
      </c>
      <c r="B329" t="s">
        <v>250</v>
      </c>
      <c r="C329" t="s">
        <v>306</v>
      </c>
      <c r="D329" t="s">
        <v>258</v>
      </c>
      <c r="E329" t="s">
        <v>45</v>
      </c>
      <c r="F329" t="s">
        <v>14</v>
      </c>
      <c r="G329" s="1">
        <v>45481.000694444447</v>
      </c>
      <c r="H329" s="1">
        <v>45481.896527777775</v>
      </c>
      <c r="I329" s="1">
        <v>45482.520833333336</v>
      </c>
      <c r="J329" t="s">
        <v>16</v>
      </c>
      <c r="K329" s="1">
        <v>45474.000694444447</v>
      </c>
      <c r="L329" s="1">
        <v>45479.896527777775</v>
      </c>
      <c r="M329" s="1">
        <v>45475.000694444447</v>
      </c>
      <c r="N329" s="1">
        <v>45478.896527777775</v>
      </c>
      <c r="O329" s="1">
        <v>45472.500694444447</v>
      </c>
      <c r="P329" s="1">
        <v>45478.500694444447</v>
      </c>
    </row>
    <row r="330" spans="1:16" hidden="1" x14ac:dyDescent="0.25">
      <c r="A330" s="1">
        <v>45460.435416666667</v>
      </c>
      <c r="B330" t="s">
        <v>140</v>
      </c>
      <c r="C330" t="s">
        <v>382</v>
      </c>
      <c r="D330" t="s">
        <v>383</v>
      </c>
      <c r="E330" t="s">
        <v>77</v>
      </c>
      <c r="F330" t="s">
        <v>14</v>
      </c>
      <c r="G330" s="1">
        <v>45481.958333333336</v>
      </c>
      <c r="H330" s="1">
        <v>45481.9375</v>
      </c>
      <c r="I330" s="1">
        <v>45482.8125</v>
      </c>
      <c r="J330" t="s">
        <v>76</v>
      </c>
      <c r="K330" s="1">
        <v>45474.958333333336</v>
      </c>
      <c r="L330" s="1">
        <v>45479.9375</v>
      </c>
      <c r="M330" s="1">
        <v>45475.000694444447</v>
      </c>
      <c r="N330" s="1">
        <v>45478.9375</v>
      </c>
      <c r="O330" s="1">
        <v>45473.458333333336</v>
      </c>
      <c r="P330" s="1">
        <v>45479.458333333336</v>
      </c>
    </row>
    <row r="331" spans="1:16" hidden="1" x14ac:dyDescent="0.25">
      <c r="A331" s="1">
        <v>45460.435416666667</v>
      </c>
      <c r="B331" t="s">
        <v>274</v>
      </c>
      <c r="C331" t="s">
        <v>494</v>
      </c>
      <c r="D331" t="s">
        <v>495</v>
      </c>
      <c r="E331" t="s">
        <v>79</v>
      </c>
      <c r="F331" t="s">
        <v>14</v>
      </c>
      <c r="G331" s="1">
        <v>45482.000694444447</v>
      </c>
      <c r="H331" s="1">
        <v>45482.618055555555</v>
      </c>
      <c r="I331" s="1">
        <v>45483.284722222219</v>
      </c>
      <c r="J331" t="s">
        <v>16</v>
      </c>
      <c r="K331" s="1">
        <v>45475.000694444447</v>
      </c>
      <c r="L331" s="1">
        <v>45480.618055555555</v>
      </c>
      <c r="M331" s="1">
        <v>45476.000694444447</v>
      </c>
      <c r="N331" s="1">
        <v>45474.416666666664</v>
      </c>
      <c r="O331" s="1">
        <v>45473.500694444447</v>
      </c>
      <c r="P331" s="1">
        <v>45479.500694444447</v>
      </c>
    </row>
    <row r="332" spans="1:16" hidden="1" x14ac:dyDescent="0.25">
      <c r="A332" s="1">
        <v>45460.435416666667</v>
      </c>
      <c r="B332" t="s">
        <v>713</v>
      </c>
      <c r="C332" t="s">
        <v>714</v>
      </c>
      <c r="D332" t="s">
        <v>714</v>
      </c>
      <c r="E332" t="s">
        <v>18</v>
      </c>
      <c r="F332" t="s">
        <v>19</v>
      </c>
      <c r="G332" s="1">
        <v>45482.916666666664</v>
      </c>
      <c r="H332" s="1">
        <v>45482.916666666664</v>
      </c>
      <c r="I332" s="1">
        <v>45483.958333333336</v>
      </c>
      <c r="J332" t="s">
        <v>80</v>
      </c>
      <c r="K332" s="1">
        <v>45475.916666666664</v>
      </c>
      <c r="L332" s="1">
        <v>45480.916666666664</v>
      </c>
      <c r="M332" s="1">
        <v>45476.000694444447</v>
      </c>
      <c r="N332" s="1">
        <v>45481.5</v>
      </c>
      <c r="O332" s="1">
        <v>45474.416666666664</v>
      </c>
      <c r="P332" s="1">
        <v>45480.416666666664</v>
      </c>
    </row>
    <row r="333" spans="1:16" hidden="1" x14ac:dyDescent="0.25">
      <c r="A333" s="1">
        <v>45460.435416666667</v>
      </c>
      <c r="B333" t="s">
        <v>275</v>
      </c>
      <c r="C333" t="s">
        <v>719</v>
      </c>
      <c r="D333" t="s">
        <v>720</v>
      </c>
      <c r="E333" t="s">
        <v>79</v>
      </c>
      <c r="F333" t="s">
        <v>14</v>
      </c>
      <c r="G333" s="1">
        <v>45483.000694444447</v>
      </c>
      <c r="H333" s="1">
        <v>45483.111111111109</v>
      </c>
      <c r="I333" s="1">
        <v>45483.777777777781</v>
      </c>
      <c r="J333" t="s">
        <v>16</v>
      </c>
      <c r="K333" s="1">
        <v>45476.000694444447</v>
      </c>
      <c r="L333" s="1">
        <v>45481.111111111109</v>
      </c>
      <c r="M333" s="1">
        <v>45477.000694444447</v>
      </c>
      <c r="N333" s="1">
        <v>45480.111111111109</v>
      </c>
      <c r="O333" s="1">
        <v>45474.500694444447</v>
      </c>
      <c r="P333" s="1">
        <v>45480.500694444447</v>
      </c>
    </row>
    <row r="334" spans="1:16" hidden="1" x14ac:dyDescent="0.25">
      <c r="A334" s="1">
        <v>45460.435416666667</v>
      </c>
      <c r="B334" t="s">
        <v>191</v>
      </c>
      <c r="C334" t="s">
        <v>691</v>
      </c>
      <c r="D334" t="s">
        <v>692</v>
      </c>
      <c r="E334" t="s">
        <v>42</v>
      </c>
      <c r="F334" t="s">
        <v>14</v>
      </c>
      <c r="G334" s="1">
        <v>45485.291666666664</v>
      </c>
      <c r="H334" s="1">
        <v>45485.795138888891</v>
      </c>
      <c r="I334" s="1">
        <v>45486.461805555555</v>
      </c>
      <c r="J334" t="s">
        <v>17</v>
      </c>
      <c r="K334" s="1">
        <v>45478.291666666664</v>
      </c>
      <c r="L334" s="1">
        <v>45483.795138888891</v>
      </c>
      <c r="M334" s="1">
        <v>45479.000694444447</v>
      </c>
      <c r="N334" s="1">
        <v>45482.795138888891</v>
      </c>
      <c r="O334" s="1">
        <v>45476.791666666664</v>
      </c>
      <c r="P334" s="1">
        <v>45482.791666666664</v>
      </c>
    </row>
    <row r="335" spans="1:16" hidden="1" x14ac:dyDescent="0.25">
      <c r="A335" s="1">
        <v>45460.415277777778</v>
      </c>
      <c r="B335" t="s">
        <v>135</v>
      </c>
      <c r="C335" t="s">
        <v>313</v>
      </c>
      <c r="D335" t="s">
        <v>314</v>
      </c>
      <c r="E335" t="s">
        <v>43</v>
      </c>
      <c r="F335" t="s">
        <v>14</v>
      </c>
      <c r="G335" s="1">
        <v>45479.583333333336</v>
      </c>
      <c r="H335" s="1">
        <v>45486.583333333336</v>
      </c>
      <c r="I335" s="1">
        <v>45487.239583333336</v>
      </c>
      <c r="J335" t="s">
        <v>13</v>
      </c>
      <c r="K335" s="1">
        <v>45472.583333333336</v>
      </c>
      <c r="L335" s="1">
        <v>45484.583333333336</v>
      </c>
      <c r="M335" s="1">
        <v>45473.000694444447</v>
      </c>
      <c r="N335" s="1">
        <v>45483.583333333336</v>
      </c>
      <c r="O335" s="1">
        <v>45471.083333333336</v>
      </c>
      <c r="P335" s="1">
        <v>45477.083333333336</v>
      </c>
    </row>
    <row r="336" spans="1:16" hidden="1" x14ac:dyDescent="0.25">
      <c r="A336" s="1">
        <v>45457.6875</v>
      </c>
      <c r="B336" t="s">
        <v>478</v>
      </c>
      <c r="C336" t="s">
        <v>315</v>
      </c>
      <c r="D336" t="s">
        <v>315</v>
      </c>
      <c r="E336" t="s">
        <v>436</v>
      </c>
      <c r="F336" t="s">
        <v>75</v>
      </c>
      <c r="G336" s="1">
        <v>45459.75</v>
      </c>
      <c r="H336" s="1">
        <v>45464.131944444445</v>
      </c>
      <c r="I336" s="1">
        <v>45464.881944444445</v>
      </c>
      <c r="J336" t="s">
        <v>13</v>
      </c>
      <c r="K336" s="1">
        <v>45452.75</v>
      </c>
      <c r="L336" s="1">
        <v>45462.131944444445</v>
      </c>
      <c r="M336" s="1">
        <v>45453.000694444447</v>
      </c>
      <c r="N336" s="1">
        <v>45461.625</v>
      </c>
      <c r="O336" s="1">
        <v>45451.25</v>
      </c>
      <c r="P336" s="1">
        <v>45457.25</v>
      </c>
    </row>
    <row r="337" spans="1:16" hidden="1" x14ac:dyDescent="0.25">
      <c r="A337" s="1">
        <v>45457.6875</v>
      </c>
      <c r="B337" t="s">
        <v>131</v>
      </c>
      <c r="C337" t="s">
        <v>289</v>
      </c>
      <c r="D337" t="s">
        <v>289</v>
      </c>
      <c r="E337" t="s">
        <v>273</v>
      </c>
      <c r="F337" t="s">
        <v>125</v>
      </c>
      <c r="G337" s="1">
        <v>45462.416666666664</v>
      </c>
      <c r="H337" s="1">
        <v>45464.3125</v>
      </c>
      <c r="I337" s="1">
        <v>45464.979166666664</v>
      </c>
      <c r="J337" t="s">
        <v>80</v>
      </c>
      <c r="K337" s="1">
        <v>45455.416666666664</v>
      </c>
      <c r="L337" s="1">
        <v>45462.3125</v>
      </c>
      <c r="M337" s="1">
        <v>45456.000694444447</v>
      </c>
      <c r="N337" s="1">
        <v>45461.5</v>
      </c>
      <c r="O337" s="1">
        <v>45453.916666666664</v>
      </c>
      <c r="P337" s="1">
        <v>45459.916666666664</v>
      </c>
    </row>
    <row r="338" spans="1:16" hidden="1" x14ac:dyDescent="0.25">
      <c r="A338" s="1">
        <v>45457.6875</v>
      </c>
      <c r="B338" t="s">
        <v>155</v>
      </c>
      <c r="C338" t="s">
        <v>491</v>
      </c>
      <c r="D338" t="s">
        <v>492</v>
      </c>
      <c r="E338" t="s">
        <v>121</v>
      </c>
      <c r="F338" t="s">
        <v>122</v>
      </c>
      <c r="G338" s="1">
        <v>45464.833333333336</v>
      </c>
      <c r="H338" s="1">
        <v>45464.833333333336</v>
      </c>
      <c r="I338" s="1">
        <v>45465.5625</v>
      </c>
      <c r="J338" t="s">
        <v>16</v>
      </c>
      <c r="K338" s="1">
        <v>45457.833333333336</v>
      </c>
      <c r="L338" s="1">
        <v>45462.833333333336</v>
      </c>
      <c r="M338" s="1">
        <v>45458.000694444447</v>
      </c>
      <c r="N338" s="1">
        <v>45463.5</v>
      </c>
      <c r="O338" s="1">
        <v>45454.833333333336</v>
      </c>
      <c r="P338" s="1">
        <v>45462.833333333336</v>
      </c>
    </row>
    <row r="339" spans="1:16" hidden="1" x14ac:dyDescent="0.25">
      <c r="A339" s="1">
        <v>45457.6875</v>
      </c>
      <c r="B339" t="s">
        <v>490</v>
      </c>
      <c r="C339" t="s">
        <v>386</v>
      </c>
      <c r="D339" t="s">
        <v>471</v>
      </c>
      <c r="E339" t="s">
        <v>78</v>
      </c>
      <c r="F339" t="s">
        <v>13</v>
      </c>
      <c r="G339" s="1">
        <v>45466</v>
      </c>
      <c r="H339" s="1">
        <v>45465.75</v>
      </c>
      <c r="I339" s="1">
        <v>45467.083333333336</v>
      </c>
      <c r="J339" t="s">
        <v>14</v>
      </c>
      <c r="K339" s="1">
        <v>45459</v>
      </c>
      <c r="L339" s="1">
        <v>45463.75</v>
      </c>
      <c r="M339" s="1">
        <v>45460.000694444447</v>
      </c>
      <c r="N339" s="1">
        <v>45464.5</v>
      </c>
      <c r="O339" s="1">
        <v>45456.5</v>
      </c>
      <c r="P339" s="1">
        <v>45462.5</v>
      </c>
    </row>
    <row r="340" spans="1:16" hidden="1" x14ac:dyDescent="0.25">
      <c r="A340" s="1">
        <v>45457.6875</v>
      </c>
      <c r="B340" t="s">
        <v>326</v>
      </c>
      <c r="C340" t="s">
        <v>283</v>
      </c>
      <c r="D340" t="s">
        <v>247</v>
      </c>
      <c r="E340" t="s">
        <v>42</v>
      </c>
      <c r="F340" t="s">
        <v>14</v>
      </c>
      <c r="G340" s="1">
        <v>45459.291666666664</v>
      </c>
      <c r="H340" s="1">
        <v>45466.291666666664</v>
      </c>
      <c r="I340" s="1">
        <v>45467.270833333336</v>
      </c>
      <c r="J340" t="s">
        <v>17</v>
      </c>
      <c r="K340" s="1">
        <v>45452.291666666664</v>
      </c>
      <c r="L340" s="1">
        <v>45464.291666666664</v>
      </c>
      <c r="M340" s="1">
        <v>45453.000694444447</v>
      </c>
      <c r="N340" s="1">
        <v>45464.625</v>
      </c>
      <c r="O340" s="1">
        <v>45450.791666666664</v>
      </c>
      <c r="P340" s="1">
        <v>45456.791666666664</v>
      </c>
    </row>
    <row r="341" spans="1:16" hidden="1" x14ac:dyDescent="0.25">
      <c r="A341" s="1">
        <v>45457.6875</v>
      </c>
      <c r="B341" t="s">
        <v>141</v>
      </c>
      <c r="C341" t="s">
        <v>358</v>
      </c>
      <c r="D341" t="s">
        <v>358</v>
      </c>
      <c r="E341" t="s">
        <v>732</v>
      </c>
      <c r="F341" t="s">
        <v>125</v>
      </c>
      <c r="G341" s="1">
        <v>45468.5</v>
      </c>
      <c r="H341" s="1">
        <v>45468.270833333336</v>
      </c>
      <c r="I341" s="1">
        <v>45469.270833333336</v>
      </c>
      <c r="J341" t="s">
        <v>17</v>
      </c>
      <c r="K341" s="1">
        <v>45461.5</v>
      </c>
      <c r="L341" s="1">
        <v>45466.270833333336</v>
      </c>
      <c r="M341" s="1">
        <v>45462.000694444447</v>
      </c>
      <c r="N341" s="1">
        <v>45467.5</v>
      </c>
      <c r="O341" s="1">
        <v>45460</v>
      </c>
      <c r="P341" s="1">
        <v>45466</v>
      </c>
    </row>
    <row r="342" spans="1:16" hidden="1" x14ac:dyDescent="0.25">
      <c r="A342" s="1">
        <v>45457.6875</v>
      </c>
      <c r="B342" t="s">
        <v>357</v>
      </c>
      <c r="C342" t="s">
        <v>284</v>
      </c>
      <c r="D342" t="s">
        <v>255</v>
      </c>
      <c r="E342" t="s">
        <v>45</v>
      </c>
      <c r="F342" t="s">
        <v>14</v>
      </c>
      <c r="G342" s="1">
        <v>45474</v>
      </c>
      <c r="H342" s="1">
        <v>45474</v>
      </c>
      <c r="I342" s="1">
        <v>45475</v>
      </c>
      <c r="J342" t="s">
        <v>16</v>
      </c>
      <c r="K342" s="1">
        <v>45467</v>
      </c>
      <c r="L342" s="1">
        <v>45472</v>
      </c>
      <c r="M342" s="1">
        <v>45468.000694444447</v>
      </c>
      <c r="N342" s="1">
        <v>45472.625</v>
      </c>
      <c r="O342" s="1">
        <v>45465.5</v>
      </c>
      <c r="P342" s="1">
        <v>45471.5</v>
      </c>
    </row>
    <row r="343" spans="1:16" hidden="1" x14ac:dyDescent="0.25">
      <c r="A343" s="1">
        <v>45457.6875</v>
      </c>
      <c r="B343" t="s">
        <v>478</v>
      </c>
      <c r="C343" t="s">
        <v>471</v>
      </c>
      <c r="D343" t="s">
        <v>471</v>
      </c>
      <c r="E343" t="s">
        <v>273</v>
      </c>
      <c r="F343" t="s">
        <v>125</v>
      </c>
      <c r="G343" s="1">
        <v>45476.416666666664</v>
      </c>
      <c r="H343" s="1">
        <v>45476.416666666664</v>
      </c>
      <c r="I343" s="1">
        <v>45477.375</v>
      </c>
      <c r="J343" t="s">
        <v>80</v>
      </c>
      <c r="K343" s="1">
        <v>45469.416666666664</v>
      </c>
      <c r="L343" s="1">
        <v>45474.416666666664</v>
      </c>
      <c r="M343" s="1">
        <v>45470.000694444447</v>
      </c>
      <c r="N343" s="1">
        <v>45473.416666666664</v>
      </c>
      <c r="O343" s="1">
        <v>45467.916666666664</v>
      </c>
      <c r="P343" s="1">
        <v>45473.916666666664</v>
      </c>
    </row>
    <row r="344" spans="1:16" x14ac:dyDescent="0.25">
      <c r="A344" s="1">
        <v>45457.660416666666</v>
      </c>
      <c r="B344" t="s">
        <v>279</v>
      </c>
      <c r="C344" t="s">
        <v>280</v>
      </c>
      <c r="D344" t="s">
        <v>281</v>
      </c>
      <c r="E344" t="s">
        <v>45</v>
      </c>
      <c r="F344" t="s">
        <v>14</v>
      </c>
      <c r="G344" s="1">
        <v>45459.895833333336</v>
      </c>
      <c r="H344" s="1">
        <v>45467.378472222219</v>
      </c>
      <c r="I344" s="1">
        <v>45468.003472222219</v>
      </c>
      <c r="J344" t="s">
        <v>16</v>
      </c>
      <c r="K344" s="1">
        <v>45452.895833333336</v>
      </c>
      <c r="L344" s="1">
        <v>45465.378472222219</v>
      </c>
      <c r="M344" s="1">
        <v>45453.000694444447</v>
      </c>
      <c r="N344" s="1">
        <v>45465.625</v>
      </c>
      <c r="O344" s="1">
        <v>45451.395833333336</v>
      </c>
      <c r="P344" s="1">
        <v>45457.395833333336</v>
      </c>
    </row>
    <row r="345" spans="1:16" hidden="1" x14ac:dyDescent="0.25">
      <c r="A345" s="1">
        <v>45457.525000000001</v>
      </c>
      <c r="B345" t="s">
        <v>147</v>
      </c>
      <c r="C345" t="s">
        <v>288</v>
      </c>
      <c r="D345" t="s">
        <v>289</v>
      </c>
      <c r="E345" t="s">
        <v>77</v>
      </c>
      <c r="F345" t="s">
        <v>14</v>
      </c>
      <c r="G345" s="1">
        <v>45464</v>
      </c>
      <c r="H345" s="1">
        <v>45464.104166666664</v>
      </c>
      <c r="I345" s="1">
        <v>45465.208333333336</v>
      </c>
      <c r="J345" t="s">
        <v>76</v>
      </c>
      <c r="K345" s="1">
        <v>45457</v>
      </c>
      <c r="L345" s="1">
        <v>45462.104166666664</v>
      </c>
      <c r="M345" s="1">
        <v>45458.000694444447</v>
      </c>
      <c r="N345" s="1">
        <v>45462.625</v>
      </c>
      <c r="O345" s="1">
        <v>45455.5</v>
      </c>
      <c r="P345" s="1">
        <v>45461.5</v>
      </c>
    </row>
    <row r="346" spans="1:16" hidden="1" x14ac:dyDescent="0.25">
      <c r="A346" s="1">
        <v>45457.525000000001</v>
      </c>
      <c r="B346" t="s">
        <v>131</v>
      </c>
      <c r="C346" t="s">
        <v>289</v>
      </c>
      <c r="D346" t="s">
        <v>289</v>
      </c>
      <c r="E346" t="s">
        <v>273</v>
      </c>
      <c r="F346" t="s">
        <v>125</v>
      </c>
      <c r="G346" s="1">
        <v>45462.416666666664</v>
      </c>
      <c r="H346" s="1">
        <v>45464.104166666664</v>
      </c>
      <c r="I346" s="1">
        <v>45464.770833333336</v>
      </c>
      <c r="J346" t="s">
        <v>80</v>
      </c>
      <c r="K346" s="1">
        <v>45455.416666666664</v>
      </c>
      <c r="L346" s="1">
        <v>45462.104166666664</v>
      </c>
      <c r="M346" s="1">
        <v>45456.000694444447</v>
      </c>
      <c r="N346" s="1">
        <v>45461.5</v>
      </c>
      <c r="O346" s="1">
        <v>45453.916666666664</v>
      </c>
      <c r="P346" s="1">
        <v>45459.916666666664</v>
      </c>
    </row>
    <row r="347" spans="1:16" hidden="1" x14ac:dyDescent="0.25">
      <c r="A347" s="1">
        <v>45457.442361111112</v>
      </c>
      <c r="B347" t="s">
        <v>454</v>
      </c>
      <c r="C347" t="s">
        <v>455</v>
      </c>
      <c r="D347" t="s">
        <v>456</v>
      </c>
      <c r="E347" t="s">
        <v>79</v>
      </c>
      <c r="F347" t="s">
        <v>217</v>
      </c>
      <c r="G347" s="1">
        <v>45468</v>
      </c>
      <c r="H347" s="1">
        <v>45467.986111111109</v>
      </c>
      <c r="I347" s="1">
        <v>45468.652777777781</v>
      </c>
      <c r="J347" t="s">
        <v>16</v>
      </c>
      <c r="K347" s="1">
        <v>45461</v>
      </c>
      <c r="L347" s="1">
        <v>45465.986111111109</v>
      </c>
      <c r="M347" s="1">
        <v>45462.000694444447</v>
      </c>
      <c r="N347" s="1">
        <v>45464.416666666664</v>
      </c>
      <c r="O347" s="1">
        <v>45466</v>
      </c>
      <c r="P347" s="1">
        <v>45472</v>
      </c>
    </row>
    <row r="348" spans="1:16" hidden="1" x14ac:dyDescent="0.25">
      <c r="A348" s="1">
        <v>45457.42083333333</v>
      </c>
      <c r="B348" t="s">
        <v>454</v>
      </c>
      <c r="C348" t="s">
        <v>455</v>
      </c>
      <c r="D348" t="s">
        <v>456</v>
      </c>
      <c r="E348" t="s">
        <v>79</v>
      </c>
      <c r="F348" t="s">
        <v>217</v>
      </c>
      <c r="G348" s="1">
        <v>45474.5</v>
      </c>
      <c r="H348" s="1">
        <v>45474.871527777781</v>
      </c>
      <c r="I348" s="1">
        <v>45475.538194444445</v>
      </c>
      <c r="J348" t="s">
        <v>16</v>
      </c>
      <c r="K348" s="1">
        <v>45467.5</v>
      </c>
      <c r="L348" s="1">
        <v>45472.871527777781</v>
      </c>
      <c r="M348" s="1">
        <v>45468.000694444447</v>
      </c>
      <c r="N348" s="1">
        <v>45464.416666666664</v>
      </c>
      <c r="O348" s="1">
        <v>45466</v>
      </c>
      <c r="P348" s="1">
        <v>45472</v>
      </c>
    </row>
    <row r="349" spans="1:16" hidden="1" x14ac:dyDescent="0.25">
      <c r="A349" s="1">
        <v>45457.379861111112</v>
      </c>
      <c r="B349" t="s">
        <v>335</v>
      </c>
      <c r="C349" t="s">
        <v>336</v>
      </c>
      <c r="D349" t="s">
        <v>337</v>
      </c>
      <c r="E349" t="s">
        <v>79</v>
      </c>
      <c r="F349" t="s">
        <v>217</v>
      </c>
      <c r="G349" s="1">
        <v>45460.958333333336</v>
      </c>
      <c r="H349" s="1">
        <v>45467.888888888891</v>
      </c>
      <c r="I349" s="1">
        <v>45468.847222222219</v>
      </c>
      <c r="J349" t="s">
        <v>14</v>
      </c>
      <c r="K349" s="1">
        <v>45453.958333333336</v>
      </c>
      <c r="L349" s="1">
        <v>45465.888888888891</v>
      </c>
      <c r="M349" s="1">
        <v>45454.000694444447</v>
      </c>
      <c r="N349" s="1">
        <v>45457.416666666664</v>
      </c>
      <c r="O349" s="1">
        <v>45452.458333333336</v>
      </c>
      <c r="P349" s="1">
        <v>45456.25</v>
      </c>
    </row>
    <row r="350" spans="1:16" hidden="1" x14ac:dyDescent="0.25">
      <c r="A350" s="1">
        <v>45457.379861111112</v>
      </c>
      <c r="B350" t="s">
        <v>191</v>
      </c>
      <c r="C350" t="s">
        <v>691</v>
      </c>
      <c r="D350" t="s">
        <v>692</v>
      </c>
      <c r="E350" t="s">
        <v>42</v>
      </c>
      <c r="F350" t="s">
        <v>14</v>
      </c>
      <c r="G350" s="1">
        <v>45485.291666666664</v>
      </c>
      <c r="H350" s="1">
        <v>45485.795138888891</v>
      </c>
      <c r="I350" s="1">
        <v>45486.461805555555</v>
      </c>
      <c r="J350" t="s">
        <v>17</v>
      </c>
      <c r="K350" s="1">
        <v>45478.291666666664</v>
      </c>
      <c r="L350" s="1">
        <v>45483.795138888891</v>
      </c>
      <c r="M350" s="1">
        <v>45479.000694444447</v>
      </c>
      <c r="N350" s="1">
        <v>45482.795138888891</v>
      </c>
      <c r="O350" s="1">
        <v>45471.791666666664</v>
      </c>
      <c r="P350" s="1">
        <v>45477.791666666664</v>
      </c>
    </row>
    <row r="351" spans="1:16" hidden="1" x14ac:dyDescent="0.25">
      <c r="A351" s="1">
        <v>45456.758333333331</v>
      </c>
      <c r="B351" t="s">
        <v>326</v>
      </c>
      <c r="C351" t="s">
        <v>283</v>
      </c>
      <c r="D351" t="s">
        <v>247</v>
      </c>
      <c r="E351" t="s">
        <v>42</v>
      </c>
      <c r="F351" t="s">
        <v>14</v>
      </c>
      <c r="G351" s="1">
        <v>45459.291666666664</v>
      </c>
      <c r="H351" s="1">
        <v>45466.291666666664</v>
      </c>
      <c r="I351" s="1">
        <v>45467.270833333336</v>
      </c>
      <c r="J351" t="s">
        <v>17</v>
      </c>
      <c r="K351" s="1">
        <v>45452.291666666664</v>
      </c>
      <c r="L351" s="1">
        <v>45464.291666666664</v>
      </c>
      <c r="M351" s="1">
        <v>45453.000694444447</v>
      </c>
      <c r="N351" s="1">
        <v>45456.802083333336</v>
      </c>
      <c r="O351" s="1">
        <v>45450.791666666664</v>
      </c>
      <c r="P351" s="1">
        <v>45456.791666666664</v>
      </c>
    </row>
    <row r="352" spans="1:16" hidden="1" x14ac:dyDescent="0.25">
      <c r="A352" s="1">
        <v>45456.758333333331</v>
      </c>
      <c r="B352" t="s">
        <v>128</v>
      </c>
      <c r="C352" t="s">
        <v>362</v>
      </c>
      <c r="D352" t="s">
        <v>363</v>
      </c>
      <c r="E352" t="s">
        <v>44</v>
      </c>
      <c r="F352" t="s">
        <v>30</v>
      </c>
      <c r="G352" s="1">
        <v>45471.75</v>
      </c>
      <c r="H352" s="1">
        <v>45478.381944444445</v>
      </c>
      <c r="I352" s="1">
        <v>45479.006944444445</v>
      </c>
      <c r="J352" t="s">
        <v>13</v>
      </c>
      <c r="K352" s="1">
        <v>45464.75</v>
      </c>
      <c r="L352" s="1">
        <v>45476.381944444445</v>
      </c>
      <c r="M352" s="1">
        <v>45465.000694444447</v>
      </c>
      <c r="N352" s="1">
        <v>45475.381944444445</v>
      </c>
      <c r="O352" s="1">
        <v>45463.25</v>
      </c>
      <c r="P352" s="1">
        <v>45469.25</v>
      </c>
    </row>
    <row r="353" spans="1:16" hidden="1" x14ac:dyDescent="0.25">
      <c r="A353" s="1">
        <v>45456.758333333331</v>
      </c>
      <c r="B353" t="s">
        <v>267</v>
      </c>
      <c r="C353" t="s">
        <v>304</v>
      </c>
      <c r="D353" t="s">
        <v>257</v>
      </c>
      <c r="E353" t="s">
        <v>42</v>
      </c>
      <c r="F353" t="s">
        <v>14</v>
      </c>
      <c r="G353" s="1">
        <v>45473.291666666664</v>
      </c>
      <c r="H353" s="1">
        <v>45480.288194444445</v>
      </c>
      <c r="I353" s="1">
        <v>45480.954861111109</v>
      </c>
      <c r="J353" t="s">
        <v>17</v>
      </c>
      <c r="K353" s="1">
        <v>45466.291666666664</v>
      </c>
      <c r="L353" s="1">
        <v>45478.288194444445</v>
      </c>
      <c r="M353" s="1">
        <v>45467.000694444447</v>
      </c>
      <c r="N353" s="1">
        <v>45477.288194444445</v>
      </c>
      <c r="O353" s="1">
        <v>45464.791666666664</v>
      </c>
      <c r="P353" s="1">
        <v>45470.791666666664</v>
      </c>
    </row>
    <row r="354" spans="1:16" hidden="1" x14ac:dyDescent="0.25">
      <c r="A354" s="1">
        <v>45456.709027777775</v>
      </c>
      <c r="B354" t="s">
        <v>326</v>
      </c>
      <c r="C354" t="s">
        <v>283</v>
      </c>
      <c r="D354" t="s">
        <v>247</v>
      </c>
      <c r="E354" t="s">
        <v>42</v>
      </c>
      <c r="F354" t="s">
        <v>14</v>
      </c>
      <c r="G354" s="1">
        <v>45459.291666666664</v>
      </c>
      <c r="H354" s="1">
        <v>45466.291666666664</v>
      </c>
      <c r="I354" s="1">
        <v>45467.270833333336</v>
      </c>
      <c r="J354" t="s">
        <v>17</v>
      </c>
      <c r="K354" s="1">
        <v>45452.291666666664</v>
      </c>
      <c r="L354" s="1">
        <v>45464.291666666664</v>
      </c>
      <c r="M354" s="1">
        <v>45453.000694444447</v>
      </c>
      <c r="N354" s="1">
        <v>45464.5</v>
      </c>
      <c r="O354" s="1">
        <v>45450.791666666664</v>
      </c>
      <c r="P354" s="1">
        <v>45456.791666666664</v>
      </c>
    </row>
    <row r="355" spans="1:16" hidden="1" x14ac:dyDescent="0.25">
      <c r="A355" s="1">
        <v>45456.643750000003</v>
      </c>
      <c r="B355" t="s">
        <v>65</v>
      </c>
      <c r="C355" t="s">
        <v>362</v>
      </c>
      <c r="D355" t="s">
        <v>363</v>
      </c>
      <c r="E355" t="s">
        <v>44</v>
      </c>
      <c r="F355" t="s">
        <v>30</v>
      </c>
      <c r="G355" s="1">
        <v>45465</v>
      </c>
      <c r="H355" s="1">
        <v>45471.833333333336</v>
      </c>
      <c r="I355" s="1">
        <v>45472.458333333336</v>
      </c>
      <c r="J355" t="s">
        <v>13</v>
      </c>
      <c r="K355" s="1">
        <v>45458</v>
      </c>
      <c r="L355" s="1">
        <v>45469.833333333336</v>
      </c>
      <c r="M355" s="1">
        <v>45459.000694444447</v>
      </c>
      <c r="N355" s="1">
        <v>45463.5</v>
      </c>
      <c r="O355" s="1">
        <v>45456.5</v>
      </c>
      <c r="P355" s="1">
        <v>45462.5</v>
      </c>
    </row>
    <row r="356" spans="1:16" hidden="1" x14ac:dyDescent="0.25">
      <c r="A356" s="1">
        <v>45456.623611111114</v>
      </c>
      <c r="B356" t="s">
        <v>136</v>
      </c>
      <c r="C356" t="s">
        <v>156</v>
      </c>
      <c r="D356" t="s">
        <v>157</v>
      </c>
      <c r="E356" t="s">
        <v>43</v>
      </c>
      <c r="F356" t="s">
        <v>14</v>
      </c>
      <c r="G356" s="1">
        <v>45465.5</v>
      </c>
      <c r="H356" s="1">
        <v>45465.298611111109</v>
      </c>
      <c r="I356" s="1">
        <v>45465.756944444445</v>
      </c>
      <c r="J356" t="s">
        <v>13</v>
      </c>
      <c r="K356" s="1">
        <v>45458.5</v>
      </c>
      <c r="L356" s="1">
        <v>45463.298611111109</v>
      </c>
      <c r="M356" s="1">
        <v>45459.000694444447</v>
      </c>
      <c r="N356" s="1">
        <v>45463.625</v>
      </c>
      <c r="O356" s="1">
        <v>45457</v>
      </c>
      <c r="P356" s="1">
        <v>45463</v>
      </c>
    </row>
    <row r="357" spans="1:16" hidden="1" x14ac:dyDescent="0.25">
      <c r="A357" s="1">
        <v>45456.602777777778</v>
      </c>
      <c r="B357" t="s">
        <v>152</v>
      </c>
      <c r="C357" t="s">
        <v>290</v>
      </c>
      <c r="D357" t="s">
        <v>256</v>
      </c>
      <c r="E357" t="s">
        <v>42</v>
      </c>
      <c r="F357" t="s">
        <v>14</v>
      </c>
      <c r="G357" s="1">
        <v>45473.291666666664</v>
      </c>
      <c r="H357" s="1">
        <v>45473.350694444445</v>
      </c>
      <c r="I357" s="1">
        <v>45474.017361111109</v>
      </c>
      <c r="J357" t="s">
        <v>17</v>
      </c>
      <c r="K357" s="1">
        <v>45466.291666666664</v>
      </c>
      <c r="L357" s="1">
        <v>45471.350694444445</v>
      </c>
      <c r="M357" s="1">
        <v>45467.000694444447</v>
      </c>
      <c r="N357" s="1">
        <v>45470.625</v>
      </c>
      <c r="O357" s="1">
        <v>45464.791666666664</v>
      </c>
      <c r="P357" s="1">
        <v>45470.791666666664</v>
      </c>
    </row>
    <row r="358" spans="1:16" hidden="1" x14ac:dyDescent="0.25">
      <c r="A358" s="1">
        <v>45456.602777777778</v>
      </c>
      <c r="B358" t="s">
        <v>357</v>
      </c>
      <c r="C358" t="s">
        <v>284</v>
      </c>
      <c r="D358" t="s">
        <v>255</v>
      </c>
      <c r="E358" t="s">
        <v>45</v>
      </c>
      <c r="F358" t="s">
        <v>14</v>
      </c>
      <c r="G358" s="1">
        <v>45474</v>
      </c>
      <c r="H358" s="1">
        <v>45474.080555555556</v>
      </c>
      <c r="I358" s="1">
        <v>45474.871527777781</v>
      </c>
      <c r="J358" t="s">
        <v>16</v>
      </c>
      <c r="K358" s="1">
        <v>45467</v>
      </c>
      <c r="L358" s="1">
        <v>45472.080555555556</v>
      </c>
      <c r="M358" s="1">
        <v>45468.000694444447</v>
      </c>
      <c r="N358" s="1">
        <v>45472.625</v>
      </c>
      <c r="O358" s="1">
        <v>45465.5</v>
      </c>
      <c r="P358" s="1">
        <v>45471.5</v>
      </c>
    </row>
    <row r="359" spans="1:16" hidden="1" x14ac:dyDescent="0.25">
      <c r="A359" s="1">
        <v>45456.561111111114</v>
      </c>
      <c r="B359" t="s">
        <v>152</v>
      </c>
      <c r="C359" t="s">
        <v>290</v>
      </c>
      <c r="D359" t="s">
        <v>256</v>
      </c>
      <c r="E359" t="s">
        <v>42</v>
      </c>
      <c r="F359" t="s">
        <v>14</v>
      </c>
      <c r="G359" s="1">
        <v>45466.291666666664</v>
      </c>
      <c r="H359" s="1">
        <v>45468.454861111109</v>
      </c>
      <c r="I359" s="1">
        <v>45469.121527777781</v>
      </c>
      <c r="J359" t="s">
        <v>17</v>
      </c>
      <c r="K359" s="1">
        <v>45459.291666666664</v>
      </c>
      <c r="L359" s="1">
        <v>45466.454861111109</v>
      </c>
      <c r="M359" s="1">
        <v>45460.000694444447</v>
      </c>
      <c r="N359" s="1">
        <v>45464.625</v>
      </c>
      <c r="O359" s="1">
        <v>45457.791666666664</v>
      </c>
      <c r="P359" s="1">
        <v>45463.791666666664</v>
      </c>
    </row>
    <row r="360" spans="1:16" hidden="1" x14ac:dyDescent="0.25">
      <c r="A360" s="1">
        <v>45456.561111111114</v>
      </c>
      <c r="B360" t="s">
        <v>267</v>
      </c>
      <c r="C360" t="s">
        <v>304</v>
      </c>
      <c r="D360" t="s">
        <v>257</v>
      </c>
      <c r="E360" t="s">
        <v>42</v>
      </c>
      <c r="F360" t="s">
        <v>14</v>
      </c>
      <c r="G360" s="1">
        <v>45473.291666666664</v>
      </c>
      <c r="H360" s="1">
        <v>45473.291666666664</v>
      </c>
      <c r="I360" s="1">
        <v>45473.958333333336</v>
      </c>
      <c r="J360" t="s">
        <v>17</v>
      </c>
      <c r="K360" s="1">
        <v>45466.291666666664</v>
      </c>
      <c r="L360" s="1">
        <v>45471.291666666664</v>
      </c>
      <c r="M360" s="1">
        <v>45467.000694444447</v>
      </c>
      <c r="N360" s="1">
        <v>45470.291666666664</v>
      </c>
      <c r="O360" s="1">
        <v>45464.791666666664</v>
      </c>
      <c r="P360" s="1">
        <v>45470.791666666664</v>
      </c>
    </row>
    <row r="361" spans="1:16" hidden="1" x14ac:dyDescent="0.25">
      <c r="A361" s="1">
        <v>45456.561111111114</v>
      </c>
      <c r="B361" t="s">
        <v>454</v>
      </c>
      <c r="C361" t="s">
        <v>455</v>
      </c>
      <c r="D361" t="s">
        <v>456</v>
      </c>
      <c r="E361" t="s">
        <v>79</v>
      </c>
      <c r="F361" t="s">
        <v>217</v>
      </c>
      <c r="G361" s="1">
        <v>45474.5</v>
      </c>
      <c r="H361" s="1">
        <v>45474.489583333336</v>
      </c>
      <c r="I361" s="1">
        <v>45475.15625</v>
      </c>
      <c r="J361" t="s">
        <v>16</v>
      </c>
      <c r="K361" s="1">
        <v>45467.5</v>
      </c>
      <c r="L361" s="1">
        <v>45472.489583333336</v>
      </c>
      <c r="M361" s="1">
        <v>45468.000694444447</v>
      </c>
      <c r="N361" s="1">
        <v>45464.416666666664</v>
      </c>
      <c r="O361" s="1">
        <v>45466</v>
      </c>
      <c r="P361" s="1">
        <v>45472</v>
      </c>
    </row>
    <row r="362" spans="1:16" hidden="1" x14ac:dyDescent="0.25">
      <c r="A362" s="1">
        <v>45456.561111111114</v>
      </c>
      <c r="B362" t="s">
        <v>191</v>
      </c>
      <c r="C362" t="s">
        <v>691</v>
      </c>
      <c r="D362" t="s">
        <v>692</v>
      </c>
      <c r="E362" t="s">
        <v>42</v>
      </c>
      <c r="F362" t="s">
        <v>14</v>
      </c>
      <c r="G362" s="1">
        <v>45480.291666666664</v>
      </c>
      <c r="H362" s="1">
        <v>45480.291666666664</v>
      </c>
      <c r="I362" s="1">
        <v>45480.958333333336</v>
      </c>
      <c r="J362" t="s">
        <v>17</v>
      </c>
      <c r="K362" s="1">
        <v>45473.291666666664</v>
      </c>
      <c r="L362" s="1">
        <v>45478.291666666664</v>
      </c>
      <c r="M362" s="1">
        <v>45474.000694444447</v>
      </c>
      <c r="N362" s="1">
        <v>45477.291666666664</v>
      </c>
      <c r="O362" s="1">
        <v>45471.791666666664</v>
      </c>
      <c r="P362" s="1">
        <v>45477.791666666664</v>
      </c>
    </row>
    <row r="363" spans="1:16" hidden="1" x14ac:dyDescent="0.25">
      <c r="A363" s="1">
        <v>45456.540277777778</v>
      </c>
      <c r="B363" t="s">
        <v>136</v>
      </c>
      <c r="C363" t="s">
        <v>156</v>
      </c>
      <c r="D363" t="s">
        <v>157</v>
      </c>
      <c r="E363" t="s">
        <v>43</v>
      </c>
      <c r="F363" t="s">
        <v>14</v>
      </c>
      <c r="G363" s="1">
        <v>45465.5</v>
      </c>
      <c r="H363" s="1">
        <v>45465.177083333336</v>
      </c>
      <c r="I363" s="1">
        <v>45465.635416666664</v>
      </c>
      <c r="J363" t="s">
        <v>13</v>
      </c>
      <c r="K363" s="1">
        <v>45458.5</v>
      </c>
      <c r="L363" s="1">
        <v>45463.177083333336</v>
      </c>
      <c r="M363" s="1">
        <v>45459.000694444447</v>
      </c>
      <c r="N363" s="1">
        <v>45463.625</v>
      </c>
      <c r="O363" s="1">
        <v>45457</v>
      </c>
      <c r="P363" s="1">
        <v>45463</v>
      </c>
    </row>
    <row r="364" spans="1:16" hidden="1" x14ac:dyDescent="0.25">
      <c r="A364" s="1">
        <v>45456.499305555553</v>
      </c>
      <c r="B364" t="s">
        <v>435</v>
      </c>
      <c r="C364" t="s">
        <v>322</v>
      </c>
      <c r="D364" t="s">
        <v>322</v>
      </c>
      <c r="E364" t="s">
        <v>273</v>
      </c>
      <c r="F364" t="s">
        <v>125</v>
      </c>
      <c r="G364" s="1">
        <v>45469.416666666664</v>
      </c>
      <c r="H364" s="1">
        <v>45469.416666666664</v>
      </c>
      <c r="I364" s="1">
        <v>45470.333333333336</v>
      </c>
      <c r="J364" t="s">
        <v>80</v>
      </c>
      <c r="K364" s="1">
        <v>45462.416666666664</v>
      </c>
      <c r="L364" s="1">
        <v>45467.416666666664</v>
      </c>
      <c r="M364" s="1">
        <v>45463.000694444447</v>
      </c>
      <c r="N364" s="1">
        <v>45467.625</v>
      </c>
      <c r="O364" s="1">
        <v>45460.916666666664</v>
      </c>
      <c r="P364" s="1">
        <v>45466.916666666664</v>
      </c>
    </row>
    <row r="365" spans="1:16" hidden="1" x14ac:dyDescent="0.25">
      <c r="A365" s="1">
        <v>45456.499305555553</v>
      </c>
      <c r="B365" t="s">
        <v>454</v>
      </c>
      <c r="C365" t="s">
        <v>455</v>
      </c>
      <c r="D365" t="s">
        <v>456</v>
      </c>
      <c r="E365" t="s">
        <v>79</v>
      </c>
      <c r="F365" t="s">
        <v>217</v>
      </c>
      <c r="G365" s="1">
        <v>45468</v>
      </c>
      <c r="H365" s="1">
        <v>45474.489583333336</v>
      </c>
      <c r="I365" s="1">
        <v>45475.15625</v>
      </c>
      <c r="J365" t="s">
        <v>16</v>
      </c>
      <c r="K365" s="1">
        <v>45461</v>
      </c>
      <c r="L365" s="1">
        <v>45472.489583333336</v>
      </c>
      <c r="M365" s="1">
        <v>45462.000694444447</v>
      </c>
      <c r="N365" s="1">
        <v>45464.416666666664</v>
      </c>
      <c r="O365" s="1">
        <v>45459.5</v>
      </c>
      <c r="P365" s="1">
        <v>45465.5</v>
      </c>
    </row>
    <row r="366" spans="1:16" hidden="1" x14ac:dyDescent="0.25">
      <c r="A366" s="1">
        <v>45456.499305555553</v>
      </c>
      <c r="B366" t="s">
        <v>274</v>
      </c>
      <c r="C366" t="s">
        <v>494</v>
      </c>
      <c r="D366" t="s">
        <v>495</v>
      </c>
      <c r="E366" t="s">
        <v>79</v>
      </c>
      <c r="F366" t="s">
        <v>14</v>
      </c>
      <c r="G366" s="1">
        <v>45474.000694444447</v>
      </c>
      <c r="H366" s="1">
        <v>45482.618055555555</v>
      </c>
      <c r="I366" s="1">
        <v>45483.284722222219</v>
      </c>
      <c r="J366" t="s">
        <v>16</v>
      </c>
      <c r="K366" s="1">
        <v>45467.000694444447</v>
      </c>
      <c r="L366" s="1">
        <v>45480.618055555555</v>
      </c>
      <c r="M366" s="1">
        <v>45468.000694444447</v>
      </c>
      <c r="N366" s="1">
        <v>45471.416666666664</v>
      </c>
      <c r="O366" s="1">
        <v>45465.500694444447</v>
      </c>
      <c r="P366" s="1">
        <v>45471.500694444447</v>
      </c>
    </row>
    <row r="367" spans="1:16" hidden="1" x14ac:dyDescent="0.25">
      <c r="A367" s="1">
        <v>45456.478472222225</v>
      </c>
      <c r="B367" t="s">
        <v>357</v>
      </c>
      <c r="C367" t="s">
        <v>284</v>
      </c>
      <c r="D367" t="s">
        <v>255</v>
      </c>
      <c r="E367" t="s">
        <v>45</v>
      </c>
      <c r="F367" t="s">
        <v>14</v>
      </c>
      <c r="G367" s="1">
        <v>45460</v>
      </c>
      <c r="H367" s="1">
        <v>45474.080555555556</v>
      </c>
      <c r="I367" s="1">
        <v>45474.871527777781</v>
      </c>
      <c r="J367" t="s">
        <v>16</v>
      </c>
      <c r="K367" s="1">
        <v>45453</v>
      </c>
      <c r="L367" s="1">
        <v>45472.080555555556</v>
      </c>
      <c r="M367" s="1">
        <v>45454.000694444447</v>
      </c>
      <c r="N367" s="1">
        <v>45469.625</v>
      </c>
      <c r="O367" s="1">
        <v>45451.5</v>
      </c>
      <c r="P367" s="1">
        <v>45457.5</v>
      </c>
    </row>
    <row r="368" spans="1:16" hidden="1" x14ac:dyDescent="0.25">
      <c r="A368" s="1">
        <v>45456.455555555556</v>
      </c>
      <c r="B368" t="s">
        <v>335</v>
      </c>
      <c r="C368" t="s">
        <v>336</v>
      </c>
      <c r="D368" t="s">
        <v>337</v>
      </c>
      <c r="E368" t="s">
        <v>79</v>
      </c>
      <c r="F368" t="s">
        <v>217</v>
      </c>
      <c r="G368" s="1">
        <v>45460.958333333336</v>
      </c>
      <c r="H368" s="1">
        <v>45465.666666666664</v>
      </c>
      <c r="I368" s="1">
        <v>45466.625</v>
      </c>
      <c r="J368" t="s">
        <v>14</v>
      </c>
      <c r="K368" s="1">
        <v>45453.958333333336</v>
      </c>
      <c r="L368" s="1">
        <v>45463.666666666664</v>
      </c>
      <c r="M368" s="1">
        <v>45454.000694444447</v>
      </c>
      <c r="N368" s="1">
        <v>45457.416666666664</v>
      </c>
      <c r="O368" s="1">
        <v>45452.458333333336</v>
      </c>
      <c r="P368" s="1">
        <v>45456.25</v>
      </c>
    </row>
    <row r="369" spans="1:16" hidden="1" x14ac:dyDescent="0.25">
      <c r="A369" s="1">
        <v>45456.455555555556</v>
      </c>
      <c r="B369" t="s">
        <v>152</v>
      </c>
      <c r="C369" t="s">
        <v>290</v>
      </c>
      <c r="D369" t="s">
        <v>256</v>
      </c>
      <c r="E369" t="s">
        <v>42</v>
      </c>
      <c r="F369" t="s">
        <v>14</v>
      </c>
      <c r="G369" s="1">
        <v>45466.291666666664</v>
      </c>
      <c r="H369" s="1">
        <v>45466.458333333336</v>
      </c>
      <c r="I369" s="1">
        <v>45467.125</v>
      </c>
      <c r="J369" t="s">
        <v>17</v>
      </c>
      <c r="K369" s="1">
        <v>45459.291666666664</v>
      </c>
      <c r="L369" s="1">
        <v>45464.458333333336</v>
      </c>
      <c r="M369" s="1">
        <v>45460.000694444447</v>
      </c>
      <c r="N369" s="1">
        <v>45464.625</v>
      </c>
      <c r="O369" s="1">
        <v>45457.791666666664</v>
      </c>
      <c r="P369" s="1">
        <v>45463.791666666664</v>
      </c>
    </row>
    <row r="370" spans="1:16" x14ac:dyDescent="0.25">
      <c r="A370" s="1">
        <v>45456.455555555556</v>
      </c>
      <c r="B370" t="s">
        <v>279</v>
      </c>
      <c r="C370" t="s">
        <v>280</v>
      </c>
      <c r="D370" t="s">
        <v>281</v>
      </c>
      <c r="E370" t="s">
        <v>45</v>
      </c>
      <c r="F370" t="s">
        <v>14</v>
      </c>
      <c r="G370" s="1">
        <v>45459.895833333336</v>
      </c>
      <c r="H370" s="1">
        <v>45467.135416666664</v>
      </c>
      <c r="I370" s="1">
        <v>45467.760416666664</v>
      </c>
      <c r="J370" t="s">
        <v>16</v>
      </c>
      <c r="K370" s="1">
        <v>45452.895833333336</v>
      </c>
      <c r="L370" s="1">
        <v>45465.135416666664</v>
      </c>
      <c r="M370" s="1">
        <v>45453.000694444447</v>
      </c>
      <c r="N370" s="1">
        <v>45465.625</v>
      </c>
      <c r="O370" s="1">
        <v>45451.395833333336</v>
      </c>
      <c r="P370" s="1">
        <v>45457.395833333336</v>
      </c>
    </row>
    <row r="371" spans="1:16" hidden="1" x14ac:dyDescent="0.25">
      <c r="A371" s="1">
        <v>45456.455555555556</v>
      </c>
      <c r="B371" t="s">
        <v>357</v>
      </c>
      <c r="C371" t="s">
        <v>284</v>
      </c>
      <c r="D371" t="s">
        <v>255</v>
      </c>
      <c r="E371" t="s">
        <v>45</v>
      </c>
      <c r="F371" t="s">
        <v>14</v>
      </c>
      <c r="G371" s="1">
        <v>45460</v>
      </c>
      <c r="H371" s="1">
        <v>45467.30972222222</v>
      </c>
      <c r="I371" s="1">
        <v>45468.100694444445</v>
      </c>
      <c r="J371" t="s">
        <v>16</v>
      </c>
      <c r="K371" s="1">
        <v>45453</v>
      </c>
      <c r="L371" s="1">
        <v>45465.30972222222</v>
      </c>
      <c r="M371" s="1">
        <v>45454.000694444447</v>
      </c>
      <c r="N371" s="1">
        <v>45463.625</v>
      </c>
      <c r="O371" s="1">
        <v>45451.5</v>
      </c>
      <c r="P371" s="1">
        <v>45457.5</v>
      </c>
    </row>
    <row r="372" spans="1:16" hidden="1" x14ac:dyDescent="0.25">
      <c r="A372" s="1">
        <v>45456.455555555556</v>
      </c>
      <c r="B372" t="s">
        <v>65</v>
      </c>
      <c r="C372" t="s">
        <v>362</v>
      </c>
      <c r="D372" t="s">
        <v>363</v>
      </c>
      <c r="E372" t="s">
        <v>44</v>
      </c>
      <c r="F372" t="s">
        <v>30</v>
      </c>
      <c r="G372" s="1">
        <v>45465</v>
      </c>
      <c r="H372" s="1">
        <v>45467.423611111109</v>
      </c>
      <c r="I372" s="1">
        <v>45468.048611111109</v>
      </c>
      <c r="J372" t="s">
        <v>13</v>
      </c>
      <c r="K372" s="1">
        <v>45458</v>
      </c>
      <c r="L372" s="1">
        <v>45465.423611111109</v>
      </c>
      <c r="M372" s="1">
        <v>45459.000694444447</v>
      </c>
      <c r="N372" s="1">
        <v>45463.5</v>
      </c>
      <c r="O372" s="1">
        <v>45456.5</v>
      </c>
      <c r="P372" s="1">
        <v>45462.5</v>
      </c>
    </row>
    <row r="373" spans="1:16" hidden="1" x14ac:dyDescent="0.25">
      <c r="A373" s="1">
        <v>45456.455555555556</v>
      </c>
      <c r="B373" t="s">
        <v>454</v>
      </c>
      <c r="C373" t="s">
        <v>455</v>
      </c>
      <c r="D373" t="s">
        <v>456</v>
      </c>
      <c r="E373" t="s">
        <v>79</v>
      </c>
      <c r="F373" t="s">
        <v>217</v>
      </c>
      <c r="G373" s="1">
        <v>45468</v>
      </c>
      <c r="H373" s="1">
        <v>45467.961805555555</v>
      </c>
      <c r="I373" s="1">
        <v>45468.628472222219</v>
      </c>
      <c r="J373" t="s">
        <v>16</v>
      </c>
      <c r="K373" s="1">
        <v>45461</v>
      </c>
      <c r="L373" s="1">
        <v>45465.961805555555</v>
      </c>
      <c r="M373" s="1">
        <v>45462.000694444447</v>
      </c>
      <c r="N373" s="1">
        <v>45464.416666666664</v>
      </c>
      <c r="O373" s="1">
        <v>45459.5</v>
      </c>
      <c r="P373" s="1">
        <v>45465.5</v>
      </c>
    </row>
    <row r="374" spans="1:16" hidden="1" x14ac:dyDescent="0.25">
      <c r="A374" s="1">
        <v>45456.455555555556</v>
      </c>
      <c r="B374" t="s">
        <v>128</v>
      </c>
      <c r="C374" t="s">
        <v>362</v>
      </c>
      <c r="D374" t="s">
        <v>363</v>
      </c>
      <c r="E374" t="s">
        <v>44</v>
      </c>
      <c r="F374" t="s">
        <v>30</v>
      </c>
      <c r="G374" s="1">
        <v>45471.75</v>
      </c>
      <c r="H374" s="1">
        <v>45471.75</v>
      </c>
      <c r="I374" s="1">
        <v>45472.375</v>
      </c>
      <c r="J374" t="s">
        <v>13</v>
      </c>
      <c r="K374" s="1">
        <v>45464.75</v>
      </c>
      <c r="L374" s="1">
        <v>45469.75</v>
      </c>
      <c r="M374" s="1">
        <v>45465.000694444447</v>
      </c>
      <c r="N374" s="1">
        <v>45468.75</v>
      </c>
      <c r="O374" s="1">
        <v>45463.25</v>
      </c>
      <c r="P374" s="1">
        <v>45469.25</v>
      </c>
    </row>
    <row r="375" spans="1:16" hidden="1" x14ac:dyDescent="0.25">
      <c r="A375" s="1">
        <v>45456.455555555556</v>
      </c>
      <c r="B375" t="s">
        <v>274</v>
      </c>
      <c r="C375" t="s">
        <v>494</v>
      </c>
      <c r="D375" t="s">
        <v>495</v>
      </c>
      <c r="E375" t="s">
        <v>79</v>
      </c>
      <c r="F375" t="s">
        <v>14</v>
      </c>
      <c r="G375" s="1">
        <v>45474.000694444447</v>
      </c>
      <c r="H375" s="1">
        <v>45474.805555555555</v>
      </c>
      <c r="I375" s="1">
        <v>45475.472222222219</v>
      </c>
      <c r="J375" t="s">
        <v>16</v>
      </c>
      <c r="K375" s="1">
        <v>45467.000694444447</v>
      </c>
      <c r="L375" s="1">
        <v>45472.805555555555</v>
      </c>
      <c r="M375" s="1">
        <v>45468.000694444447</v>
      </c>
      <c r="N375" s="1">
        <v>45471.416666666664</v>
      </c>
      <c r="O375" s="1">
        <v>45465.500694444447</v>
      </c>
      <c r="P375" s="1">
        <v>45471.500694444447</v>
      </c>
    </row>
    <row r="376" spans="1:16" hidden="1" x14ac:dyDescent="0.25">
      <c r="A376" s="1">
        <v>45456.43472222222</v>
      </c>
      <c r="B376" t="s">
        <v>65</v>
      </c>
      <c r="C376" t="s">
        <v>362</v>
      </c>
      <c r="D376" t="s">
        <v>363</v>
      </c>
      <c r="E376" t="s">
        <v>44</v>
      </c>
      <c r="F376" t="s">
        <v>30</v>
      </c>
      <c r="G376" s="1">
        <v>45465</v>
      </c>
      <c r="H376" s="1">
        <v>45464.854166666664</v>
      </c>
      <c r="I376" s="1">
        <v>45465.479166666664</v>
      </c>
      <c r="J376" t="s">
        <v>13</v>
      </c>
      <c r="K376" s="1">
        <v>45458</v>
      </c>
      <c r="L376" s="1">
        <v>45462.854166666664</v>
      </c>
      <c r="M376" s="1">
        <v>45459.000694444447</v>
      </c>
      <c r="N376" s="1">
        <v>45463.5</v>
      </c>
      <c r="O376" s="1">
        <v>45456.5</v>
      </c>
      <c r="P376" s="1">
        <v>45462.5</v>
      </c>
    </row>
    <row r="377" spans="1:16" x14ac:dyDescent="0.25">
      <c r="A377" s="1">
        <v>45456.413888888892</v>
      </c>
      <c r="B377" t="s">
        <v>279</v>
      </c>
      <c r="C377" t="s">
        <v>280</v>
      </c>
      <c r="D377" t="s">
        <v>281</v>
      </c>
      <c r="E377" t="s">
        <v>45</v>
      </c>
      <c r="F377" t="s">
        <v>14</v>
      </c>
      <c r="G377" s="1">
        <v>45459.895833333336</v>
      </c>
      <c r="H377" s="1">
        <v>45467.135416666664</v>
      </c>
      <c r="I377" s="1">
        <v>45467.760416666664</v>
      </c>
      <c r="J377" t="s">
        <v>16</v>
      </c>
      <c r="K377" s="1">
        <v>45452.895833333336</v>
      </c>
      <c r="L377" s="1">
        <v>45465.135416666664</v>
      </c>
      <c r="M377" s="1">
        <v>45453.000694444447</v>
      </c>
      <c r="N377" s="1">
        <v>45457.625</v>
      </c>
      <c r="O377" s="1">
        <v>45451.395833333336</v>
      </c>
      <c r="P377" s="1">
        <v>45457.395833333336</v>
      </c>
    </row>
    <row r="378" spans="1:16" hidden="1" x14ac:dyDescent="0.25">
      <c r="A378" s="1">
        <v>45456.393055555556</v>
      </c>
      <c r="B378" t="s">
        <v>335</v>
      </c>
      <c r="C378" t="s">
        <v>336</v>
      </c>
      <c r="D378" t="s">
        <v>337</v>
      </c>
      <c r="E378" t="s">
        <v>79</v>
      </c>
      <c r="F378" t="s">
        <v>217</v>
      </c>
      <c r="G378" s="1">
        <v>45460.958333333336</v>
      </c>
      <c r="H378" s="1">
        <v>45465.666666666664</v>
      </c>
      <c r="I378" s="1">
        <v>45466.625</v>
      </c>
      <c r="J378" t="s">
        <v>14</v>
      </c>
      <c r="K378" s="1">
        <v>45453.958333333336</v>
      </c>
      <c r="L378" s="1">
        <v>45463.666666666664</v>
      </c>
      <c r="M378" s="1">
        <v>45454.000694444447</v>
      </c>
      <c r="N378" s="1">
        <v>45456.625</v>
      </c>
      <c r="O378" s="1">
        <v>45452.458333333336</v>
      </c>
      <c r="P378" s="1">
        <v>45456.25</v>
      </c>
    </row>
    <row r="379" spans="1:16" hidden="1" x14ac:dyDescent="0.25">
      <c r="A379" s="1">
        <v>45455.686111111114</v>
      </c>
      <c r="B379" t="s">
        <v>147</v>
      </c>
      <c r="C379" t="s">
        <v>288</v>
      </c>
      <c r="D379" t="s">
        <v>289</v>
      </c>
      <c r="E379" t="s">
        <v>77</v>
      </c>
      <c r="F379" t="s">
        <v>14</v>
      </c>
      <c r="G379" s="1">
        <v>45464</v>
      </c>
      <c r="H379" s="1">
        <v>45463.916666666664</v>
      </c>
      <c r="I379" s="1">
        <v>45464.791666666664</v>
      </c>
      <c r="J379" t="s">
        <v>76</v>
      </c>
      <c r="K379" s="1">
        <v>45457</v>
      </c>
      <c r="L379" s="1">
        <v>45461.916666666664</v>
      </c>
      <c r="M379" s="1">
        <v>45458.000694444447</v>
      </c>
      <c r="N379" s="1">
        <v>45462.625</v>
      </c>
      <c r="O379" s="1">
        <v>45455.5</v>
      </c>
      <c r="P379" s="1">
        <v>45461.5</v>
      </c>
    </row>
    <row r="380" spans="1:16" hidden="1" x14ac:dyDescent="0.25">
      <c r="A380" s="1">
        <v>45455.686111111114</v>
      </c>
      <c r="B380" t="s">
        <v>136</v>
      </c>
      <c r="C380" t="s">
        <v>156</v>
      </c>
      <c r="D380" t="s">
        <v>157</v>
      </c>
      <c r="E380" t="s">
        <v>43</v>
      </c>
      <c r="F380" t="s">
        <v>14</v>
      </c>
      <c r="G380" s="1">
        <v>45464.75</v>
      </c>
      <c r="H380" s="1">
        <v>45464.791666666664</v>
      </c>
      <c r="I380" s="1">
        <v>45465.25</v>
      </c>
      <c r="J380" t="s">
        <v>13</v>
      </c>
      <c r="K380" s="1">
        <v>45457.75</v>
      </c>
      <c r="L380" s="1">
        <v>45462.791666666664</v>
      </c>
      <c r="M380" s="1">
        <v>45458.000694444447</v>
      </c>
      <c r="N380" s="1">
        <v>45463.5</v>
      </c>
      <c r="O380" s="1">
        <v>45456.25</v>
      </c>
      <c r="P380" s="1">
        <v>45462.25</v>
      </c>
    </row>
    <row r="381" spans="1:16" hidden="1" x14ac:dyDescent="0.25">
      <c r="A381" s="1">
        <v>45455.686111111114</v>
      </c>
      <c r="B381" t="s">
        <v>65</v>
      </c>
      <c r="C381" t="s">
        <v>362</v>
      </c>
      <c r="D381" t="s">
        <v>363</v>
      </c>
      <c r="E381" t="s">
        <v>44</v>
      </c>
      <c r="F381" t="s">
        <v>30</v>
      </c>
      <c r="G381" s="1">
        <v>45464.75</v>
      </c>
      <c r="H381" s="1">
        <v>45464.854166666664</v>
      </c>
      <c r="I381" s="1">
        <v>45465.479166666664</v>
      </c>
      <c r="J381" t="s">
        <v>13</v>
      </c>
      <c r="K381" s="1">
        <v>45457.75</v>
      </c>
      <c r="L381" s="1">
        <v>45462.854166666664</v>
      </c>
      <c r="M381" s="1">
        <v>45458.000694444447</v>
      </c>
      <c r="N381" s="1">
        <v>45463.5</v>
      </c>
      <c r="O381" s="1">
        <v>45456.25</v>
      </c>
      <c r="P381" s="1">
        <v>45462.25</v>
      </c>
    </row>
    <row r="382" spans="1:16" hidden="1" x14ac:dyDescent="0.25">
      <c r="A382" s="1">
        <v>45455.686111111114</v>
      </c>
      <c r="B382" t="s">
        <v>490</v>
      </c>
      <c r="C382" t="s">
        <v>386</v>
      </c>
      <c r="D382" t="s">
        <v>471</v>
      </c>
      <c r="E382" t="s">
        <v>78</v>
      </c>
      <c r="F382" t="s">
        <v>13</v>
      </c>
      <c r="G382" s="1">
        <v>45465.75</v>
      </c>
      <c r="H382" s="1">
        <v>45465.75</v>
      </c>
      <c r="I382" s="1">
        <v>45467.083333333336</v>
      </c>
      <c r="J382" t="s">
        <v>14</v>
      </c>
      <c r="K382" s="1">
        <v>45458.75</v>
      </c>
      <c r="L382" s="1">
        <v>45463.75</v>
      </c>
      <c r="M382" s="1">
        <v>45459.000694444447</v>
      </c>
      <c r="N382" s="1">
        <v>45464.625</v>
      </c>
      <c r="O382" s="1">
        <v>45456.25</v>
      </c>
      <c r="P382" s="1">
        <v>45462.25</v>
      </c>
    </row>
    <row r="383" spans="1:16" hidden="1" x14ac:dyDescent="0.25">
      <c r="A383" s="1">
        <v>45455.686111111114</v>
      </c>
      <c r="B383" t="s">
        <v>192</v>
      </c>
      <c r="C383" t="s">
        <v>282</v>
      </c>
      <c r="D383" t="s">
        <v>320</v>
      </c>
      <c r="E383" t="s">
        <v>46</v>
      </c>
      <c r="F383" t="s">
        <v>13</v>
      </c>
      <c r="G383" s="1">
        <v>45470</v>
      </c>
      <c r="H383" s="1">
        <v>45470</v>
      </c>
      <c r="I383" s="1">
        <v>45471</v>
      </c>
      <c r="J383" t="s">
        <v>27</v>
      </c>
      <c r="K383" s="1">
        <v>45463</v>
      </c>
      <c r="L383" s="1">
        <v>45468</v>
      </c>
      <c r="M383" s="1">
        <v>45464.000694444447</v>
      </c>
      <c r="N383" s="1">
        <v>45468.625</v>
      </c>
      <c r="O383" s="1">
        <v>45461.5</v>
      </c>
      <c r="P383" s="1">
        <v>45467.5</v>
      </c>
    </row>
    <row r="384" spans="1:16" hidden="1" x14ac:dyDescent="0.25">
      <c r="A384" s="1">
        <v>45455.686111111114</v>
      </c>
      <c r="B384" t="s">
        <v>151</v>
      </c>
      <c r="C384" t="s">
        <v>285</v>
      </c>
      <c r="D384" t="s">
        <v>286</v>
      </c>
      <c r="E384" t="s">
        <v>77</v>
      </c>
      <c r="F384" t="s">
        <v>14</v>
      </c>
      <c r="G384" s="1">
        <v>45471</v>
      </c>
      <c r="H384" s="1">
        <v>45471.041666666664</v>
      </c>
      <c r="I384" s="1">
        <v>45471.916666666664</v>
      </c>
      <c r="J384" t="s">
        <v>76</v>
      </c>
      <c r="K384" s="1">
        <v>45464</v>
      </c>
      <c r="L384" s="1">
        <v>45469.041666666664</v>
      </c>
      <c r="M384" s="1">
        <v>45465.000694444447</v>
      </c>
      <c r="N384" s="1">
        <v>45469.625</v>
      </c>
      <c r="O384" s="1">
        <v>45462.5</v>
      </c>
      <c r="P384" s="1">
        <v>45468.5</v>
      </c>
    </row>
    <row r="385" spans="1:16" hidden="1" x14ac:dyDescent="0.25">
      <c r="A385" s="1">
        <v>45455.686111111114</v>
      </c>
      <c r="B385" t="s">
        <v>624</v>
      </c>
      <c r="C385" t="s">
        <v>625</v>
      </c>
      <c r="D385" t="s">
        <v>625</v>
      </c>
      <c r="E385" t="s">
        <v>246</v>
      </c>
      <c r="G385" s="1">
        <v>45471.291666666664</v>
      </c>
      <c r="H385" s="1">
        <v>45471.291666666664</v>
      </c>
      <c r="I385" s="1">
        <v>45471.5</v>
      </c>
      <c r="J385" t="s">
        <v>76</v>
      </c>
      <c r="K385" s="1">
        <v>45464.291666666664</v>
      </c>
      <c r="L385" s="1">
        <v>45469.291666666664</v>
      </c>
      <c r="M385" s="1">
        <v>45465.000694444447</v>
      </c>
      <c r="N385" s="1">
        <v>45468.291666666664</v>
      </c>
      <c r="O385" s="1">
        <v>45462.791666666664</v>
      </c>
      <c r="P385" s="1">
        <v>45468.791666666664</v>
      </c>
    </row>
    <row r="386" spans="1:16" hidden="1" x14ac:dyDescent="0.25">
      <c r="A386" s="1">
        <v>45455.665277777778</v>
      </c>
      <c r="B386" t="s">
        <v>326</v>
      </c>
      <c r="C386" t="s">
        <v>283</v>
      </c>
      <c r="D386" t="s">
        <v>247</v>
      </c>
      <c r="E386" t="s">
        <v>42</v>
      </c>
      <c r="F386" t="s">
        <v>14</v>
      </c>
      <c r="G386" s="1">
        <v>45459.291666666664</v>
      </c>
      <c r="H386" s="1">
        <v>45465.354166666664</v>
      </c>
      <c r="I386" s="1">
        <v>45466.333333333336</v>
      </c>
      <c r="J386" t="s">
        <v>17</v>
      </c>
      <c r="K386" s="1">
        <v>45452.291666666664</v>
      </c>
      <c r="L386" s="1">
        <v>45463.354166666664</v>
      </c>
      <c r="M386" s="1">
        <v>45453.000694444447</v>
      </c>
      <c r="N386" s="1">
        <v>45464.5</v>
      </c>
      <c r="O386" s="1">
        <v>45450.791666666664</v>
      </c>
      <c r="P386" s="1">
        <v>45456.791666666664</v>
      </c>
    </row>
    <row r="387" spans="1:16" hidden="1" x14ac:dyDescent="0.25">
      <c r="A387" s="1">
        <v>45455.644444444442</v>
      </c>
      <c r="B387" t="s">
        <v>357</v>
      </c>
      <c r="C387" t="s">
        <v>284</v>
      </c>
      <c r="D387" t="s">
        <v>255</v>
      </c>
      <c r="E387" t="s">
        <v>45</v>
      </c>
      <c r="F387" t="s">
        <v>14</v>
      </c>
      <c r="G387" s="1">
        <v>45460</v>
      </c>
      <c r="H387" s="1">
        <v>45465.320138888892</v>
      </c>
      <c r="I387" s="1">
        <v>45466.111111111109</v>
      </c>
      <c r="J387" t="s">
        <v>16</v>
      </c>
      <c r="K387" s="1">
        <v>45453</v>
      </c>
      <c r="L387" s="1">
        <v>45463.320138888892</v>
      </c>
      <c r="M387" s="1">
        <v>45454.000694444447</v>
      </c>
      <c r="N387" s="1">
        <v>45463.625</v>
      </c>
      <c r="O387" s="1">
        <v>45451.5</v>
      </c>
      <c r="P387" s="1">
        <v>45457.5</v>
      </c>
    </row>
    <row r="388" spans="1:16" hidden="1" x14ac:dyDescent="0.25">
      <c r="A388" s="1">
        <v>45455.644444444442</v>
      </c>
      <c r="B388" t="s">
        <v>326</v>
      </c>
      <c r="C388" t="s">
        <v>283</v>
      </c>
      <c r="D388" t="s">
        <v>247</v>
      </c>
      <c r="E388" t="s">
        <v>42</v>
      </c>
      <c r="F388" t="s">
        <v>14</v>
      </c>
      <c r="G388" s="1">
        <v>45459.291666666664</v>
      </c>
      <c r="H388" s="1">
        <v>45465.354166666664</v>
      </c>
      <c r="I388" s="1">
        <v>45465.9375</v>
      </c>
      <c r="J388" t="s">
        <v>17</v>
      </c>
      <c r="K388" s="1">
        <v>45452.291666666664</v>
      </c>
      <c r="L388" s="1">
        <v>45463.354166666664</v>
      </c>
      <c r="M388" s="1">
        <v>45453.000694444447</v>
      </c>
      <c r="N388" s="1">
        <v>45464.5</v>
      </c>
      <c r="O388" s="1">
        <v>45450.791666666664</v>
      </c>
      <c r="P388" s="1">
        <v>45456.791666666664</v>
      </c>
    </row>
    <row r="389" spans="1:16" hidden="1" x14ac:dyDescent="0.25">
      <c r="A389" s="1">
        <v>45455.644444444442</v>
      </c>
      <c r="B389" t="s">
        <v>152</v>
      </c>
      <c r="C389" t="s">
        <v>290</v>
      </c>
      <c r="D389" t="s">
        <v>256</v>
      </c>
      <c r="E389" t="s">
        <v>42</v>
      </c>
      <c r="F389" t="s">
        <v>14</v>
      </c>
      <c r="G389" s="1">
        <v>45466.291666666664</v>
      </c>
      <c r="H389" s="1">
        <v>45466.291666666664</v>
      </c>
      <c r="I389" s="1">
        <v>45466.958333333336</v>
      </c>
      <c r="J389" t="s">
        <v>17</v>
      </c>
      <c r="K389" s="1">
        <v>45459.291666666664</v>
      </c>
      <c r="L389" s="1">
        <v>45464.291666666664</v>
      </c>
      <c r="M389" s="1">
        <v>45460.000694444447</v>
      </c>
      <c r="N389" s="1">
        <v>45464.625</v>
      </c>
      <c r="O389" s="1">
        <v>45457.791666666664</v>
      </c>
      <c r="P389" s="1">
        <v>45463.791666666664</v>
      </c>
    </row>
    <row r="390" spans="1:16" hidden="1" x14ac:dyDescent="0.25">
      <c r="A390" s="1">
        <v>45455.502083333333</v>
      </c>
      <c r="B390" t="s">
        <v>141</v>
      </c>
      <c r="C390" t="s">
        <v>358</v>
      </c>
      <c r="D390" t="s">
        <v>358</v>
      </c>
      <c r="E390" t="s">
        <v>644</v>
      </c>
      <c r="F390" t="s">
        <v>17</v>
      </c>
      <c r="G390" s="1">
        <v>45468.5</v>
      </c>
      <c r="H390" s="1">
        <v>45468.270833333336</v>
      </c>
      <c r="I390" s="1">
        <v>45469.270833333336</v>
      </c>
      <c r="J390" t="s">
        <v>17</v>
      </c>
      <c r="K390" s="1">
        <v>45461.5</v>
      </c>
      <c r="L390" s="1">
        <v>45466.270833333336</v>
      </c>
      <c r="M390" s="1">
        <v>45462.000694444447</v>
      </c>
      <c r="N390" s="1">
        <v>45467.5</v>
      </c>
      <c r="O390" s="1">
        <v>45460</v>
      </c>
      <c r="P390" s="1">
        <v>45466</v>
      </c>
    </row>
    <row r="391" spans="1:16" hidden="1" x14ac:dyDescent="0.25">
      <c r="A391" s="1">
        <v>45455.481249999997</v>
      </c>
      <c r="B391" t="s">
        <v>311</v>
      </c>
      <c r="C391" t="s">
        <v>719</v>
      </c>
      <c r="D391" t="s">
        <v>720</v>
      </c>
      <c r="E391" t="s">
        <v>79</v>
      </c>
      <c r="F391" t="s">
        <v>14</v>
      </c>
      <c r="G391" s="1">
        <v>45475.000694444447</v>
      </c>
      <c r="H391" s="1">
        <v>45475.000694444447</v>
      </c>
      <c r="I391" s="1">
        <v>45475.701388888891</v>
      </c>
      <c r="J391" t="s">
        <v>16</v>
      </c>
      <c r="K391" s="1">
        <v>45468.000694444447</v>
      </c>
      <c r="L391" s="1">
        <v>45473.000694444447</v>
      </c>
      <c r="M391" s="1">
        <v>45469.000694444447</v>
      </c>
      <c r="N391" s="1">
        <v>45472.000694444447</v>
      </c>
      <c r="O391" s="1">
        <v>45466.500694444447</v>
      </c>
      <c r="P391" s="1">
        <v>45472.500694444447</v>
      </c>
    </row>
    <row r="392" spans="1:16" hidden="1" x14ac:dyDescent="0.25">
      <c r="A392" s="1">
        <v>45454.709027777775</v>
      </c>
      <c r="B392" t="s">
        <v>489</v>
      </c>
      <c r="C392" t="s">
        <v>342</v>
      </c>
      <c r="D392" t="s">
        <v>342</v>
      </c>
      <c r="E392" t="s">
        <v>436</v>
      </c>
      <c r="F392" t="s">
        <v>75</v>
      </c>
      <c r="G392" s="1">
        <v>45463.541666666664</v>
      </c>
      <c r="H392" s="1">
        <v>45463.729166666664</v>
      </c>
      <c r="I392" s="1">
        <v>45464.729166666664</v>
      </c>
      <c r="J392" t="s">
        <v>13</v>
      </c>
      <c r="K392" s="1">
        <v>45456.541666666664</v>
      </c>
      <c r="L392" s="1">
        <v>45461.729166666664</v>
      </c>
      <c r="M392" s="1">
        <v>45457.000694444447</v>
      </c>
      <c r="N392" s="1">
        <v>45461.5</v>
      </c>
      <c r="O392" s="1">
        <v>45455.041666666664</v>
      </c>
      <c r="P392" s="1">
        <v>45461.041666666664</v>
      </c>
    </row>
    <row r="393" spans="1:16" hidden="1" x14ac:dyDescent="0.25">
      <c r="A393" s="1">
        <v>45454.709027777775</v>
      </c>
      <c r="B393" t="s">
        <v>326</v>
      </c>
      <c r="C393" t="s">
        <v>283</v>
      </c>
      <c r="D393" t="s">
        <v>247</v>
      </c>
      <c r="E393" t="s">
        <v>42</v>
      </c>
      <c r="F393" t="s">
        <v>14</v>
      </c>
      <c r="G393" s="1">
        <v>45459.291666666664</v>
      </c>
      <c r="H393" s="1">
        <v>45465.354166666664</v>
      </c>
      <c r="I393" s="1">
        <v>45465.9375</v>
      </c>
      <c r="J393" t="s">
        <v>17</v>
      </c>
      <c r="K393" s="1">
        <v>45452.291666666664</v>
      </c>
      <c r="L393" s="1">
        <v>45463.354166666664</v>
      </c>
      <c r="M393" s="1">
        <v>45453.000694444447</v>
      </c>
      <c r="N393" s="1">
        <v>45457.625</v>
      </c>
      <c r="O393" s="1">
        <v>45450.791666666664</v>
      </c>
      <c r="P393" s="1">
        <v>45456.791666666664</v>
      </c>
    </row>
    <row r="394" spans="1:16" hidden="1" x14ac:dyDescent="0.25">
      <c r="A394" s="1">
        <v>45454.513888888891</v>
      </c>
      <c r="B394" t="s">
        <v>151</v>
      </c>
      <c r="C394" t="s">
        <v>285</v>
      </c>
      <c r="D394" t="s">
        <v>286</v>
      </c>
      <c r="E394" t="s">
        <v>77</v>
      </c>
      <c r="F394" t="s">
        <v>14</v>
      </c>
      <c r="G394" s="1">
        <v>45467.354166666664</v>
      </c>
      <c r="H394" s="1">
        <v>45467.354166666664</v>
      </c>
      <c r="I394" s="1">
        <v>45468.229166666664</v>
      </c>
      <c r="J394" t="s">
        <v>76</v>
      </c>
      <c r="K394" s="1">
        <v>45460.354166666664</v>
      </c>
      <c r="L394" s="1">
        <v>45465.354166666664</v>
      </c>
      <c r="M394" s="1">
        <v>45461.000694444447</v>
      </c>
      <c r="N394" s="1">
        <v>45466.625</v>
      </c>
      <c r="O394" s="1">
        <v>45458.854166666664</v>
      </c>
      <c r="P394" s="1">
        <v>45464.854166666664</v>
      </c>
    </row>
    <row r="395" spans="1:16" hidden="1" x14ac:dyDescent="0.25">
      <c r="A395" s="1">
        <v>45454.513888888891</v>
      </c>
      <c r="B395" t="s">
        <v>141</v>
      </c>
      <c r="C395" t="s">
        <v>358</v>
      </c>
      <c r="D395" t="s">
        <v>474</v>
      </c>
      <c r="E395" t="s">
        <v>644</v>
      </c>
      <c r="F395" t="s">
        <v>17</v>
      </c>
      <c r="G395" s="1">
        <v>45468.5</v>
      </c>
      <c r="H395" s="1">
        <v>45468.270833333336</v>
      </c>
      <c r="I395" s="1">
        <v>45469.270833333336</v>
      </c>
      <c r="J395" t="s">
        <v>17</v>
      </c>
      <c r="K395" s="1">
        <v>45461.5</v>
      </c>
      <c r="L395" s="1">
        <v>45466.270833333336</v>
      </c>
      <c r="M395" s="1">
        <v>45462.000694444447</v>
      </c>
      <c r="N395" s="1">
        <v>45467.5</v>
      </c>
      <c r="O395" s="1">
        <v>45460</v>
      </c>
      <c r="P395" s="1">
        <v>45466</v>
      </c>
    </row>
    <row r="396" spans="1:16" hidden="1" x14ac:dyDescent="0.25">
      <c r="A396" s="1">
        <v>45454.480555555558</v>
      </c>
      <c r="B396" t="s">
        <v>133</v>
      </c>
      <c r="C396" t="s">
        <v>488</v>
      </c>
      <c r="D396" t="s">
        <v>186</v>
      </c>
      <c r="E396" t="s">
        <v>45</v>
      </c>
      <c r="F396" t="s">
        <v>14</v>
      </c>
      <c r="G396" s="1">
        <v>45474</v>
      </c>
      <c r="H396" s="1">
        <v>45481.049305555556</v>
      </c>
      <c r="I396" s="1">
        <v>45481.756944444445</v>
      </c>
      <c r="J396" t="s">
        <v>16</v>
      </c>
      <c r="K396" s="1">
        <v>45467</v>
      </c>
      <c r="L396" s="1">
        <v>45479.049305555556</v>
      </c>
      <c r="M396" s="1">
        <v>45468.000694444447</v>
      </c>
      <c r="N396" s="1">
        <v>45478.049305555556</v>
      </c>
      <c r="O396" s="1">
        <v>45465.5</v>
      </c>
      <c r="P396" s="1">
        <v>45471.5</v>
      </c>
    </row>
    <row r="397" spans="1:16" hidden="1" x14ac:dyDescent="0.25">
      <c r="A397" s="1">
        <v>45454.480555555558</v>
      </c>
      <c r="B397" t="s">
        <v>250</v>
      </c>
      <c r="C397" t="s">
        <v>306</v>
      </c>
      <c r="D397" t="s">
        <v>258</v>
      </c>
      <c r="E397" t="s">
        <v>45</v>
      </c>
      <c r="F397" t="s">
        <v>14</v>
      </c>
      <c r="G397" s="1">
        <v>45480.000694444447</v>
      </c>
      <c r="H397" s="1">
        <v>45481.896527777775</v>
      </c>
      <c r="I397" s="1">
        <v>45482.520833333336</v>
      </c>
      <c r="J397" t="s">
        <v>16</v>
      </c>
      <c r="K397" s="1">
        <v>45473.000694444447</v>
      </c>
      <c r="L397" s="1">
        <v>45479.896527777775</v>
      </c>
      <c r="M397" s="1">
        <v>45474.000694444447</v>
      </c>
      <c r="N397" s="1">
        <v>45478.896527777775</v>
      </c>
      <c r="O397" s="1">
        <v>45471.500694444447</v>
      </c>
      <c r="P397" s="1">
        <v>45477.500694444447</v>
      </c>
    </row>
    <row r="398" spans="1:16" hidden="1" x14ac:dyDescent="0.25">
      <c r="A398" s="1">
        <v>45453.709027777775</v>
      </c>
      <c r="B398" t="s">
        <v>64</v>
      </c>
      <c r="C398" t="s">
        <v>329</v>
      </c>
      <c r="D398" t="s">
        <v>330</v>
      </c>
      <c r="E398" t="s">
        <v>52</v>
      </c>
      <c r="G398" s="1">
        <v>45467.333333333336</v>
      </c>
      <c r="H398" s="1">
        <v>45467.333333333336</v>
      </c>
      <c r="I398" s="1">
        <v>45467.708333333336</v>
      </c>
      <c r="J398" t="s">
        <v>23</v>
      </c>
      <c r="K398" s="1">
        <v>45460.333333333336</v>
      </c>
      <c r="L398" s="1">
        <v>45465.333333333336</v>
      </c>
      <c r="M398" s="1">
        <v>45461.000694444447</v>
      </c>
      <c r="N398" s="1">
        <v>45464.333333333336</v>
      </c>
      <c r="O398" s="1">
        <v>45458.833333333336</v>
      </c>
      <c r="P398" s="1">
        <v>45464.833333333336</v>
      </c>
    </row>
    <row r="399" spans="1:16" hidden="1" x14ac:dyDescent="0.25">
      <c r="A399" s="1">
        <v>45453.709027777775</v>
      </c>
      <c r="B399" t="s">
        <v>642</v>
      </c>
      <c r="C399" t="s">
        <v>643</v>
      </c>
      <c r="D399" t="s">
        <v>643</v>
      </c>
      <c r="E399" t="s">
        <v>18</v>
      </c>
      <c r="F399" t="s">
        <v>19</v>
      </c>
      <c r="G399" s="1">
        <v>45475.916666666664</v>
      </c>
      <c r="H399" s="1">
        <v>45475.916666666664</v>
      </c>
      <c r="I399" s="1">
        <v>45476.958333333336</v>
      </c>
      <c r="J399" t="s">
        <v>80</v>
      </c>
      <c r="K399" s="1">
        <v>45468.916666666664</v>
      </c>
      <c r="L399" s="1">
        <v>45473.916666666664</v>
      </c>
      <c r="M399" s="1">
        <v>45469.000694444447</v>
      </c>
      <c r="N399" s="1">
        <v>45472.916666666664</v>
      </c>
      <c r="O399" s="1">
        <v>45467.416666666664</v>
      </c>
      <c r="P399" s="1">
        <v>45473.416666666664</v>
      </c>
    </row>
    <row r="400" spans="1:16" hidden="1" x14ac:dyDescent="0.25">
      <c r="A400" s="1">
        <v>45453.625694444447</v>
      </c>
      <c r="B400" t="s">
        <v>133</v>
      </c>
      <c r="C400" t="s">
        <v>488</v>
      </c>
      <c r="D400" t="s">
        <v>186</v>
      </c>
      <c r="E400" t="s">
        <v>45</v>
      </c>
      <c r="F400" t="s">
        <v>14</v>
      </c>
      <c r="G400" s="1">
        <v>45474</v>
      </c>
      <c r="H400" s="1">
        <v>45474.000694444447</v>
      </c>
      <c r="I400" s="1">
        <v>45474.708333333336</v>
      </c>
      <c r="J400" t="s">
        <v>16</v>
      </c>
      <c r="K400" s="1">
        <v>45467</v>
      </c>
      <c r="L400" s="1">
        <v>45472.000694444447</v>
      </c>
      <c r="M400" s="1">
        <v>45468.000694444447</v>
      </c>
      <c r="N400" s="1">
        <v>45471.000694444447</v>
      </c>
      <c r="O400" s="1">
        <v>45465.5</v>
      </c>
      <c r="P400" s="1">
        <v>45471.5</v>
      </c>
    </row>
    <row r="401" spans="1:16" hidden="1" x14ac:dyDescent="0.25">
      <c r="A401" s="1">
        <v>45453.625694444447</v>
      </c>
      <c r="B401" t="s">
        <v>274</v>
      </c>
      <c r="C401" t="s">
        <v>494</v>
      </c>
      <c r="D401" t="s">
        <v>495</v>
      </c>
      <c r="E401" t="s">
        <v>79</v>
      </c>
      <c r="F401" t="s">
        <v>14</v>
      </c>
      <c r="G401" s="1">
        <v>45474.000694444447</v>
      </c>
      <c r="H401" s="1">
        <v>45474.753472222219</v>
      </c>
      <c r="I401" s="1">
        <v>45475.420138888891</v>
      </c>
      <c r="J401" t="s">
        <v>16</v>
      </c>
      <c r="K401" s="1">
        <v>45467.000694444447</v>
      </c>
      <c r="L401" s="1">
        <v>45472.753472222219</v>
      </c>
      <c r="M401" s="1">
        <v>45468.000694444447</v>
      </c>
      <c r="N401" s="1">
        <v>45471.416666666664</v>
      </c>
      <c r="O401" s="1">
        <v>45465.500694444447</v>
      </c>
      <c r="P401" s="1">
        <v>45471.500694444447</v>
      </c>
    </row>
    <row r="402" spans="1:16" hidden="1" x14ac:dyDescent="0.25">
      <c r="A402" s="1">
        <v>45453.625694444447</v>
      </c>
      <c r="B402" t="s">
        <v>250</v>
      </c>
      <c r="C402" t="s">
        <v>306</v>
      </c>
      <c r="D402" t="s">
        <v>258</v>
      </c>
      <c r="E402" t="s">
        <v>45</v>
      </c>
      <c r="F402" t="s">
        <v>14</v>
      </c>
      <c r="G402" s="1">
        <v>45480.000694444447</v>
      </c>
      <c r="H402" s="1">
        <v>45480.993750000001</v>
      </c>
      <c r="I402" s="1">
        <v>45481.618055555555</v>
      </c>
      <c r="J402" t="s">
        <v>16</v>
      </c>
      <c r="K402" s="1">
        <v>45473.000694444447</v>
      </c>
      <c r="L402" s="1">
        <v>45478.993750000001</v>
      </c>
      <c r="M402" s="1">
        <v>45474.000694444447</v>
      </c>
      <c r="N402" s="1">
        <v>45477.993750000001</v>
      </c>
      <c r="O402" s="1">
        <v>45471.500694444447</v>
      </c>
      <c r="P402" s="1">
        <v>45477.500694444447</v>
      </c>
    </row>
    <row r="403" spans="1:16" hidden="1" x14ac:dyDescent="0.25">
      <c r="A403" s="1">
        <v>45453.604861111111</v>
      </c>
      <c r="B403" t="s">
        <v>454</v>
      </c>
      <c r="C403" t="s">
        <v>455</v>
      </c>
      <c r="D403" t="s">
        <v>456</v>
      </c>
      <c r="E403" t="s">
        <v>79</v>
      </c>
      <c r="F403" t="s">
        <v>14</v>
      </c>
      <c r="G403" s="1">
        <v>45468</v>
      </c>
      <c r="H403" s="1">
        <v>45467.774305555555</v>
      </c>
      <c r="I403" s="1">
        <v>45468.440972222219</v>
      </c>
      <c r="J403" t="s">
        <v>16</v>
      </c>
      <c r="K403" s="1">
        <v>45461</v>
      </c>
      <c r="L403" s="1">
        <v>45465.774305555555</v>
      </c>
      <c r="M403" s="1">
        <v>45462.000694444447</v>
      </c>
      <c r="N403" s="1">
        <v>45464.416666666664</v>
      </c>
      <c r="O403" s="1">
        <v>45459.5</v>
      </c>
      <c r="P403" s="1">
        <v>45465.5</v>
      </c>
    </row>
    <row r="404" spans="1:16" hidden="1" x14ac:dyDescent="0.25">
      <c r="A404" s="1">
        <v>45453.604861111111</v>
      </c>
      <c r="B404" t="s">
        <v>274</v>
      </c>
      <c r="C404" t="s">
        <v>494</v>
      </c>
      <c r="D404" t="s">
        <v>495</v>
      </c>
      <c r="E404" t="s">
        <v>79</v>
      </c>
      <c r="F404" t="s">
        <v>14</v>
      </c>
      <c r="G404" s="1">
        <v>45482.000694444447</v>
      </c>
      <c r="H404" s="1">
        <v>45474.753472222219</v>
      </c>
      <c r="I404" s="1">
        <v>45475.420138888891</v>
      </c>
      <c r="J404" t="s">
        <v>16</v>
      </c>
      <c r="K404" s="1">
        <v>45475.000694444447</v>
      </c>
      <c r="L404" s="1">
        <v>45472.753472222219</v>
      </c>
      <c r="M404" s="1">
        <v>45476.000694444447</v>
      </c>
      <c r="N404" s="1">
        <v>45471.753472222219</v>
      </c>
      <c r="O404" s="1">
        <v>45473.500694444447</v>
      </c>
      <c r="P404" s="1">
        <v>45479.500694444447</v>
      </c>
    </row>
    <row r="405" spans="1:16" hidden="1" x14ac:dyDescent="0.25">
      <c r="A405" s="1">
        <v>45453.584027777775</v>
      </c>
      <c r="B405" t="s">
        <v>274</v>
      </c>
      <c r="C405" t="s">
        <v>494</v>
      </c>
      <c r="D405" t="s">
        <v>495</v>
      </c>
      <c r="E405" t="s">
        <v>79</v>
      </c>
      <c r="F405" t="s">
        <v>14</v>
      </c>
      <c r="G405" s="1">
        <v>45482.000694444447</v>
      </c>
      <c r="H405" s="1">
        <v>45482.097222222219</v>
      </c>
      <c r="I405" s="1">
        <v>45482.763888888891</v>
      </c>
      <c r="J405" t="s">
        <v>16</v>
      </c>
      <c r="K405" s="1">
        <v>45475.000694444447</v>
      </c>
      <c r="L405" s="1">
        <v>45480.097222222219</v>
      </c>
      <c r="M405" s="1">
        <v>45476.000694444447</v>
      </c>
      <c r="N405" s="1">
        <v>45479.097222222219</v>
      </c>
      <c r="O405" s="1">
        <v>45473.500694444447</v>
      </c>
      <c r="P405" s="1">
        <v>45479.500694444447</v>
      </c>
    </row>
    <row r="406" spans="1:16" hidden="1" x14ac:dyDescent="0.25">
      <c r="A406" s="1">
        <v>45453.385416666664</v>
      </c>
      <c r="B406" t="s">
        <v>357</v>
      </c>
      <c r="C406" t="s">
        <v>284</v>
      </c>
      <c r="D406" t="s">
        <v>255</v>
      </c>
      <c r="E406" t="s">
        <v>45</v>
      </c>
      <c r="F406" t="s">
        <v>14</v>
      </c>
      <c r="G406" s="1">
        <v>45460</v>
      </c>
      <c r="H406" s="1">
        <v>45465.320138888892</v>
      </c>
      <c r="I406" s="1">
        <v>45466.111111111109</v>
      </c>
      <c r="J406" t="s">
        <v>16</v>
      </c>
      <c r="K406" s="1">
        <v>45453</v>
      </c>
      <c r="L406" s="1">
        <v>45463.320138888892</v>
      </c>
      <c r="M406" s="1">
        <v>45454.000694444447</v>
      </c>
      <c r="N406" s="1">
        <v>45458.625</v>
      </c>
      <c r="O406" s="1">
        <v>45451.5</v>
      </c>
      <c r="P406" s="1">
        <v>45457.5</v>
      </c>
    </row>
    <row r="407" spans="1:16" hidden="1" x14ac:dyDescent="0.25">
      <c r="A407" s="1">
        <v>45453.385416666664</v>
      </c>
      <c r="B407" t="s">
        <v>634</v>
      </c>
      <c r="C407" t="s">
        <v>467</v>
      </c>
      <c r="D407" t="s">
        <v>472</v>
      </c>
      <c r="E407" t="s">
        <v>78</v>
      </c>
      <c r="F407" t="s">
        <v>13</v>
      </c>
      <c r="G407" s="1">
        <v>45472.75</v>
      </c>
      <c r="H407" s="1">
        <v>45472.75</v>
      </c>
      <c r="I407" s="1">
        <v>45474.25</v>
      </c>
      <c r="J407" t="s">
        <v>14</v>
      </c>
      <c r="K407" s="1">
        <v>45465.75</v>
      </c>
      <c r="L407" s="1">
        <v>45470.75</v>
      </c>
      <c r="M407" s="1">
        <v>45466.000694444447</v>
      </c>
      <c r="N407" s="1">
        <v>45471.5</v>
      </c>
      <c r="O407" s="1">
        <v>45463.25</v>
      </c>
      <c r="P407" s="1">
        <v>45469.25</v>
      </c>
    </row>
    <row r="408" spans="1:16" hidden="1" x14ac:dyDescent="0.25">
      <c r="A408" s="1">
        <v>45453.385416666664</v>
      </c>
      <c r="B408" t="s">
        <v>564</v>
      </c>
      <c r="C408" t="s">
        <v>287</v>
      </c>
      <c r="D408" t="s">
        <v>287</v>
      </c>
      <c r="E408" t="s">
        <v>138</v>
      </c>
      <c r="F408" t="s">
        <v>139</v>
      </c>
      <c r="G408" s="1">
        <v>45475.25</v>
      </c>
      <c r="H408" s="1">
        <v>45475.25</v>
      </c>
      <c r="I408" s="1">
        <v>45476.25</v>
      </c>
      <c r="J408" t="s">
        <v>17</v>
      </c>
      <c r="K408" s="1">
        <v>45468.25</v>
      </c>
      <c r="L408" s="1">
        <v>45473.25</v>
      </c>
      <c r="M408" s="1">
        <v>45469.000694444447</v>
      </c>
      <c r="N408" s="1">
        <v>45473.625</v>
      </c>
      <c r="O408" s="1">
        <v>45466.75</v>
      </c>
      <c r="P408" s="1">
        <v>45472.75</v>
      </c>
    </row>
    <row r="409" spans="1:16" hidden="1" x14ac:dyDescent="0.25">
      <c r="A409" s="1">
        <v>45453.385416666664</v>
      </c>
      <c r="B409" t="s">
        <v>478</v>
      </c>
      <c r="C409" t="s">
        <v>471</v>
      </c>
      <c r="D409" t="s">
        <v>471</v>
      </c>
      <c r="E409" t="s">
        <v>273</v>
      </c>
      <c r="F409" t="s">
        <v>125</v>
      </c>
      <c r="G409" s="1">
        <v>45476.416666666664</v>
      </c>
      <c r="H409" s="1">
        <v>45476.416666666664</v>
      </c>
      <c r="I409" s="1">
        <v>45477.375</v>
      </c>
      <c r="J409" t="s">
        <v>80</v>
      </c>
      <c r="K409" s="1">
        <v>45469.416666666664</v>
      </c>
      <c r="L409" s="1">
        <v>45474.416666666664</v>
      </c>
      <c r="M409" s="1">
        <v>45470.000694444447</v>
      </c>
      <c r="N409" s="1">
        <v>45475.5</v>
      </c>
      <c r="O409" s="1">
        <v>45467.916666666664</v>
      </c>
      <c r="P409" s="1">
        <v>45473.916666666664</v>
      </c>
    </row>
    <row r="410" spans="1:16" hidden="1" x14ac:dyDescent="0.25">
      <c r="A410" s="1">
        <v>45453.385416666664</v>
      </c>
      <c r="B410" t="s">
        <v>688</v>
      </c>
      <c r="C410" t="s">
        <v>467</v>
      </c>
      <c r="D410" t="s">
        <v>467</v>
      </c>
      <c r="E410" t="s">
        <v>436</v>
      </c>
      <c r="F410" t="s">
        <v>75</v>
      </c>
      <c r="G410" s="1">
        <v>45477.541666666664</v>
      </c>
      <c r="H410" s="1">
        <v>45477.541666666664</v>
      </c>
      <c r="I410" s="1">
        <v>45478.541666666664</v>
      </c>
      <c r="J410" t="s">
        <v>13</v>
      </c>
      <c r="K410" s="1">
        <v>45470.541666666664</v>
      </c>
      <c r="L410" s="1">
        <v>45475.541666666664</v>
      </c>
      <c r="M410" s="1">
        <v>45471.000694444447</v>
      </c>
      <c r="N410" s="1">
        <v>45476.5</v>
      </c>
      <c r="O410" s="1">
        <v>45469.041666666664</v>
      </c>
      <c r="P410" s="1">
        <v>45475.041666666664</v>
      </c>
    </row>
    <row r="411" spans="1:16" hidden="1" x14ac:dyDescent="0.25">
      <c r="A411" s="1">
        <v>45453.385416666664</v>
      </c>
      <c r="B411" t="s">
        <v>310</v>
      </c>
      <c r="C411" t="s">
        <v>518</v>
      </c>
      <c r="D411" t="s">
        <v>474</v>
      </c>
      <c r="E411" t="s">
        <v>78</v>
      </c>
      <c r="F411" t="s">
        <v>13</v>
      </c>
      <c r="G411" s="1">
        <v>45479.75</v>
      </c>
      <c r="H411" s="1">
        <v>45479.75</v>
      </c>
      <c r="I411" s="1">
        <v>45481.375</v>
      </c>
      <c r="J411" t="s">
        <v>14</v>
      </c>
      <c r="K411" s="1">
        <v>45472.75</v>
      </c>
      <c r="L411" s="1">
        <v>45477.75</v>
      </c>
      <c r="M411" s="1">
        <v>45473.000694444447</v>
      </c>
      <c r="N411" s="1">
        <v>45478.625</v>
      </c>
      <c r="O411" s="1">
        <v>45470.25</v>
      </c>
      <c r="P411" s="1">
        <v>45476.25</v>
      </c>
    </row>
    <row r="412" spans="1:16" hidden="1" x14ac:dyDescent="0.25">
      <c r="A412" s="1">
        <v>45450.629166666666</v>
      </c>
      <c r="B412" t="s">
        <v>151</v>
      </c>
      <c r="C412" t="s">
        <v>285</v>
      </c>
      <c r="D412" t="s">
        <v>286</v>
      </c>
      <c r="E412" t="s">
        <v>77</v>
      </c>
      <c r="F412" t="s">
        <v>14</v>
      </c>
      <c r="G412" s="1">
        <v>45463.958333333336</v>
      </c>
      <c r="H412" s="1">
        <v>45463.916666666664</v>
      </c>
      <c r="I412" s="1">
        <v>45464.791666666664</v>
      </c>
      <c r="J412" t="s">
        <v>76</v>
      </c>
      <c r="K412" s="1">
        <v>45456.958333333336</v>
      </c>
      <c r="L412" s="1">
        <v>45461.916666666664</v>
      </c>
      <c r="M412" s="1">
        <v>45457.000694444447</v>
      </c>
      <c r="N412" s="1">
        <v>45461.625</v>
      </c>
      <c r="O412" s="1">
        <v>45455.458333333336</v>
      </c>
      <c r="P412" s="1">
        <v>45461.458333333336</v>
      </c>
    </row>
    <row r="413" spans="1:16" hidden="1" x14ac:dyDescent="0.25">
      <c r="A413" s="1">
        <v>45450.629166666666</v>
      </c>
      <c r="B413" t="s">
        <v>133</v>
      </c>
      <c r="C413" t="s">
        <v>488</v>
      </c>
      <c r="D413" t="s">
        <v>186</v>
      </c>
      <c r="E413" t="s">
        <v>45</v>
      </c>
      <c r="F413" t="s">
        <v>14</v>
      </c>
      <c r="G413" s="1">
        <v>45467.000694444447</v>
      </c>
      <c r="H413" s="1">
        <v>45474.000694444447</v>
      </c>
      <c r="I413" s="1">
        <v>45474.708333333336</v>
      </c>
      <c r="J413" t="s">
        <v>16</v>
      </c>
      <c r="K413" s="1">
        <v>45460.000694444447</v>
      </c>
      <c r="L413" s="1">
        <v>45472.000694444447</v>
      </c>
      <c r="M413" s="1">
        <v>45461.000694444447</v>
      </c>
      <c r="N413" s="1">
        <v>45471.000694444447</v>
      </c>
      <c r="O413" s="1">
        <v>45458.500694444447</v>
      </c>
      <c r="P413" s="1">
        <v>45464.500694444447</v>
      </c>
    </row>
    <row r="414" spans="1:16" hidden="1" x14ac:dyDescent="0.25">
      <c r="A414" s="1">
        <v>45450.629166666666</v>
      </c>
      <c r="B414" t="s">
        <v>454</v>
      </c>
      <c r="C414" t="s">
        <v>455</v>
      </c>
      <c r="D414" t="s">
        <v>456</v>
      </c>
      <c r="E414" t="s">
        <v>79</v>
      </c>
      <c r="F414" t="s">
        <v>14</v>
      </c>
      <c r="G414" s="1">
        <v>45468</v>
      </c>
      <c r="H414" s="1">
        <v>45467.767361111109</v>
      </c>
      <c r="I414" s="1">
        <v>45468.434027777781</v>
      </c>
      <c r="J414" t="s">
        <v>16</v>
      </c>
      <c r="K414" s="1">
        <v>45461</v>
      </c>
      <c r="L414" s="1">
        <v>45465.767361111109</v>
      </c>
      <c r="M414" s="1">
        <v>45462.000694444447</v>
      </c>
      <c r="N414" s="1">
        <v>45464.416666666664</v>
      </c>
      <c r="O414" s="1">
        <v>45459.5</v>
      </c>
      <c r="P414" s="1">
        <v>45465.5</v>
      </c>
    </row>
    <row r="415" spans="1:16" hidden="1" x14ac:dyDescent="0.25">
      <c r="A415" s="1">
        <v>45450.629166666666</v>
      </c>
      <c r="B415" t="s">
        <v>154</v>
      </c>
      <c r="C415" t="s">
        <v>292</v>
      </c>
      <c r="D415" t="s">
        <v>293</v>
      </c>
      <c r="E415" t="s">
        <v>77</v>
      </c>
      <c r="F415" t="s">
        <v>14</v>
      </c>
      <c r="G415" s="1">
        <v>45470.958333333336</v>
      </c>
      <c r="H415" s="1">
        <v>45470.958333333336</v>
      </c>
      <c r="I415" s="1">
        <v>45471.833333333336</v>
      </c>
      <c r="J415" t="s">
        <v>76</v>
      </c>
      <c r="K415" s="1">
        <v>45463.958333333336</v>
      </c>
      <c r="L415" s="1">
        <v>45468.958333333336</v>
      </c>
      <c r="M415" s="1">
        <v>45464.000694444447</v>
      </c>
      <c r="N415" s="1">
        <v>45467.958333333336</v>
      </c>
      <c r="O415" s="1">
        <v>45462.458333333336</v>
      </c>
      <c r="P415" s="1">
        <v>45468.458333333336</v>
      </c>
    </row>
    <row r="416" spans="1:16" hidden="1" x14ac:dyDescent="0.25">
      <c r="A416" s="1">
        <v>45450.629166666666</v>
      </c>
      <c r="B416" t="s">
        <v>250</v>
      </c>
      <c r="C416" t="s">
        <v>306</v>
      </c>
      <c r="D416" t="s">
        <v>258</v>
      </c>
      <c r="E416" t="s">
        <v>45</v>
      </c>
      <c r="F416" t="s">
        <v>14</v>
      </c>
      <c r="G416" s="1">
        <v>45473.000694444447</v>
      </c>
      <c r="H416" s="1">
        <v>45475.209027777775</v>
      </c>
      <c r="I416" s="1">
        <v>45475.833333333336</v>
      </c>
      <c r="J416" t="s">
        <v>16</v>
      </c>
      <c r="K416" s="1">
        <v>45466.000694444447</v>
      </c>
      <c r="L416" s="1">
        <v>45473.209027777775</v>
      </c>
      <c r="M416" s="1">
        <v>45467.000694444447</v>
      </c>
      <c r="N416" s="1">
        <v>45472.209027777775</v>
      </c>
      <c r="O416" s="1">
        <v>45464.500694444447</v>
      </c>
      <c r="P416" s="1">
        <v>45470.500694444447</v>
      </c>
    </row>
    <row r="417" spans="1:16" hidden="1" x14ac:dyDescent="0.25">
      <c r="A417" s="1">
        <v>45450.629166666666</v>
      </c>
      <c r="B417" t="s">
        <v>140</v>
      </c>
      <c r="C417" t="s">
        <v>382</v>
      </c>
      <c r="D417" t="s">
        <v>383</v>
      </c>
      <c r="E417" t="s">
        <v>77</v>
      </c>
      <c r="F417" t="s">
        <v>14</v>
      </c>
      <c r="G417" s="1">
        <v>45477.958333333336</v>
      </c>
      <c r="H417" s="1">
        <v>45477.958333333336</v>
      </c>
      <c r="I417" s="1">
        <v>45478.833333333336</v>
      </c>
      <c r="J417" t="s">
        <v>76</v>
      </c>
      <c r="K417" s="1">
        <v>45470.958333333336</v>
      </c>
      <c r="L417" s="1">
        <v>45475.958333333336</v>
      </c>
      <c r="M417" s="1">
        <v>45471.000694444447</v>
      </c>
      <c r="N417" s="1">
        <v>45474.958333333336</v>
      </c>
      <c r="O417" s="1">
        <v>45469.458333333336</v>
      </c>
      <c r="P417" s="1">
        <v>45475.458333333336</v>
      </c>
    </row>
    <row r="418" spans="1:16" hidden="1" x14ac:dyDescent="0.25">
      <c r="A418" s="1">
        <v>45450.609027777777</v>
      </c>
      <c r="B418" t="s">
        <v>151</v>
      </c>
      <c r="C418" t="s">
        <v>285</v>
      </c>
      <c r="D418" t="s">
        <v>286</v>
      </c>
      <c r="E418" t="s">
        <v>77</v>
      </c>
      <c r="F418" t="s">
        <v>14</v>
      </c>
      <c r="G418" s="1">
        <v>45463.958333333336</v>
      </c>
      <c r="H418" s="1">
        <v>45463.958333333336</v>
      </c>
      <c r="I418" s="1">
        <v>45464.833333333336</v>
      </c>
      <c r="J418" t="s">
        <v>76</v>
      </c>
      <c r="K418" s="1">
        <v>45456.958333333336</v>
      </c>
      <c r="L418" s="1">
        <v>45461.958333333336</v>
      </c>
      <c r="M418" s="1">
        <v>45457.000694444447</v>
      </c>
      <c r="N418" s="1">
        <v>45461.625</v>
      </c>
      <c r="O418" s="1">
        <v>45455.458333333336</v>
      </c>
      <c r="P418" s="1">
        <v>45461.458333333336</v>
      </c>
    </row>
    <row r="419" spans="1:16" hidden="1" x14ac:dyDescent="0.25">
      <c r="A419" s="1">
        <v>45450.609027777777</v>
      </c>
      <c r="B419" t="s">
        <v>147</v>
      </c>
      <c r="C419" t="s">
        <v>288</v>
      </c>
      <c r="D419" t="s">
        <v>289</v>
      </c>
      <c r="E419" t="s">
        <v>77</v>
      </c>
      <c r="F419" t="s">
        <v>14</v>
      </c>
      <c r="G419" s="1">
        <v>45464</v>
      </c>
      <c r="H419" s="1">
        <v>45463.958333333336</v>
      </c>
      <c r="I419" s="1">
        <v>45464.833333333336</v>
      </c>
      <c r="J419" t="s">
        <v>76</v>
      </c>
      <c r="K419" s="1">
        <v>45457</v>
      </c>
      <c r="L419" s="1">
        <v>45461.958333333336</v>
      </c>
      <c r="M419" s="1">
        <v>45458.000694444447</v>
      </c>
      <c r="N419" s="1">
        <v>45462.625</v>
      </c>
      <c r="O419" s="1">
        <v>45455.5</v>
      </c>
      <c r="P419" s="1">
        <v>45461.5</v>
      </c>
    </row>
    <row r="420" spans="1:16" hidden="1" x14ac:dyDescent="0.25">
      <c r="A420" s="1">
        <v>45450.609027777777</v>
      </c>
      <c r="B420" t="s">
        <v>65</v>
      </c>
      <c r="C420" t="s">
        <v>362</v>
      </c>
      <c r="D420" t="s">
        <v>363</v>
      </c>
      <c r="E420" t="s">
        <v>44</v>
      </c>
      <c r="F420" t="s">
        <v>30</v>
      </c>
      <c r="G420" s="1">
        <v>45464.75</v>
      </c>
      <c r="H420" s="1">
        <v>45464.75</v>
      </c>
      <c r="I420" s="1">
        <v>45465.375</v>
      </c>
      <c r="J420" t="s">
        <v>13</v>
      </c>
      <c r="K420" s="1">
        <v>45457.75</v>
      </c>
      <c r="L420" s="1">
        <v>45462.75</v>
      </c>
      <c r="M420" s="1">
        <v>45458.000694444447</v>
      </c>
      <c r="N420" s="1">
        <v>45463.5</v>
      </c>
      <c r="O420" s="1">
        <v>45456.25</v>
      </c>
      <c r="P420" s="1">
        <v>45462.25</v>
      </c>
    </row>
    <row r="421" spans="1:16" hidden="1" x14ac:dyDescent="0.25">
      <c r="A421" s="1">
        <v>45450.609027777777</v>
      </c>
      <c r="B421" t="s">
        <v>133</v>
      </c>
      <c r="C421" t="s">
        <v>488</v>
      </c>
      <c r="D421" t="s">
        <v>186</v>
      </c>
      <c r="E421" t="s">
        <v>45</v>
      </c>
      <c r="F421" t="s">
        <v>14</v>
      </c>
      <c r="G421" s="1">
        <v>45467.000694444447</v>
      </c>
      <c r="H421" s="1">
        <v>45467.000694444447</v>
      </c>
      <c r="I421" s="1">
        <v>45467.708333333336</v>
      </c>
      <c r="J421" t="s">
        <v>16</v>
      </c>
      <c r="K421" s="1">
        <v>45460.000694444447</v>
      </c>
      <c r="L421" s="1">
        <v>45465.000694444447</v>
      </c>
      <c r="M421" s="1">
        <v>45461.000694444447</v>
      </c>
      <c r="N421" s="1">
        <v>45464.000694444447</v>
      </c>
      <c r="O421" s="1">
        <v>45458.500694444447</v>
      </c>
      <c r="P421" s="1">
        <v>45464.500694444447</v>
      </c>
    </row>
    <row r="422" spans="1:16" hidden="1" x14ac:dyDescent="0.25">
      <c r="A422" s="1">
        <v>45450.609027777777</v>
      </c>
      <c r="B422" t="s">
        <v>634</v>
      </c>
      <c r="C422" t="s">
        <v>467</v>
      </c>
      <c r="D422" t="s">
        <v>472</v>
      </c>
      <c r="E422" t="s">
        <v>78</v>
      </c>
      <c r="F422" t="s">
        <v>13</v>
      </c>
      <c r="G422" s="1">
        <v>45472.75</v>
      </c>
      <c r="H422" s="1">
        <v>45472.75</v>
      </c>
      <c r="I422" s="1">
        <v>45474.375</v>
      </c>
      <c r="J422" t="s">
        <v>14</v>
      </c>
      <c r="K422" s="1">
        <v>45465.75</v>
      </c>
      <c r="L422" s="1">
        <v>45470.75</v>
      </c>
      <c r="M422" s="1">
        <v>45466.000694444447</v>
      </c>
      <c r="N422" s="1">
        <v>45471.5</v>
      </c>
      <c r="O422" s="1">
        <v>45463.25</v>
      </c>
      <c r="P422" s="1">
        <v>45469.25</v>
      </c>
    </row>
    <row r="423" spans="1:16" hidden="1" x14ac:dyDescent="0.25">
      <c r="A423" s="1">
        <v>45450.609027777777</v>
      </c>
      <c r="B423" t="s">
        <v>250</v>
      </c>
      <c r="C423" t="s">
        <v>306</v>
      </c>
      <c r="D423" t="s">
        <v>258</v>
      </c>
      <c r="E423" t="s">
        <v>45</v>
      </c>
      <c r="F423" t="s">
        <v>14</v>
      </c>
      <c r="G423" s="1">
        <v>45473.000694444447</v>
      </c>
      <c r="H423" s="1">
        <v>45473.000694444447</v>
      </c>
      <c r="I423" s="1">
        <v>45473.625</v>
      </c>
      <c r="J423" t="s">
        <v>16</v>
      </c>
      <c r="K423" s="1">
        <v>45466.000694444447</v>
      </c>
      <c r="L423" s="1">
        <v>45471.000694444447</v>
      </c>
      <c r="M423" s="1">
        <v>45467.000694444447</v>
      </c>
      <c r="N423" s="1">
        <v>45470.000694444447</v>
      </c>
      <c r="O423" s="1">
        <v>45464.500694444447</v>
      </c>
      <c r="P423" s="1">
        <v>45470.500694444447</v>
      </c>
    </row>
    <row r="424" spans="1:16" hidden="1" x14ac:dyDescent="0.25">
      <c r="A424" s="1">
        <v>45450.524305555555</v>
      </c>
      <c r="B424" t="s">
        <v>148</v>
      </c>
      <c r="C424" t="s">
        <v>594</v>
      </c>
      <c r="D424" t="s">
        <v>595</v>
      </c>
      <c r="E424" t="s">
        <v>121</v>
      </c>
      <c r="F424" t="s">
        <v>122</v>
      </c>
      <c r="G424" s="1">
        <v>45471.916666666664</v>
      </c>
      <c r="H424" s="1">
        <v>45471.916666666664</v>
      </c>
      <c r="I424" s="1">
        <v>45472.583333333336</v>
      </c>
      <c r="J424" t="s">
        <v>16</v>
      </c>
      <c r="K424" s="1">
        <v>45464.916666666664</v>
      </c>
      <c r="L424" s="1">
        <v>45469.916666666664</v>
      </c>
      <c r="M424" s="1">
        <v>45465.000694444447</v>
      </c>
      <c r="N424" s="1">
        <v>45468.916666666664</v>
      </c>
      <c r="O424" s="1">
        <v>45463.416666666664</v>
      </c>
      <c r="P424" s="1">
        <v>45469.416666666664</v>
      </c>
    </row>
    <row r="425" spans="1:16" hidden="1" x14ac:dyDescent="0.25">
      <c r="A425" s="1">
        <v>45448.697916666664</v>
      </c>
      <c r="B425" t="s">
        <v>126</v>
      </c>
      <c r="C425" t="s">
        <v>604</v>
      </c>
      <c r="D425" t="s">
        <v>366</v>
      </c>
      <c r="E425" t="s">
        <v>129</v>
      </c>
      <c r="F425" t="s">
        <v>21</v>
      </c>
      <c r="G425" s="1">
        <v>45476.416666666664</v>
      </c>
      <c r="H425" s="1">
        <v>45476.416666666664</v>
      </c>
      <c r="I425" s="1">
        <v>45477.833333333336</v>
      </c>
      <c r="J425" t="s">
        <v>19</v>
      </c>
      <c r="K425" s="1">
        <v>45469.416666666664</v>
      </c>
      <c r="L425" s="1">
        <v>45474.416666666664</v>
      </c>
      <c r="M425" s="1">
        <v>45470.000694444447</v>
      </c>
      <c r="N425" s="1">
        <v>45473.416666666664</v>
      </c>
      <c r="O425" s="1">
        <v>45467.916666666664</v>
      </c>
      <c r="P425" s="1">
        <v>45473.916666666664</v>
      </c>
    </row>
    <row r="426" spans="1:16" hidden="1" x14ac:dyDescent="0.25">
      <c r="A426" s="1">
        <v>45448.613888888889</v>
      </c>
      <c r="B426" t="s">
        <v>249</v>
      </c>
      <c r="C426" t="s">
        <v>493</v>
      </c>
      <c r="D426" t="s">
        <v>493</v>
      </c>
      <c r="E426" t="s">
        <v>246</v>
      </c>
      <c r="G426" s="1">
        <v>45465.291666666664</v>
      </c>
      <c r="H426" s="1">
        <v>45465.291666666664</v>
      </c>
      <c r="I426" s="1">
        <v>45465.5</v>
      </c>
      <c r="J426" t="s">
        <v>76</v>
      </c>
      <c r="K426" s="1">
        <v>45458.291666666664</v>
      </c>
      <c r="L426" s="1">
        <v>45463.291666666664</v>
      </c>
      <c r="M426" s="1">
        <v>45459.000694444447</v>
      </c>
      <c r="N426" s="1">
        <v>45462.291666666664</v>
      </c>
      <c r="O426" s="1">
        <v>45455.291666666664</v>
      </c>
      <c r="P426" s="1">
        <v>45463.291666666664</v>
      </c>
    </row>
    <row r="427" spans="1:16" hidden="1" x14ac:dyDescent="0.25">
      <c r="A427" s="1">
        <v>45448.613888888889</v>
      </c>
      <c r="B427" t="s">
        <v>435</v>
      </c>
      <c r="C427" t="s">
        <v>322</v>
      </c>
      <c r="D427" t="s">
        <v>322</v>
      </c>
      <c r="E427" t="s">
        <v>273</v>
      </c>
      <c r="F427" t="s">
        <v>125</v>
      </c>
      <c r="G427" s="1">
        <v>45469.416666666664</v>
      </c>
      <c r="H427" s="1">
        <v>45469.416666666664</v>
      </c>
      <c r="I427" s="1">
        <v>45470.375</v>
      </c>
      <c r="J427" t="s">
        <v>75</v>
      </c>
      <c r="K427" s="1">
        <v>45462.416666666664</v>
      </c>
      <c r="L427" s="1">
        <v>45467.416666666664</v>
      </c>
      <c r="M427" s="1">
        <v>45463.000694444447</v>
      </c>
      <c r="N427" s="1">
        <v>45467.625</v>
      </c>
      <c r="O427" s="1">
        <v>45460.916666666664</v>
      </c>
      <c r="P427" s="1">
        <v>45466.916666666664</v>
      </c>
    </row>
    <row r="428" spans="1:16" hidden="1" x14ac:dyDescent="0.25">
      <c r="A428" s="1">
        <v>45448.592361111114</v>
      </c>
      <c r="B428" t="s">
        <v>624</v>
      </c>
      <c r="C428" t="s">
        <v>625</v>
      </c>
      <c r="D428" t="s">
        <v>625</v>
      </c>
      <c r="E428" t="s">
        <v>246</v>
      </c>
      <c r="G428" s="1">
        <v>45470.291666666664</v>
      </c>
      <c r="H428" s="1">
        <v>45470.291666666664</v>
      </c>
      <c r="I428" s="1">
        <v>45470.5</v>
      </c>
      <c r="J428" t="s">
        <v>76</v>
      </c>
      <c r="K428" s="1">
        <v>45463.291666666664</v>
      </c>
      <c r="L428" s="1">
        <v>45468.291666666664</v>
      </c>
      <c r="M428" s="1">
        <v>45464.000694444447</v>
      </c>
      <c r="N428" s="1">
        <v>45467.291666666664</v>
      </c>
      <c r="O428" s="1">
        <v>45461.791666666664</v>
      </c>
      <c r="P428" s="1">
        <v>45467.791666666664</v>
      </c>
    </row>
    <row r="429" spans="1:16" hidden="1" x14ac:dyDescent="0.25">
      <c r="A429" s="1">
        <v>45448.425694444442</v>
      </c>
      <c r="B429" t="s">
        <v>448</v>
      </c>
      <c r="C429" t="s">
        <v>449</v>
      </c>
      <c r="D429" t="s">
        <v>450</v>
      </c>
      <c r="E429" t="s">
        <v>79</v>
      </c>
      <c r="F429" t="s">
        <v>14</v>
      </c>
      <c r="G429" s="1">
        <v>45468.000694444447</v>
      </c>
      <c r="H429" s="1">
        <v>45467.805555555555</v>
      </c>
      <c r="I429" s="1">
        <v>45468.472222222219</v>
      </c>
      <c r="J429" t="s">
        <v>16</v>
      </c>
      <c r="K429" s="1">
        <v>45461.000694444447</v>
      </c>
      <c r="L429" s="1">
        <v>45465.805555555555</v>
      </c>
      <c r="M429" s="1">
        <v>45462.000694444447</v>
      </c>
      <c r="N429" s="1">
        <v>45464.805555555555</v>
      </c>
      <c r="O429" s="1">
        <v>45459.500694444447</v>
      </c>
      <c r="P429" s="1">
        <v>45465.500694444447</v>
      </c>
    </row>
    <row r="430" spans="1:16" hidden="1" x14ac:dyDescent="0.25">
      <c r="A430" s="1">
        <v>45447.705555555556</v>
      </c>
      <c r="B430" t="s">
        <v>147</v>
      </c>
      <c r="C430" t="s">
        <v>288</v>
      </c>
      <c r="D430" t="s">
        <v>289</v>
      </c>
      <c r="E430" t="s">
        <v>77</v>
      </c>
      <c r="F430" t="s">
        <v>14</v>
      </c>
      <c r="G430" s="1">
        <v>45463</v>
      </c>
      <c r="H430" s="1">
        <v>45463.958333333336</v>
      </c>
      <c r="I430" s="1">
        <v>45464.833333333336</v>
      </c>
      <c r="J430" t="s">
        <v>76</v>
      </c>
      <c r="K430" s="1">
        <v>45456</v>
      </c>
      <c r="L430" s="1">
        <v>45461.958333333336</v>
      </c>
      <c r="M430" s="1">
        <v>45457.000694444447</v>
      </c>
      <c r="N430" s="1">
        <v>45462.625</v>
      </c>
      <c r="O430" s="1">
        <v>45454.5</v>
      </c>
      <c r="P430" s="1">
        <v>45460.5</v>
      </c>
    </row>
    <row r="431" spans="1:16" hidden="1" x14ac:dyDescent="0.25">
      <c r="A431" s="1">
        <v>45447.705555555556</v>
      </c>
      <c r="B431" t="s">
        <v>192</v>
      </c>
      <c r="C431" t="s">
        <v>282</v>
      </c>
      <c r="D431" t="s">
        <v>320</v>
      </c>
      <c r="E431" t="s">
        <v>46</v>
      </c>
      <c r="F431" t="s">
        <v>13</v>
      </c>
      <c r="G431" s="1">
        <v>45471.000694444447</v>
      </c>
      <c r="H431" s="1">
        <v>45471.000694444447</v>
      </c>
      <c r="I431" s="1">
        <v>45472</v>
      </c>
      <c r="J431" t="s">
        <v>27</v>
      </c>
      <c r="K431" s="1">
        <v>45464.000694444447</v>
      </c>
      <c r="L431" s="1">
        <v>45469.000694444447</v>
      </c>
      <c r="M431" s="1">
        <v>45465.000694444447</v>
      </c>
      <c r="N431" s="1">
        <v>45469.625</v>
      </c>
      <c r="O431" s="1">
        <v>45462.500694444447</v>
      </c>
      <c r="P431" s="1">
        <v>45468.500694444447</v>
      </c>
    </row>
    <row r="432" spans="1:16" hidden="1" x14ac:dyDescent="0.25">
      <c r="A432" s="1">
        <v>45447.705555555556</v>
      </c>
      <c r="B432" t="s">
        <v>141</v>
      </c>
      <c r="C432" t="s">
        <v>358</v>
      </c>
      <c r="D432" t="s">
        <v>474</v>
      </c>
      <c r="E432" t="s">
        <v>644</v>
      </c>
      <c r="F432" t="s">
        <v>17</v>
      </c>
      <c r="G432" s="1">
        <v>45475.25</v>
      </c>
      <c r="H432" s="1">
        <v>45475.25</v>
      </c>
      <c r="I432" s="1">
        <v>45476.25</v>
      </c>
      <c r="J432" t="s">
        <v>17</v>
      </c>
      <c r="K432" s="1">
        <v>45468.25</v>
      </c>
      <c r="L432" s="1">
        <v>45473.25</v>
      </c>
      <c r="M432" s="1">
        <v>45469.000694444447</v>
      </c>
      <c r="N432" s="1">
        <v>45472.25</v>
      </c>
      <c r="O432" s="1">
        <v>45466.75</v>
      </c>
      <c r="P432" s="1">
        <v>45472.75</v>
      </c>
    </row>
    <row r="433" spans="1:16" hidden="1" x14ac:dyDescent="0.25">
      <c r="A433" s="1">
        <v>45447.558333333334</v>
      </c>
      <c r="B433" t="s">
        <v>454</v>
      </c>
      <c r="C433" t="s">
        <v>455</v>
      </c>
      <c r="D433" t="s">
        <v>456</v>
      </c>
      <c r="E433" t="s">
        <v>79</v>
      </c>
      <c r="F433" t="s">
        <v>14</v>
      </c>
      <c r="G433" s="1">
        <v>45475.5</v>
      </c>
      <c r="H433" s="1">
        <v>45475.267361111109</v>
      </c>
      <c r="I433" s="1">
        <v>45475.934027777781</v>
      </c>
      <c r="J433" t="s">
        <v>16</v>
      </c>
      <c r="K433" s="1">
        <v>45468.5</v>
      </c>
      <c r="L433" s="1">
        <v>45473.267361111109</v>
      </c>
      <c r="M433" s="1">
        <v>45469.000694444447</v>
      </c>
      <c r="N433" s="1">
        <v>45464.416666666664</v>
      </c>
      <c r="O433" s="1">
        <v>45467</v>
      </c>
      <c r="P433" s="1">
        <v>45473</v>
      </c>
    </row>
    <row r="434" spans="1:16" hidden="1" x14ac:dyDescent="0.25">
      <c r="A434" s="1">
        <v>45445.698611111111</v>
      </c>
      <c r="B434" t="s">
        <v>490</v>
      </c>
      <c r="C434" t="s">
        <v>386</v>
      </c>
      <c r="D434" t="s">
        <v>471</v>
      </c>
      <c r="E434" t="s">
        <v>78</v>
      </c>
      <c r="F434" t="s">
        <v>13</v>
      </c>
      <c r="G434" s="1">
        <v>45465.75</v>
      </c>
      <c r="H434" s="1">
        <v>45465.75</v>
      </c>
      <c r="I434" s="1">
        <v>45467.083333333336</v>
      </c>
      <c r="J434" t="s">
        <v>14</v>
      </c>
      <c r="K434" s="1">
        <v>45458.75</v>
      </c>
      <c r="L434" s="1">
        <v>45463.75</v>
      </c>
      <c r="M434" s="1">
        <v>45459.000694444447</v>
      </c>
      <c r="N434" s="1">
        <v>45462.75</v>
      </c>
      <c r="O434" s="1">
        <v>45456.25</v>
      </c>
      <c r="P434" s="1">
        <v>45462.25</v>
      </c>
    </row>
    <row r="435" spans="1:16" hidden="1" x14ac:dyDescent="0.25">
      <c r="A435" s="1">
        <v>45445.698611111111</v>
      </c>
      <c r="B435" t="s">
        <v>152</v>
      </c>
      <c r="C435" t="s">
        <v>290</v>
      </c>
      <c r="D435" t="s">
        <v>256</v>
      </c>
      <c r="E435" t="s">
        <v>42</v>
      </c>
      <c r="F435" t="s">
        <v>14</v>
      </c>
      <c r="G435" s="1">
        <v>45466.291666666664</v>
      </c>
      <c r="H435" s="1">
        <v>45466.291666666664</v>
      </c>
      <c r="I435" s="1">
        <v>45466.958333333336</v>
      </c>
      <c r="J435" t="s">
        <v>17</v>
      </c>
      <c r="K435" s="1">
        <v>45459.291666666664</v>
      </c>
      <c r="L435" s="1">
        <v>45464.291666666664</v>
      </c>
      <c r="M435" s="1">
        <v>45460.000694444447</v>
      </c>
      <c r="N435" s="1">
        <v>45463.291666666664</v>
      </c>
      <c r="O435" s="1">
        <v>45457.791666666664</v>
      </c>
      <c r="P435" s="1">
        <v>45463.791666666664</v>
      </c>
    </row>
    <row r="436" spans="1:16" hidden="1" x14ac:dyDescent="0.25">
      <c r="A436" s="1">
        <v>45445.698611111111</v>
      </c>
      <c r="B436" t="s">
        <v>448</v>
      </c>
      <c r="C436" t="s">
        <v>449</v>
      </c>
      <c r="D436" t="s">
        <v>450</v>
      </c>
      <c r="E436" t="s">
        <v>79</v>
      </c>
      <c r="F436" t="s">
        <v>14</v>
      </c>
      <c r="G436" s="1">
        <v>45468.000694444447</v>
      </c>
      <c r="H436" s="1">
        <v>45467.805555555555</v>
      </c>
      <c r="I436" s="1">
        <v>45468.472222222219</v>
      </c>
      <c r="J436" t="s">
        <v>16</v>
      </c>
      <c r="K436" s="1">
        <v>45461.000694444447</v>
      </c>
      <c r="L436" s="1">
        <v>45465.805555555555</v>
      </c>
      <c r="M436" s="1">
        <v>45462.000694444447</v>
      </c>
      <c r="N436" s="1">
        <v>45464.416666666664</v>
      </c>
      <c r="O436" s="1">
        <v>45459.500694444447</v>
      </c>
      <c r="P436" s="1">
        <v>45465.500694444447</v>
      </c>
    </row>
    <row r="437" spans="1:16" hidden="1" x14ac:dyDescent="0.25">
      <c r="A437" s="1">
        <v>45443.7</v>
      </c>
      <c r="B437" t="s">
        <v>490</v>
      </c>
      <c r="C437" t="s">
        <v>386</v>
      </c>
      <c r="D437" t="s">
        <v>471</v>
      </c>
      <c r="E437" t="s">
        <v>78</v>
      </c>
      <c r="F437" t="s">
        <v>13</v>
      </c>
      <c r="G437" s="1">
        <v>45465.75</v>
      </c>
      <c r="H437" s="1">
        <v>45465.75</v>
      </c>
      <c r="I437" s="1">
        <v>45467.083333333336</v>
      </c>
      <c r="J437" t="s">
        <v>14</v>
      </c>
      <c r="K437" s="1">
        <v>45458.75</v>
      </c>
      <c r="L437" s="1">
        <v>45463.75</v>
      </c>
      <c r="M437" s="1">
        <v>45459.000694444447</v>
      </c>
      <c r="N437" s="1">
        <v>45464.5</v>
      </c>
      <c r="O437" s="1">
        <v>45456.25</v>
      </c>
      <c r="P437" s="1">
        <v>45462.25</v>
      </c>
    </row>
    <row r="438" spans="1:16" hidden="1" x14ac:dyDescent="0.25">
      <c r="A438" s="1">
        <v>45443.638194444444</v>
      </c>
      <c r="B438" t="s">
        <v>249</v>
      </c>
      <c r="C438" t="s">
        <v>493</v>
      </c>
      <c r="D438" t="s">
        <v>493</v>
      </c>
      <c r="E438" t="s">
        <v>246</v>
      </c>
      <c r="G438" s="1">
        <v>45465.291666666664</v>
      </c>
      <c r="H438" s="1">
        <v>45465.291666666664</v>
      </c>
      <c r="I438" s="1">
        <v>45465.583333333336</v>
      </c>
      <c r="J438" t="s">
        <v>76</v>
      </c>
      <c r="K438" s="1">
        <v>45458.291666666664</v>
      </c>
      <c r="L438" s="1">
        <v>45463.291666666664</v>
      </c>
      <c r="M438" s="1">
        <v>45459.000694444447</v>
      </c>
      <c r="N438" s="1">
        <v>45462.291666666664</v>
      </c>
      <c r="O438" s="1">
        <v>45455.291666666664</v>
      </c>
      <c r="P438" s="1">
        <v>45463.291666666664</v>
      </c>
    </row>
    <row r="439" spans="1:16" hidden="1" x14ac:dyDescent="0.25">
      <c r="A439" s="1">
        <v>45443.43472222222</v>
      </c>
      <c r="B439" t="s">
        <v>274</v>
      </c>
      <c r="C439" t="s">
        <v>494</v>
      </c>
      <c r="D439" t="s">
        <v>495</v>
      </c>
      <c r="E439" t="s">
        <v>79</v>
      </c>
      <c r="F439" t="s">
        <v>14</v>
      </c>
      <c r="G439" s="1">
        <v>45468.000694444447</v>
      </c>
      <c r="H439" s="1">
        <v>45468.000694444447</v>
      </c>
      <c r="I439" s="1">
        <v>45468.666666666664</v>
      </c>
      <c r="J439" t="s">
        <v>16</v>
      </c>
      <c r="K439" s="1">
        <v>45461.000694444447</v>
      </c>
      <c r="L439" s="1">
        <v>45466.000694444447</v>
      </c>
      <c r="M439" s="1">
        <v>45462.000694444447</v>
      </c>
      <c r="N439" s="1">
        <v>45465.000694444447</v>
      </c>
      <c r="O439" s="1">
        <v>45459.500694444447</v>
      </c>
      <c r="P439" s="1">
        <v>45465.500694444447</v>
      </c>
    </row>
    <row r="440" spans="1:16" hidden="1" x14ac:dyDescent="0.25">
      <c r="A440" s="1">
        <v>45443.43472222222</v>
      </c>
      <c r="B440" t="s">
        <v>454</v>
      </c>
      <c r="C440" t="s">
        <v>455</v>
      </c>
      <c r="D440" t="s">
        <v>456</v>
      </c>
      <c r="E440" t="s">
        <v>79</v>
      </c>
      <c r="F440" t="s">
        <v>14</v>
      </c>
      <c r="G440" s="1">
        <v>45468.5</v>
      </c>
      <c r="H440" s="1">
        <v>45468.114583333336</v>
      </c>
      <c r="I440" s="1">
        <v>45468.78125</v>
      </c>
      <c r="J440" t="s">
        <v>16</v>
      </c>
      <c r="K440" s="1">
        <v>45461.5</v>
      </c>
      <c r="L440" s="1">
        <v>45466.114583333336</v>
      </c>
      <c r="M440" s="1">
        <v>45462.000694444447</v>
      </c>
      <c r="N440" s="1">
        <v>45467.416666666664</v>
      </c>
      <c r="O440" s="1">
        <v>45460</v>
      </c>
      <c r="P440" s="1">
        <v>45466</v>
      </c>
    </row>
    <row r="441" spans="1:16" hidden="1" x14ac:dyDescent="0.25">
      <c r="A441" s="1">
        <v>45443.005555555559</v>
      </c>
      <c r="B441" t="s">
        <v>128</v>
      </c>
      <c r="C441" t="s">
        <v>362</v>
      </c>
      <c r="D441" t="s">
        <v>363</v>
      </c>
      <c r="E441" t="s">
        <v>44</v>
      </c>
      <c r="F441" t="s">
        <v>30</v>
      </c>
      <c r="G441" s="1">
        <v>45471.75</v>
      </c>
      <c r="H441" s="1">
        <v>45471.75</v>
      </c>
      <c r="I441" s="1">
        <v>45472.375</v>
      </c>
      <c r="J441" t="s">
        <v>13</v>
      </c>
      <c r="K441" s="1">
        <v>45464.75</v>
      </c>
      <c r="L441" s="1">
        <v>45469.75</v>
      </c>
      <c r="M441" s="1">
        <v>45465.000694444447</v>
      </c>
      <c r="N441" s="1">
        <v>45468.75</v>
      </c>
      <c r="O441" s="1">
        <v>45461.75</v>
      </c>
      <c r="P441" s="1">
        <v>45469.75</v>
      </c>
    </row>
    <row r="442" spans="1:16" hidden="1" x14ac:dyDescent="0.25">
      <c r="A442" s="1">
        <v>45443.005555555559</v>
      </c>
      <c r="B442" t="s">
        <v>148</v>
      </c>
      <c r="C442" t="s">
        <v>594</v>
      </c>
      <c r="D442" t="s">
        <v>595</v>
      </c>
      <c r="E442" t="s">
        <v>121</v>
      </c>
      <c r="F442" t="s">
        <v>122</v>
      </c>
      <c r="G442" s="1">
        <v>45471.916666666664</v>
      </c>
      <c r="H442" s="1">
        <v>45471.916666666664</v>
      </c>
      <c r="I442" s="1">
        <v>45472.583333333336</v>
      </c>
      <c r="J442" t="s">
        <v>16</v>
      </c>
      <c r="K442" s="1">
        <v>45464.916666666664</v>
      </c>
      <c r="L442" s="1">
        <v>45469.916666666664</v>
      </c>
      <c r="M442" s="1">
        <v>45465.000694444447</v>
      </c>
      <c r="N442" s="1">
        <v>45468.916666666664</v>
      </c>
      <c r="O442" s="1">
        <v>45461.916666666664</v>
      </c>
      <c r="P442" s="1">
        <v>45469.916666666664</v>
      </c>
    </row>
    <row r="443" spans="1:16" hidden="1" x14ac:dyDescent="0.25">
      <c r="A443" s="1">
        <v>45442.461111111108</v>
      </c>
      <c r="B443" t="s">
        <v>151</v>
      </c>
      <c r="C443" t="s">
        <v>285</v>
      </c>
      <c r="D443" t="s">
        <v>286</v>
      </c>
      <c r="E443" t="s">
        <v>77</v>
      </c>
      <c r="F443" t="s">
        <v>14</v>
      </c>
      <c r="G443" s="1">
        <v>45463.958333333336</v>
      </c>
      <c r="H443" s="1">
        <v>45463.958333333336</v>
      </c>
      <c r="I443" s="1">
        <v>45464.833333333336</v>
      </c>
      <c r="J443" t="s">
        <v>76</v>
      </c>
      <c r="K443" s="1">
        <v>45456.958333333336</v>
      </c>
      <c r="L443" s="1">
        <v>45461.958333333336</v>
      </c>
      <c r="M443" s="1">
        <v>45457.000694444447</v>
      </c>
      <c r="N443" s="1">
        <v>45462.5</v>
      </c>
      <c r="O443" s="1">
        <v>45455.458333333336</v>
      </c>
      <c r="P443" s="1">
        <v>45461.458333333336</v>
      </c>
    </row>
    <row r="444" spans="1:16" hidden="1" x14ac:dyDescent="0.25">
      <c r="A444" s="1">
        <v>45441.713888888888</v>
      </c>
      <c r="B444" t="s">
        <v>147</v>
      </c>
      <c r="C444" t="s">
        <v>288</v>
      </c>
      <c r="D444" t="s">
        <v>289</v>
      </c>
      <c r="E444" t="s">
        <v>77</v>
      </c>
      <c r="F444" t="s">
        <v>14</v>
      </c>
      <c r="G444" s="1">
        <v>45464</v>
      </c>
      <c r="H444" s="1">
        <v>45463.958333333336</v>
      </c>
      <c r="I444" s="1">
        <v>45464.833333333336</v>
      </c>
      <c r="J444" t="s">
        <v>76</v>
      </c>
      <c r="K444" s="1">
        <v>45457</v>
      </c>
      <c r="L444" s="1">
        <v>45461.958333333336</v>
      </c>
      <c r="M444" s="1">
        <v>45458.000694444447</v>
      </c>
      <c r="N444" s="1">
        <v>45462.5</v>
      </c>
      <c r="O444" s="1">
        <v>45455.5</v>
      </c>
      <c r="P444" s="1">
        <v>45461.5</v>
      </c>
    </row>
    <row r="445" spans="1:16" hidden="1" x14ac:dyDescent="0.25">
      <c r="A445" s="1">
        <v>45440.70208333333</v>
      </c>
      <c r="B445" t="s">
        <v>451</v>
      </c>
      <c r="C445" t="s">
        <v>452</v>
      </c>
      <c r="D445" t="s">
        <v>453</v>
      </c>
      <c r="E445" t="s">
        <v>79</v>
      </c>
      <c r="F445" t="s">
        <v>14</v>
      </c>
      <c r="G445" s="1">
        <v>45468.000694444447</v>
      </c>
      <c r="H445" s="1">
        <v>45468.000694444447</v>
      </c>
      <c r="I445" s="1">
        <v>45468.666666666664</v>
      </c>
      <c r="J445" t="s">
        <v>16</v>
      </c>
      <c r="K445" s="1">
        <v>45461.000694444447</v>
      </c>
      <c r="L445" s="1">
        <v>45466.000694444447</v>
      </c>
      <c r="M445" s="1">
        <v>45462.000694444447</v>
      </c>
      <c r="N445" s="1">
        <v>45465.000694444447</v>
      </c>
      <c r="O445" s="1">
        <v>45459.500694444447</v>
      </c>
      <c r="P445" s="1">
        <v>45465.500694444447</v>
      </c>
    </row>
    <row r="446" spans="1:16" hidden="1" x14ac:dyDescent="0.25">
      <c r="A446" s="1">
        <v>45440.70208333333</v>
      </c>
      <c r="B446" t="s">
        <v>454</v>
      </c>
      <c r="C446" t="s">
        <v>455</v>
      </c>
      <c r="D446" t="s">
        <v>456</v>
      </c>
      <c r="E446" t="s">
        <v>79</v>
      </c>
      <c r="F446" t="s">
        <v>14</v>
      </c>
      <c r="G446" s="1">
        <v>45468.5</v>
      </c>
      <c r="H446" s="1">
        <v>45468.114583333336</v>
      </c>
      <c r="I446" s="1">
        <v>45468.78125</v>
      </c>
      <c r="J446" t="s">
        <v>16</v>
      </c>
      <c r="K446" s="1">
        <v>45461.5</v>
      </c>
      <c r="L446" s="1">
        <v>45466.114583333336</v>
      </c>
      <c r="M446" s="1">
        <v>45462.000694444447</v>
      </c>
      <c r="N446" s="1">
        <v>45465.114583333336</v>
      </c>
      <c r="O446" s="1">
        <v>45460</v>
      </c>
      <c r="P446" s="1">
        <v>45466</v>
      </c>
    </row>
    <row r="447" spans="1:16" hidden="1" x14ac:dyDescent="0.25">
      <c r="A447" s="1">
        <v>45440.65902777778</v>
      </c>
      <c r="B447" t="s">
        <v>151</v>
      </c>
      <c r="C447" t="s">
        <v>285</v>
      </c>
      <c r="D447" t="s">
        <v>286</v>
      </c>
      <c r="E447" t="s">
        <v>77</v>
      </c>
      <c r="F447" t="s">
        <v>14</v>
      </c>
      <c r="G447" s="1">
        <v>45463.958333333336</v>
      </c>
      <c r="H447" s="1">
        <v>45463.958333333336</v>
      </c>
      <c r="I447" s="1">
        <v>45464.833333333336</v>
      </c>
      <c r="J447" t="s">
        <v>76</v>
      </c>
      <c r="K447" s="1">
        <v>45456.958333333336</v>
      </c>
      <c r="L447" s="1">
        <v>45461.958333333336</v>
      </c>
      <c r="M447" s="1">
        <v>45457.000694444447</v>
      </c>
      <c r="N447" s="1">
        <v>45460.958333333336</v>
      </c>
      <c r="O447" s="1">
        <v>45455.458333333336</v>
      </c>
      <c r="P447" s="1">
        <v>45461.458333333336</v>
      </c>
    </row>
    <row r="448" spans="1:16" hidden="1" x14ac:dyDescent="0.25">
      <c r="A448" s="1">
        <v>45440.65902777778</v>
      </c>
      <c r="B448" t="s">
        <v>147</v>
      </c>
      <c r="C448" t="s">
        <v>288</v>
      </c>
      <c r="D448" t="s">
        <v>289</v>
      </c>
      <c r="E448" t="s">
        <v>77</v>
      </c>
      <c r="F448" t="s">
        <v>14</v>
      </c>
      <c r="G448" s="1">
        <v>45464</v>
      </c>
      <c r="H448" s="1">
        <v>45463.958333333336</v>
      </c>
      <c r="I448" s="1">
        <v>45464.833333333336</v>
      </c>
      <c r="J448" t="s">
        <v>76</v>
      </c>
      <c r="K448" s="1">
        <v>45457</v>
      </c>
      <c r="L448" s="1">
        <v>45461.958333333336</v>
      </c>
      <c r="M448" s="1">
        <v>45458.000694444447</v>
      </c>
      <c r="N448" s="1">
        <v>45460.958333333336</v>
      </c>
      <c r="O448" s="1">
        <v>45455.5</v>
      </c>
      <c r="P448" s="1">
        <v>45461.5</v>
      </c>
    </row>
    <row r="449" spans="1:16" hidden="1" x14ac:dyDescent="0.25">
      <c r="A449" s="1">
        <v>45440.65902777778</v>
      </c>
      <c r="B449" t="s">
        <v>65</v>
      </c>
      <c r="C449" t="s">
        <v>362</v>
      </c>
      <c r="D449" t="s">
        <v>363</v>
      </c>
      <c r="E449" t="s">
        <v>44</v>
      </c>
      <c r="F449" t="s">
        <v>30</v>
      </c>
      <c r="G449" s="1">
        <v>45464.75</v>
      </c>
      <c r="H449" s="1">
        <v>45464.75</v>
      </c>
      <c r="I449" s="1">
        <v>45465.375</v>
      </c>
      <c r="J449" t="s">
        <v>13</v>
      </c>
      <c r="K449" s="1">
        <v>45457.75</v>
      </c>
      <c r="L449" s="1">
        <v>45462.75</v>
      </c>
      <c r="M449" s="1">
        <v>45458.000694444447</v>
      </c>
      <c r="N449" s="1">
        <v>45461.75</v>
      </c>
      <c r="O449" s="1">
        <v>45456.25</v>
      </c>
      <c r="P449" s="1">
        <v>45462.25</v>
      </c>
    </row>
    <row r="450" spans="1:16" hidden="1" x14ac:dyDescent="0.25">
      <c r="A450" s="1">
        <v>45440.65902777778</v>
      </c>
      <c r="B450" t="s">
        <v>136</v>
      </c>
      <c r="C450" t="s">
        <v>156</v>
      </c>
      <c r="D450" t="s">
        <v>157</v>
      </c>
      <c r="E450" t="s">
        <v>43</v>
      </c>
      <c r="F450" t="s">
        <v>14</v>
      </c>
      <c r="G450" s="1">
        <v>45464.583333333336</v>
      </c>
      <c r="H450" s="1">
        <v>45464.791666666664</v>
      </c>
      <c r="I450" s="1">
        <v>45465.25</v>
      </c>
      <c r="J450" t="s">
        <v>13</v>
      </c>
      <c r="K450" s="1">
        <v>45457.583333333336</v>
      </c>
      <c r="L450" s="1">
        <v>45462.791666666664</v>
      </c>
      <c r="M450" s="1">
        <v>45458.000694444447</v>
      </c>
      <c r="N450" s="1">
        <v>45461.791666666664</v>
      </c>
      <c r="O450" s="1">
        <v>45456.083333333336</v>
      </c>
      <c r="P450" s="1">
        <v>45462.083333333336</v>
      </c>
    </row>
    <row r="451" spans="1:16" hidden="1" x14ac:dyDescent="0.25">
      <c r="A451" s="1">
        <v>45440.65902777778</v>
      </c>
      <c r="B451" t="s">
        <v>155</v>
      </c>
      <c r="C451" t="s">
        <v>491</v>
      </c>
      <c r="D451" t="s">
        <v>492</v>
      </c>
      <c r="E451" t="s">
        <v>121</v>
      </c>
      <c r="F451" t="s">
        <v>122</v>
      </c>
      <c r="G451" s="1">
        <v>45464.833333333336</v>
      </c>
      <c r="H451" s="1">
        <v>45464.833333333336</v>
      </c>
      <c r="I451" s="1">
        <v>45465.5625</v>
      </c>
      <c r="J451" t="s">
        <v>16</v>
      </c>
      <c r="K451" s="1">
        <v>45457.833333333336</v>
      </c>
      <c r="L451" s="1">
        <v>45462.833333333336</v>
      </c>
      <c r="M451" s="1">
        <v>45458.000694444447</v>
      </c>
      <c r="N451" s="1">
        <v>45461.833333333336</v>
      </c>
      <c r="O451" s="1">
        <v>45454.833333333336</v>
      </c>
      <c r="P451" s="1">
        <v>45462.833333333336</v>
      </c>
    </row>
    <row r="452" spans="1:16" hidden="1" x14ac:dyDescent="0.25">
      <c r="A452" s="1">
        <v>45440.638888888891</v>
      </c>
      <c r="B452" t="s">
        <v>564</v>
      </c>
      <c r="C452" t="s">
        <v>287</v>
      </c>
      <c r="D452" t="s">
        <v>287</v>
      </c>
      <c r="E452" t="s">
        <v>138</v>
      </c>
      <c r="F452" t="s">
        <v>139</v>
      </c>
      <c r="G452" s="1">
        <v>45468.25</v>
      </c>
      <c r="H452" s="1">
        <v>45468.25</v>
      </c>
      <c r="I452" s="1">
        <v>45469.25</v>
      </c>
      <c r="J452" t="s">
        <v>17</v>
      </c>
      <c r="K452" s="1">
        <v>45461.25</v>
      </c>
      <c r="L452" s="1">
        <v>45466.25</v>
      </c>
      <c r="M452" s="1">
        <v>45462.000694444447</v>
      </c>
      <c r="N452" s="1">
        <v>45465.25</v>
      </c>
      <c r="O452" s="1">
        <v>45459.75</v>
      </c>
      <c r="P452" s="1">
        <v>45465.75</v>
      </c>
    </row>
    <row r="453" spans="1:16" hidden="1" x14ac:dyDescent="0.25">
      <c r="A453" s="1">
        <v>45439.64166666667</v>
      </c>
      <c r="B453" t="s">
        <v>448</v>
      </c>
      <c r="C453" t="s">
        <v>449</v>
      </c>
      <c r="D453" t="s">
        <v>450</v>
      </c>
      <c r="E453" t="s">
        <v>79</v>
      </c>
      <c r="F453" t="s">
        <v>14</v>
      </c>
      <c r="G453" s="1">
        <v>45467.000694444447</v>
      </c>
      <c r="H453" s="1">
        <v>45467.805555555555</v>
      </c>
      <c r="I453" s="1">
        <v>45468.472222222219</v>
      </c>
      <c r="J453" t="s">
        <v>16</v>
      </c>
      <c r="K453" s="1">
        <v>45460.000694444447</v>
      </c>
      <c r="L453" s="1">
        <v>45465.805555555555</v>
      </c>
      <c r="M453" s="1">
        <v>45461.000694444447</v>
      </c>
      <c r="N453" s="1">
        <v>45457.416666666664</v>
      </c>
      <c r="O453" s="1">
        <v>45458.500694444447</v>
      </c>
      <c r="P453" s="1">
        <v>45464.500694444447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4BD4F-5D58-4CE9-9CE8-291B24230EA7}">
  <sheetPr codeName="Sheet6"/>
  <dimension ref="A1:V50"/>
  <sheetViews>
    <sheetView showGridLines="0" topLeftCell="A22" workbookViewId="0"/>
  </sheetViews>
  <sheetFormatPr defaultRowHeight="15" x14ac:dyDescent="0.25"/>
  <cols>
    <col min="1" max="1" width="2.7109375" customWidth="1"/>
    <col min="8" max="8" width="9.140625" customWidth="1"/>
    <col min="21" max="21" width="10" customWidth="1"/>
    <col min="22" max="22" width="3.28515625" customWidth="1"/>
  </cols>
  <sheetData>
    <row r="1" spans="1:22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</row>
    <row r="2" spans="1:22" x14ac:dyDescent="0.25">
      <c r="A2" s="24"/>
      <c r="J2" t="s">
        <v>91</v>
      </c>
      <c r="V2" s="24"/>
    </row>
    <row r="3" spans="1:22" x14ac:dyDescent="0.25">
      <c r="A3" s="24"/>
      <c r="J3" t="s">
        <v>92</v>
      </c>
      <c r="V3" s="24"/>
    </row>
    <row r="4" spans="1:22" x14ac:dyDescent="0.25">
      <c r="A4" s="24"/>
      <c r="J4" t="s">
        <v>93</v>
      </c>
      <c r="V4" s="24"/>
    </row>
    <row r="5" spans="1:22" x14ac:dyDescent="0.25">
      <c r="A5" s="24"/>
      <c r="J5" t="s">
        <v>94</v>
      </c>
      <c r="V5" s="24"/>
    </row>
    <row r="6" spans="1:22" x14ac:dyDescent="0.25">
      <c r="A6" s="24"/>
      <c r="J6" t="s">
        <v>95</v>
      </c>
      <c r="V6" s="24"/>
    </row>
    <row r="7" spans="1:22" x14ac:dyDescent="0.25">
      <c r="A7" s="24"/>
      <c r="J7" t="s">
        <v>96</v>
      </c>
      <c r="V7" s="24"/>
    </row>
    <row r="8" spans="1:22" x14ac:dyDescent="0.2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</row>
    <row r="9" spans="1:22" x14ac:dyDescent="0.25">
      <c r="A9" s="24"/>
      <c r="I9" t="s">
        <v>97</v>
      </c>
      <c r="V9" s="24"/>
    </row>
    <row r="10" spans="1:22" x14ac:dyDescent="0.25">
      <c r="A10" s="24"/>
      <c r="I10" t="s">
        <v>98</v>
      </c>
      <c r="V10" s="24"/>
    </row>
    <row r="11" spans="1:22" x14ac:dyDescent="0.25">
      <c r="A11" s="24"/>
      <c r="I11" t="s">
        <v>99</v>
      </c>
      <c r="V11" s="24"/>
    </row>
    <row r="12" spans="1:22" x14ac:dyDescent="0.25">
      <c r="A12" s="24"/>
      <c r="I12" t="s">
        <v>100</v>
      </c>
      <c r="V12" s="24"/>
    </row>
    <row r="13" spans="1:22" x14ac:dyDescent="0.25">
      <c r="A13" s="24"/>
      <c r="V13" s="24"/>
    </row>
    <row r="14" spans="1:22" x14ac:dyDescent="0.25">
      <c r="A14" s="24"/>
      <c r="I14" t="s">
        <v>101</v>
      </c>
      <c r="V14" s="24"/>
    </row>
    <row r="15" spans="1:22" x14ac:dyDescent="0.25">
      <c r="A15" s="24"/>
      <c r="I15" t="s">
        <v>102</v>
      </c>
      <c r="V15" s="24"/>
    </row>
    <row r="16" spans="1:22" x14ac:dyDescent="0.25">
      <c r="A16" s="24"/>
      <c r="I16" t="s">
        <v>103</v>
      </c>
      <c r="V16" s="24"/>
    </row>
    <row r="17" spans="1:22" x14ac:dyDescent="0.25">
      <c r="A17" s="24"/>
      <c r="I17" t="s">
        <v>104</v>
      </c>
      <c r="V17" s="24"/>
    </row>
    <row r="18" spans="1:22" x14ac:dyDescent="0.25">
      <c r="A18" s="24"/>
      <c r="I18" t="s">
        <v>105</v>
      </c>
      <c r="V18" s="24"/>
    </row>
    <row r="19" spans="1:22" x14ac:dyDescent="0.25">
      <c r="A19" s="24"/>
      <c r="V19" s="24"/>
    </row>
    <row r="20" spans="1:22" x14ac:dyDescent="0.25">
      <c r="A20" s="24"/>
      <c r="V20" s="24"/>
    </row>
    <row r="21" spans="1:22" x14ac:dyDescent="0.25">
      <c r="A21" s="24"/>
      <c r="V21" s="24"/>
    </row>
    <row r="22" spans="1:22" x14ac:dyDescent="0.25">
      <c r="A22" s="24"/>
      <c r="V22" s="24"/>
    </row>
    <row r="23" spans="1:22" x14ac:dyDescent="0.25">
      <c r="A23" s="24"/>
      <c r="V23" s="24"/>
    </row>
    <row r="24" spans="1:22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</row>
    <row r="25" spans="1:22" x14ac:dyDescent="0.25">
      <c r="A25" s="24"/>
      <c r="I25" t="s">
        <v>106</v>
      </c>
      <c r="V25" s="24"/>
    </row>
    <row r="26" spans="1:22" x14ac:dyDescent="0.25">
      <c r="A26" s="24"/>
      <c r="I26" t="s">
        <v>107</v>
      </c>
      <c r="V26" s="24"/>
    </row>
    <row r="27" spans="1:22" x14ac:dyDescent="0.25">
      <c r="A27" s="24"/>
      <c r="I27" t="s">
        <v>108</v>
      </c>
      <c r="V27" s="24"/>
    </row>
    <row r="28" spans="1:22" ht="7.15" customHeight="1" x14ac:dyDescent="0.25">
      <c r="A28" s="24"/>
      <c r="V28" s="24"/>
    </row>
    <row r="29" spans="1:22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</row>
    <row r="30" spans="1:22" x14ac:dyDescent="0.25">
      <c r="A30" s="24"/>
      <c r="M30" t="s">
        <v>109</v>
      </c>
      <c r="V30" s="24"/>
    </row>
    <row r="31" spans="1:22" x14ac:dyDescent="0.25">
      <c r="A31" s="24"/>
      <c r="M31" t="s">
        <v>112</v>
      </c>
      <c r="V31" s="24"/>
    </row>
    <row r="32" spans="1:22" x14ac:dyDescent="0.25">
      <c r="A32" s="24"/>
      <c r="M32" t="s">
        <v>113</v>
      </c>
      <c r="V32" s="24"/>
    </row>
    <row r="33" spans="1:22" x14ac:dyDescent="0.25">
      <c r="A33" s="24"/>
      <c r="M33" t="s">
        <v>110</v>
      </c>
      <c r="V33" s="24"/>
    </row>
    <row r="34" spans="1:22" x14ac:dyDescent="0.25">
      <c r="A34" s="24"/>
      <c r="M34" t="s">
        <v>114</v>
      </c>
      <c r="V34" s="24"/>
    </row>
    <row r="35" spans="1:22" x14ac:dyDescent="0.25">
      <c r="A35" s="24"/>
      <c r="M35" t="s">
        <v>111</v>
      </c>
      <c r="V35" s="24"/>
    </row>
    <row r="36" spans="1:22" x14ac:dyDescent="0.25">
      <c r="A36" s="24"/>
      <c r="V36" s="24"/>
    </row>
    <row r="37" spans="1:22" x14ac:dyDescent="0.25">
      <c r="A37" s="24"/>
      <c r="V37" s="24"/>
    </row>
    <row r="38" spans="1:22" x14ac:dyDescent="0.25">
      <c r="A38" s="24"/>
      <c r="V38" s="24"/>
    </row>
    <row r="39" spans="1:22" ht="7.9" customHeight="1" x14ac:dyDescent="0.25">
      <c r="A39" s="24"/>
      <c r="V39" s="24"/>
    </row>
    <row r="40" spans="1:22" x14ac:dyDescent="0.25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</row>
    <row r="41" spans="1:22" x14ac:dyDescent="0.25">
      <c r="A41" s="24"/>
      <c r="M41" t="s">
        <v>115</v>
      </c>
      <c r="V41" s="24"/>
    </row>
    <row r="42" spans="1:22" x14ac:dyDescent="0.25">
      <c r="A42" s="24"/>
      <c r="M42" t="s">
        <v>116</v>
      </c>
      <c r="V42" s="24"/>
    </row>
    <row r="43" spans="1:22" x14ac:dyDescent="0.25">
      <c r="A43" s="24"/>
      <c r="V43" s="24"/>
    </row>
    <row r="44" spans="1:22" ht="6" customHeight="1" x14ac:dyDescent="0.25">
      <c r="A44" s="24"/>
      <c r="V44" s="24"/>
    </row>
    <row r="45" spans="1:22" x14ac:dyDescent="0.25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</row>
    <row r="46" spans="1:22" x14ac:dyDescent="0.25">
      <c r="A46" s="24"/>
      <c r="B46" t="s">
        <v>118</v>
      </c>
      <c r="V46" s="24"/>
    </row>
    <row r="47" spans="1:22" x14ac:dyDescent="0.25">
      <c r="A47" s="24"/>
      <c r="B47" t="s">
        <v>117</v>
      </c>
      <c r="V47" s="24"/>
    </row>
    <row r="48" spans="1:22" x14ac:dyDescent="0.25">
      <c r="A48" s="24"/>
      <c r="B48" t="s">
        <v>119</v>
      </c>
      <c r="H48" s="42" t="s">
        <v>89</v>
      </c>
      <c r="V48" s="24"/>
    </row>
    <row r="49" spans="1:22" x14ac:dyDescent="0.25">
      <c r="A49" s="24"/>
      <c r="H49" s="42" t="s">
        <v>90</v>
      </c>
      <c r="V49" s="24"/>
    </row>
    <row r="50" spans="1:22" x14ac:dyDescent="0.25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</row>
  </sheetData>
  <hyperlinks>
    <hyperlink ref="H48" r:id="rId1" xr:uid="{CDDD3CD5-5DF7-45A4-83C6-63CEBE09F224}"/>
    <hyperlink ref="H49" r:id="rId2" xr:uid="{A33CDFE2-EDFB-4A6E-976F-B9E279A8F022}"/>
  </hyperlinks>
  <pageMargins left="0.7" right="0.7" top="0.75" bottom="0.75" header="0.3" footer="0.3"/>
  <pageSetup paperSize="9" orientation="portrait" r:id="rId3"/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D46C0-3028-453E-9DCA-CF02F3BCEA51}">
  <sheetPr codeName="Sheet2"/>
  <dimension ref="A2:BI65"/>
  <sheetViews>
    <sheetView zoomScale="70" zoomScaleNormal="70" workbookViewId="0">
      <selection activeCell="B8" sqref="B8"/>
    </sheetView>
  </sheetViews>
  <sheetFormatPr defaultRowHeight="15" x14ac:dyDescent="0.25"/>
  <cols>
    <col min="1" max="1" width="17.140625" bestFit="1" customWidth="1"/>
    <col min="2" max="2" width="10.42578125" customWidth="1"/>
    <col min="3" max="3" width="12.140625" bestFit="1" customWidth="1"/>
    <col min="4" max="4" width="22.28515625" bestFit="1" customWidth="1"/>
    <col min="7" max="7" width="17.140625" bestFit="1" customWidth="1"/>
    <col min="8" max="8" width="16.7109375" customWidth="1"/>
    <col min="9" max="9" width="17.140625" bestFit="1" customWidth="1"/>
    <col min="11" max="11" width="17.140625" bestFit="1" customWidth="1"/>
    <col min="12" max="13" width="16" bestFit="1" customWidth="1"/>
    <col min="14" max="15" width="17.140625" bestFit="1" customWidth="1"/>
    <col min="16" max="16" width="16" bestFit="1" customWidth="1"/>
    <col min="17" max="17" width="17.28515625" customWidth="1"/>
    <col min="18" max="18" width="16" bestFit="1" customWidth="1"/>
    <col min="19" max="19" width="17.140625" bestFit="1" customWidth="1"/>
    <col min="21" max="21" width="17.85546875" customWidth="1"/>
    <col min="22" max="22" width="22.42578125" customWidth="1"/>
    <col min="23" max="23" width="22.28515625" customWidth="1"/>
    <col min="24" max="27" width="17.140625" bestFit="1" customWidth="1"/>
    <col min="34" max="34" width="16.7109375" customWidth="1"/>
    <col min="35" max="35" width="16" bestFit="1" customWidth="1"/>
    <col min="36" max="38" width="17.140625" bestFit="1" customWidth="1"/>
    <col min="42" max="42" width="23.42578125" bestFit="1" customWidth="1"/>
    <col min="48" max="48" width="31.7109375" bestFit="1" customWidth="1"/>
    <col min="49" max="52" width="17.140625" bestFit="1" customWidth="1"/>
    <col min="56" max="56" width="29.28515625" bestFit="1" customWidth="1"/>
    <col min="57" max="58" width="16" bestFit="1" customWidth="1"/>
    <col min="59" max="59" width="11.7109375" bestFit="1" customWidth="1"/>
  </cols>
  <sheetData>
    <row r="2" spans="2:61" x14ac:dyDescent="0.25">
      <c r="C2" t="s">
        <v>31</v>
      </c>
      <c r="D2">
        <v>6</v>
      </c>
    </row>
    <row r="3" spans="2:61" x14ac:dyDescent="0.25">
      <c r="C3" t="s">
        <v>32</v>
      </c>
      <c r="D3">
        <v>1</v>
      </c>
    </row>
    <row r="4" spans="2:61" x14ac:dyDescent="0.25">
      <c r="C4" t="s">
        <v>33</v>
      </c>
      <c r="D4">
        <v>1</v>
      </c>
    </row>
    <row r="7" spans="2:61" x14ac:dyDescent="0.25">
      <c r="Z7" s="13" t="s">
        <v>54</v>
      </c>
      <c r="AA7" s="13">
        <v>1</v>
      </c>
      <c r="AD7" t="s">
        <v>60</v>
      </c>
      <c r="AE7" t="s">
        <v>55</v>
      </c>
      <c r="AF7" t="s">
        <v>56</v>
      </c>
      <c r="AG7" t="s">
        <v>57</v>
      </c>
      <c r="AH7" s="15" t="s">
        <v>0</v>
      </c>
      <c r="AI7" s="15" t="s">
        <v>58</v>
      </c>
      <c r="AJ7" s="15" t="s">
        <v>59</v>
      </c>
      <c r="AK7" s="15" t="s">
        <v>61</v>
      </c>
      <c r="AL7" s="15" t="s">
        <v>62</v>
      </c>
    </row>
    <row r="8" spans="2:61" x14ac:dyDescent="0.25">
      <c r="B8" t="str" cm="1">
        <f t="array" ref="B8:B14">_xlfn._xlws.SORT(_xlfn.UNIQUE(Tauranga_Container_Terminal_Cargo_Schedule__Thursday_21_July_2022_11_13__Export[ANL/CMA Services]))</f>
        <v>ANZ SUTTLE</v>
      </c>
      <c r="D8" t="str" cm="1">
        <f t="array" ref="D8:D11">_xlfn._xlws.SORT(_xlfn.UNIQUE(_xlfn._xlws.FILTER($K$8:$K$28,$K$8:$K$28&lt;&gt;"")))</f>
        <v>CAP JACKSON</v>
      </c>
      <c r="F8" t="str" cm="1">
        <f t="array" ref="F8">_xlfn._xlws.SORT(_xlfn.UNIQUE(_xlfn._xlws.FILTER($M$30:$M$40,$M$30:$M$40&lt;&gt;"")))</f>
        <v>425N</v>
      </c>
      <c r="K8" s="5" t="str" cm="1">
        <f t="array" ref="K8:AA11">_xlfn._xlws.FILTER(Tauranga_Container_Terminal_Cargo_Schedule__Thursday_21_July_2022_11_13__Export[],Tauranga_Container_Terminal_Cargo_Schedule__Thursday_21_July_2022_11_13__Export[ANL/CMA Services]=INDEX(_xlfn.ANCHORARRAY(Calculation!B8),D2))</f>
        <v>SEASPAN RIO DE JANEIRO</v>
      </c>
      <c r="L8" s="6" t="str">
        <v>417S</v>
      </c>
      <c r="M8" s="6" t="str">
        <v>422N</v>
      </c>
      <c r="N8" s="6" t="str">
        <v>PCX</v>
      </c>
      <c r="O8" s="6" t="str">
        <v>PSW</v>
      </c>
      <c r="P8" s="6" t="str">
        <v>Optional</v>
      </c>
      <c r="Q8" s="6">
        <v>45470</v>
      </c>
      <c r="R8" s="6">
        <v>45471.296527777777</v>
      </c>
      <c r="S8" s="6">
        <v>45472.273611111108</v>
      </c>
      <c r="T8" s="6" t="str">
        <v>Oakland</v>
      </c>
      <c r="U8" s="6">
        <v>45463</v>
      </c>
      <c r="V8" s="6">
        <v>45469.270833333336</v>
      </c>
      <c r="W8" s="6">
        <v>45464.000694444447</v>
      </c>
      <c r="X8" s="6">
        <v>45468.625</v>
      </c>
      <c r="Y8" s="6">
        <v>45461.5</v>
      </c>
      <c r="Z8" s="6">
        <v>45467.5</v>
      </c>
      <c r="AA8" s="7">
        <v>3</v>
      </c>
      <c r="AD8" s="5" cm="1">
        <f t="array" ref="AD8:AD13">_xlfn.UNIQUE(_xlfn._xlws.FILTER(AA7:AA26,(AA7:AA26&lt;&gt;"")))</f>
        <v>1</v>
      </c>
      <c r="AE8" s="6">
        <f>IF(MATCH(AA45,_xlfn.ANCHORARRAY(AD8),0)-1 = 0, 1,MATCH(AA45,_xlfn.ANCHORARRAY(AD8),0)-1)</f>
        <v>3</v>
      </c>
      <c r="AF8" s="6" cm="1">
        <f t="array" ref="AF8">INDEX(_xlfn.ANCHORARRAY(AD8),AE8)</f>
        <v>12</v>
      </c>
      <c r="AG8" s="6" cm="1">
        <f t="array" ref="AG8">IFERROR(INDEX(_xlfn.ANCHORARRAY(AD8),MATCH(AA45,_xlfn.ANCHORARRAY(AD8),0)+1),AA45)</f>
        <v>28</v>
      </c>
      <c r="AH8" s="16" t="str" cm="1">
        <f t="array" ref="AH8:AH24">INDEX(Tauranga_Container_Terminal_Cargo_Schedule__Thursday_21_July_2022_11_13__Export[Vessel],Calculation!$AF$8):INDEX(Tauranga_Container_Terminal_Cargo_Schedule__Thursday_21_July_2022_11_13__Export[Vessel],Calculation!$AG$8)</f>
        <v>CAP JERVIS</v>
      </c>
      <c r="AI8" s="16" cm="1">
        <f t="array" ref="AI8:AI24">INDEX(Tauranga_Container_Terminal_Cargo_Schedule__Thursday_21_July_2022_11_13__Export[Current ETA],Calculation!$AF$8):INDEX(Tauranga_Container_Terminal_Cargo_Schedule__Thursday_21_July_2022_11_13__Export[Current ETA],Calculation!$AG$8)</f>
        <v>45484.000694444447</v>
      </c>
      <c r="AJ8" s="16" cm="1">
        <f t="array" ref="AJ8:AJ24">INDEX(Tauranga_Container_Terminal_Cargo_Schedule__Thursday_21_July_2022_11_13__Export[Current ETD],Calculation!$AF$8):INDEX(Tauranga_Container_Terminal_Cargo_Schedule__Thursday_21_July_2022_11_13__Export[Current ETD],Calculation!$AG$8)</f>
        <v>45485.333333333336</v>
      </c>
      <c r="AK8" s="16" cm="1">
        <f t="array" ref="AK8:AK24">INDEX(Tauranga_Container_Terminal_Cargo_Schedule__Thursday_21_July_2022_11_13__Export[Tauranga Cut-Off],Calculation!$AF$8):INDEX(Tauranga_Container_Terminal_Cargo_Schedule__Thursday_21_July_2022_11_13__Export[Tauranga Cut-Off],Calculation!$AG$8)</f>
        <v>45482.625</v>
      </c>
      <c r="AL8" s="16" cm="1">
        <f t="array" ref="AL8:AL24">INDEX(Tauranga_Container_Terminal_Cargo_Schedule__Thursday_21_July_2022_11_13__Export[MetroPort Cut-Off],Calculation!$AF$8):INDEX(Tauranga_Container_Terminal_Cargo_Schedule__Thursday_21_July_2022_11_13__Export[MetroPort Cut-Off],Calculation!$AG$8)</f>
        <v>45481.500694444447</v>
      </c>
      <c r="AO8" s="5" t="s">
        <v>66</v>
      </c>
      <c r="AP8" s="7">
        <f>AF8+5</f>
        <v>17</v>
      </c>
      <c r="AV8" t="s">
        <v>70</v>
      </c>
      <c r="AW8" t="s">
        <v>58</v>
      </c>
      <c r="AX8" t="s">
        <v>59</v>
      </c>
      <c r="AY8" t="s">
        <v>61</v>
      </c>
      <c r="AZ8" t="s">
        <v>62</v>
      </c>
      <c r="BD8" t="s">
        <v>71</v>
      </c>
      <c r="BE8" t="s">
        <v>58</v>
      </c>
      <c r="BF8" t="s">
        <v>59</v>
      </c>
    </row>
    <row r="9" spans="2:61" x14ac:dyDescent="0.25">
      <c r="B9" t="str">
        <v>ANZEX</v>
      </c>
      <c r="D9" t="str">
        <v>CAP JERVIS</v>
      </c>
      <c r="K9" s="8" t="str">
        <v>CAP JERVIS</v>
      </c>
      <c r="L9" t="str">
        <v>419S</v>
      </c>
      <c r="M9" t="str">
        <v>424N</v>
      </c>
      <c r="N9" t="str">
        <v>PCX</v>
      </c>
      <c r="O9" t="str">
        <v>PSW</v>
      </c>
      <c r="P9" t="str">
        <v>Sydney</v>
      </c>
      <c r="Q9">
        <v>45484.000694444447</v>
      </c>
      <c r="R9">
        <v>45484.000694444447</v>
      </c>
      <c r="S9">
        <v>45485.333333333336</v>
      </c>
      <c r="T9" t="str">
        <v>Oakland</v>
      </c>
      <c r="U9">
        <v>45477.000694444447</v>
      </c>
      <c r="V9">
        <v>45482.000694444447</v>
      </c>
      <c r="W9">
        <v>45478.000694444447</v>
      </c>
      <c r="X9">
        <v>45482.625</v>
      </c>
      <c r="Y9">
        <v>45475.500694444447</v>
      </c>
      <c r="Z9">
        <v>45481.500694444447</v>
      </c>
      <c r="AA9" s="9">
        <v>12</v>
      </c>
      <c r="AD9" s="8">
        <v>3</v>
      </c>
      <c r="AH9" s="15" t="str">
        <v>CONTSHIP WIN</v>
      </c>
      <c r="AI9" s="15">
        <v>45485.451388888891</v>
      </c>
      <c r="AJ9" s="15">
        <v>45486.076388888891</v>
      </c>
      <c r="AK9" s="15">
        <v>45483.625</v>
      </c>
      <c r="AL9" s="17">
        <v>45483.25</v>
      </c>
      <c r="AO9" s="8" t="s">
        <v>67</v>
      </c>
      <c r="AP9" s="9">
        <f>IF(AG8-5 &lt;AP11, AG8,AG8-5)</f>
        <v>23</v>
      </c>
      <c r="AU9">
        <f>AU10-1</f>
        <v>19</v>
      </c>
      <c r="AV9" t="str" cm="1">
        <f t="array" ref="AV9:AV19">IFERROR(INDEX(Tauranga_Container_Terminal_Cargo_Schedule__Thursday_21_July_2022_11_13__Export[Vessel],Calculation!$AU$9):INDEX(Tauranga_Container_Terminal_Cargo_Schedule__Thursday_21_July_2022_11_13__Export[Vessel],Calculation!$AU$19)&amp;" "&amp;INDEX(Tauranga_Container_Terminal_Cargo_Schedule__Thursday_21_July_2022_11_13__Export[Outbound Voyage '#],Calculation!$AU$9):INDEX(Tauranga_Container_Terminal_Cargo_Schedule__Thursday_21_July_2022_11_13__Export[Outbound Voyage '#],Calculation!$AU$19),INDEX(Tauranga_Container_Terminal_Cargo_Schedule__Thursday_21_July_2022_11_13__Export[Vessel],AP16-10):INDEX(Tauranga_Container_Terminal_Cargo_Schedule__Thursday_21_July_2022_11_13__Export[Vessel],AP16)&amp;" "&amp;INDEX(Tauranga_Container_Terminal_Cargo_Schedule__Thursday_21_July_2022_11_13__Export[Outbound Voyage '#],AP16-10):INDEX(Tauranga_Container_Terminal_Cargo_Schedule__Thursday_21_July_2022_11_13__Export[Outbound Voyage '#],AP16))</f>
        <v>SEATRADE ORANGE 4520</v>
      </c>
      <c r="AW9" s="20" cm="1">
        <f t="array" ref="AW9:AW19">IFERROR(INDEX(Tauranga_Container_Terminal_Cargo_Schedule__Thursday_21_July_2022_11_13__Export[Current ETA],Calculation!$AU$9):INDEX(Tauranga_Container_Terminal_Cargo_Schedule__Thursday_21_July_2022_11_13__Export[Current ETA],Calculation!$AU$19),INDEX(Tauranga_Container_Terminal_Cargo_Schedule__Thursday_21_July_2022_11_13__Export[Current ETA],AP16-10):INDEX(Tauranga_Container_Terminal_Cargo_Schedule__Thursday_21_July_2022_11_13__Export[Current ETA],AP16))</f>
        <v>45489.916666666664</v>
      </c>
      <c r="AX9" s="20" cm="1">
        <f t="array" ref="AX9:AX19">IFERROR(INDEX(Tauranga_Container_Terminal_Cargo_Schedule__Thursday_21_July_2022_11_13__Export[Current ETD],Calculation!$AU$9):INDEX(Tauranga_Container_Terminal_Cargo_Schedule__Thursday_21_July_2022_11_13__Export[Current ETD],Calculation!$AU$19),INDEX(Tauranga_Container_Terminal_Cargo_Schedule__Thursday_21_July_2022_11_13__Export[Current ETD],AP16-10):INDEX(Tauranga_Container_Terminal_Cargo_Schedule__Thursday_21_July_2022_11_13__Export[Current ETD],AP16))</f>
        <v>45490.916666666664</v>
      </c>
      <c r="AY9" s="20" cm="1">
        <f t="array" ref="AY9:AY19">IFERROR(INDEX(Tauranga_Container_Terminal_Cargo_Schedule__Thursday_21_July_2022_11_13__Export[Tauranga Cut-Off],Calculation!$AU$9):INDEX(Tauranga_Container_Terminal_Cargo_Schedule__Thursday_21_July_2022_11_13__Export[Tauranga Cut-Off],Calculation!$AU$19),INDEX(Tauranga_Container_Terminal_Cargo_Schedule__Thursday_21_July_2022_11_13__Export[Tauranga Cut-Off],AP16-10):INDEX(Tauranga_Container_Terminal_Cargo_Schedule__Thursday_21_July_2022_11_13__Export[Tauranga Cut-Off],AP16))</f>
        <v>45488.5</v>
      </c>
      <c r="AZ9" s="20" cm="1">
        <f t="array" ref="AZ9:AZ19">IFERROR(INDEX(Tauranga_Container_Terminal_Cargo_Schedule__Thursday_21_July_2022_11_13__Export[MetroPort Cut-Off],Calculation!$AU$9):INDEX(Tauranga_Container_Terminal_Cargo_Schedule__Thursday_21_July_2022_11_13__Export[MetroPort Cut-Off],Calculation!$AU$19),INDEX(Tauranga_Container_Terminal_Cargo_Schedule__Thursday_21_July_2022_11_13__Export[MetroPort Cut-Off],AP16-10):INDEX(Tauranga_Container_Terminal_Cargo_Schedule__Thursday_21_July_2022_11_13__Export[MetroPort Cut-Off],AP16))</f>
        <v>45487.416666666664</v>
      </c>
      <c r="BA9">
        <v>0.5</v>
      </c>
      <c r="BD9" t="str" cm="1">
        <f t="array" ref="BD9">INDEX(Tauranga_Container_Terminal_Cargo_Schedule__Thursday_21_July_2022_11_13__Export[Vessel],Calculation!$AF$8)&amp;" "&amp;INDEX(Tauranga_Container_Terminal_Cargo_Schedule__Thursday_21_July_2022_11_13__Export[Outbound Voyage '#],Calculation!$AF$8)</f>
        <v>CAP JERVIS 424N</v>
      </c>
      <c r="BE9" s="20" cm="1">
        <f t="array" ref="BE9">INDEX(Tauranga_Container_Terminal_Cargo_Schedule__Thursday_21_July_2022_11_13__Export[Current ETA],Calculation!$AF$8)</f>
        <v>45484.000694444447</v>
      </c>
      <c r="BF9" s="20" cm="1">
        <f t="array" ref="BF9">INDEX(Tauranga_Container_Terminal_Cargo_Schedule__Thursday_21_July_2022_11_13__Export[Current ETD],Calculation!$AF$8)</f>
        <v>45485.333333333336</v>
      </c>
      <c r="BG9" s="20"/>
    </row>
    <row r="10" spans="2:61" x14ac:dyDescent="0.25">
      <c r="B10" t="str">
        <v>KIX</v>
      </c>
      <c r="D10" t="str">
        <v>SEASPAN RIO DE JANEIRO</v>
      </c>
      <c r="K10" s="8" t="str">
        <v>CAP JACKSON</v>
      </c>
      <c r="L10" t="str">
        <v>420S</v>
      </c>
      <c r="M10" t="str">
        <v>425N</v>
      </c>
      <c r="N10" t="str">
        <v>PCX</v>
      </c>
      <c r="O10" t="str">
        <v>PSW</v>
      </c>
      <c r="P10" t="str">
        <v>Sydney</v>
      </c>
      <c r="Q10">
        <v>45491.000694444447</v>
      </c>
      <c r="R10">
        <v>45491.000694444447</v>
      </c>
      <c r="S10">
        <v>45491.916666666664</v>
      </c>
      <c r="T10" t="str">
        <v>Papeete</v>
      </c>
      <c r="U10">
        <v>45484.000694444447</v>
      </c>
      <c r="V10">
        <v>45489.000694444447</v>
      </c>
      <c r="W10">
        <v>45485.000694444447</v>
      </c>
      <c r="X10">
        <v>45489.625</v>
      </c>
      <c r="Y10">
        <v>45482.500694444447</v>
      </c>
      <c r="Z10">
        <v>45488.500694444447</v>
      </c>
      <c r="AA10" s="9">
        <v>20</v>
      </c>
      <c r="AD10" s="8">
        <v>12</v>
      </c>
      <c r="AH10" s="15" t="str">
        <v>KOTA LUMBA</v>
      </c>
      <c r="AI10" s="15">
        <v>45485.895833333336</v>
      </c>
      <c r="AJ10" s="15">
        <v>45486.4375</v>
      </c>
      <c r="AK10" s="15">
        <v>45481.5</v>
      </c>
      <c r="AL10" s="17">
        <v>45483</v>
      </c>
      <c r="AO10" s="8" t="s">
        <v>68</v>
      </c>
      <c r="AP10" s="9">
        <v>1</v>
      </c>
      <c r="AU10">
        <f>AU11-1</f>
        <v>20</v>
      </c>
      <c r="AV10" t="str">
        <v>CAP JACKSON 425N</v>
      </c>
      <c r="AW10" s="20">
        <v>45491.000694444447</v>
      </c>
      <c r="AX10" s="20">
        <v>45491.916666666664</v>
      </c>
      <c r="AY10" s="20">
        <v>45489.625</v>
      </c>
      <c r="AZ10" s="20">
        <v>45488.500694444447</v>
      </c>
      <c r="BA10">
        <v>1.5</v>
      </c>
      <c r="BD10" t="str" cm="1">
        <f t="array" ref="BD10">INDEX(Tauranga_Container_Terminal_Cargo_Schedule__Thursday_21_July_2022_11_13__Export[Vessel],Calculation!$AG$8)&amp;" "&amp;INDEX(Tauranga_Container_Terminal_Cargo_Schedule__Thursday_21_July_2022_11_13__Export[Outbound Voyage '#],Calculation!$AG$8)</f>
        <v>SEATTLE EXPRESS 426N</v>
      </c>
      <c r="BE10" s="20" cm="1">
        <f t="array" ref="BE10">INDEX(Tauranga_Container_Terminal_Cargo_Schedule__Thursday_21_July_2022_11_13__Export[Current ETA],Calculation!$AG$8)</f>
        <v>45498.000694444447</v>
      </c>
      <c r="BF10" s="20" cm="1">
        <f t="array" ref="BF10">INDEX(Tauranga_Container_Terminal_Cargo_Schedule__Thursday_21_July_2022_11_13__Export[Current ETD],Calculation!$AG$8)</f>
        <v>45498.875</v>
      </c>
      <c r="BG10" s="20"/>
    </row>
    <row r="11" spans="2:61" x14ac:dyDescent="0.25">
      <c r="B11" t="str">
        <v>PACIFIC2</v>
      </c>
      <c r="D11" t="str">
        <v>SEATTLE EXPRESS</v>
      </c>
      <c r="K11" s="8" t="str">
        <v>SEATTLE EXPRESS</v>
      </c>
      <c r="L11" t="str">
        <v>421S</v>
      </c>
      <c r="M11" t="str">
        <v>426N</v>
      </c>
      <c r="N11" t="str">
        <v>PCX</v>
      </c>
      <c r="O11" t="str">
        <v>PSW</v>
      </c>
      <c r="P11" t="str">
        <v>Sydney</v>
      </c>
      <c r="Q11">
        <v>45498.000694444447</v>
      </c>
      <c r="R11">
        <v>45498.000694444447</v>
      </c>
      <c r="S11">
        <v>45498.875</v>
      </c>
      <c r="T11" t="str">
        <v>Oakland</v>
      </c>
      <c r="U11">
        <v>45491.000694444447</v>
      </c>
      <c r="V11">
        <v>45496.000694444447</v>
      </c>
      <c r="W11">
        <v>45492.000694444447</v>
      </c>
      <c r="X11">
        <v>45496.625</v>
      </c>
      <c r="Y11">
        <v>45489.500694444447</v>
      </c>
      <c r="Z11">
        <v>45495.500694444447</v>
      </c>
      <c r="AA11" s="9">
        <v>28</v>
      </c>
      <c r="AD11" s="8">
        <v>20</v>
      </c>
      <c r="AH11" s="15" t="str">
        <v>PALAWAN</v>
      </c>
      <c r="AI11" s="15">
        <v>45486.583333333336</v>
      </c>
      <c r="AJ11" s="15">
        <v>45487.239583333336</v>
      </c>
      <c r="AK11" s="15">
        <v>45485.625</v>
      </c>
      <c r="AL11" s="17">
        <v>45484.083333333336</v>
      </c>
      <c r="AO11" s="10" t="s">
        <v>69</v>
      </c>
      <c r="AP11" s="12">
        <f>AA45</f>
        <v>20</v>
      </c>
      <c r="AU11">
        <f>AU12-1</f>
        <v>21</v>
      </c>
      <c r="AV11" t="str">
        <v>ANL TASMAN TRADER 2426</v>
      </c>
      <c r="AW11" s="20">
        <v>45492.503472222219</v>
      </c>
      <c r="AX11" s="20">
        <v>45493.128472222219</v>
      </c>
      <c r="AY11" s="20">
        <v>45491.625</v>
      </c>
      <c r="AZ11" s="20">
        <v>45490.25</v>
      </c>
      <c r="BA11">
        <v>2.5</v>
      </c>
      <c r="BD11" t="str" cm="1">
        <f t="array" ref="BD11">INDEX(Tauranga_Container_Terminal_Cargo_Schedule__Thursday_21_July_2022_11_13__Export[Vessel],Calculation!AP11)&amp;" "&amp;INDEX(Tauranga_Container_Terminal_Cargo_Schedule__Thursday_21_July_2022_11_13__Export[Outbound Voyage '#],Calculation!AP11)</f>
        <v>CAP JACKSON 425N</v>
      </c>
      <c r="BE11" cm="1">
        <f t="array" ref="BE11">INDEX(Tauranga_Container_Terminal_Cargo_Schedule__Thursday_21_July_2022_11_13__Export[Current ETA],Calculation!AP11)</f>
        <v>45491.000694444447</v>
      </c>
      <c r="BF11" cm="1">
        <f t="array" ref="BF11">INDEX(Tauranga_Container_Terminal_Cargo_Schedule__Thursday_21_July_2022_11_13__Export[Current ETD],Calculation!AP11)</f>
        <v>45491.916666666664</v>
      </c>
    </row>
    <row r="12" spans="2:61" x14ac:dyDescent="0.25">
      <c r="B12" t="str">
        <v>PAD</v>
      </c>
      <c r="K12" s="8"/>
      <c r="AA12" s="9"/>
      <c r="AD12" s="8">
        <v>28</v>
      </c>
      <c r="AH12" s="15" t="str">
        <v>CMA CGM PERTH</v>
      </c>
      <c r="AI12" s="15">
        <v>45487.291666666664</v>
      </c>
      <c r="AJ12" s="15">
        <v>45487.875</v>
      </c>
      <c r="AK12" s="15">
        <v>45486.625</v>
      </c>
      <c r="AL12" s="17">
        <v>45484.791666666664</v>
      </c>
      <c r="AU12">
        <f>AU13-1</f>
        <v>22</v>
      </c>
      <c r="AV12" t="str">
        <v>KETA 2412</v>
      </c>
      <c r="AW12" s="20">
        <v>45493.583333333336</v>
      </c>
      <c r="AX12" s="20">
        <v>45494.25</v>
      </c>
      <c r="AY12" s="20">
        <v>45492.625</v>
      </c>
      <c r="AZ12" s="20">
        <v>45491.083333333336</v>
      </c>
      <c r="BA12">
        <v>3.5</v>
      </c>
    </row>
    <row r="13" spans="2:61" x14ac:dyDescent="0.25">
      <c r="B13" t="str">
        <v>PCX</v>
      </c>
      <c r="K13" s="8"/>
      <c r="AA13" s="9"/>
      <c r="AD13" s="8">
        <v>34</v>
      </c>
      <c r="AH13" s="15" t="str">
        <v>COSCO HAMBURG</v>
      </c>
      <c r="AI13" s="15">
        <v>45487.917361111111</v>
      </c>
      <c r="AJ13" s="15">
        <v>45488.625</v>
      </c>
      <c r="AK13" s="15">
        <v>45485.5</v>
      </c>
      <c r="AL13" s="17">
        <v>45484.500694444447</v>
      </c>
      <c r="AU13">
        <f>AU14-1</f>
        <v>23</v>
      </c>
      <c r="AV13" t="str">
        <v>XIN ZHANG ZHOU 063N</v>
      </c>
      <c r="AW13" s="20">
        <v>45494.291666666664</v>
      </c>
      <c r="AX13" s="20">
        <v>45494.958333333336</v>
      </c>
      <c r="AY13" s="20">
        <v>45493.5</v>
      </c>
      <c r="AZ13" s="20">
        <v>45491.791666666664</v>
      </c>
      <c r="BA13">
        <v>4.5</v>
      </c>
    </row>
    <row r="14" spans="2:61" x14ac:dyDescent="0.25">
      <c r="B14" t="str">
        <v>TRANSTAZ</v>
      </c>
      <c r="K14" s="8"/>
      <c r="AA14" s="9"/>
      <c r="AD14" s="8"/>
      <c r="AH14" s="15" t="str">
        <v>DEBUSSY</v>
      </c>
      <c r="AI14" s="15">
        <v>45487.927777777775</v>
      </c>
      <c r="AJ14" s="15">
        <v>45488.552083333336</v>
      </c>
      <c r="AK14" s="15">
        <v>45486.625</v>
      </c>
      <c r="AL14" s="17">
        <v>45485.5</v>
      </c>
      <c r="AU14">
        <v>24</v>
      </c>
      <c r="AV14" t="str">
        <v>NORFOLK 120</v>
      </c>
      <c r="AW14" s="20">
        <v>45495.000694444447</v>
      </c>
      <c r="AX14" s="20">
        <v>45495.708333333336</v>
      </c>
      <c r="AY14" s="20">
        <v>45493.5</v>
      </c>
      <c r="AZ14" s="20">
        <v>45492.500694444447</v>
      </c>
      <c r="BA14">
        <v>5.5</v>
      </c>
    </row>
    <row r="15" spans="2:61" x14ac:dyDescent="0.25">
      <c r="K15" s="8"/>
      <c r="AA15" s="9"/>
      <c r="AD15" s="8"/>
      <c r="AH15" s="15" t="str">
        <v>SEATRADE ORANGE</v>
      </c>
      <c r="AI15" s="15">
        <v>45489.916666666664</v>
      </c>
      <c r="AJ15" s="15">
        <v>45490.916666666664</v>
      </c>
      <c r="AK15" s="15">
        <v>45488.5</v>
      </c>
      <c r="AL15" s="17">
        <v>45487.416666666664</v>
      </c>
      <c r="AP15" s="1"/>
      <c r="AU15">
        <f>AU14+1</f>
        <v>25</v>
      </c>
      <c r="AV15" t="str">
        <v>TAKUTAI CHIEF 0188</v>
      </c>
      <c r="AW15" s="20">
        <v>45495.034722222219</v>
      </c>
      <c r="AX15" s="20">
        <v>45495.409722222219</v>
      </c>
      <c r="AY15" s="20">
        <v>45492.034722222219</v>
      </c>
      <c r="AZ15" s="20">
        <v>45492.833333333336</v>
      </c>
      <c r="BA15">
        <v>6.5</v>
      </c>
      <c r="BD15" t="s">
        <v>71</v>
      </c>
      <c r="BE15" t="s">
        <v>73</v>
      </c>
      <c r="BF15" t="s">
        <v>72</v>
      </c>
    </row>
    <row r="16" spans="2:61" x14ac:dyDescent="0.25">
      <c r="K16" s="8"/>
      <c r="AA16" s="9"/>
      <c r="AD16" s="8"/>
      <c r="AH16" s="15" t="str">
        <v>CAP JACKSON</v>
      </c>
      <c r="AI16" s="15">
        <v>45491.000694444447</v>
      </c>
      <c r="AJ16" s="15">
        <v>45491.916666666664</v>
      </c>
      <c r="AK16" s="15">
        <v>45489.625</v>
      </c>
      <c r="AL16" s="17">
        <v>45488.500694444447</v>
      </c>
      <c r="AO16" t="s">
        <v>88</v>
      </c>
      <c r="AP16">
        <f>MAX(Tauranga_Container_Terminal_Cargo_Schedule__Thursday_21_July_2022_11_13__Export[Index])</f>
        <v>34</v>
      </c>
      <c r="AU16">
        <f>AU15+1</f>
        <v>26</v>
      </c>
      <c r="AV16" t="str">
        <v>TAKUTAI CHIEF 0190</v>
      </c>
      <c r="AW16" s="20">
        <v>45495.333333333336</v>
      </c>
      <c r="AX16" s="20">
        <v>45495.708333333336</v>
      </c>
      <c r="AY16" s="20">
        <v>45494.625</v>
      </c>
      <c r="AZ16" s="20">
        <v>45492.833333333336</v>
      </c>
      <c r="BA16">
        <v>7.5</v>
      </c>
      <c r="BD16" t="str" cm="1">
        <f t="array" ref="BD16">INDEX(Tauranga_Container_Terminal_Cargo_Schedule__Thursday_21_July_2022_11_13__Export[Vessel],Calculation!$AF$8)&amp;" "&amp;INDEX(Tauranga_Container_Terminal_Cargo_Schedule__Thursday_21_July_2022_11_13__Export[Outbound Voyage '#],Calculation!$AF$8)</f>
        <v>CAP JERVIS 424N</v>
      </c>
      <c r="BE16" s="21" cm="1">
        <f t="array" ref="BE16">INDEX(Tauranga_Container_Terminal_Cargo_Schedule__Thursday_21_July_2022_11_13__Export[Current ETA],Calculation!$AF$8)-AW22</f>
        <v>-2.9993055555532919</v>
      </c>
      <c r="BF16" s="21" cm="1">
        <f t="array" ref="BF16">INDEX(Tauranga_Container_Terminal_Cargo_Schedule__Thursday_21_July_2022_11_13__Export[Current ETD],Calculation!$AF$8)-AW22</f>
        <v>-1.6666666666642413</v>
      </c>
      <c r="BG16" t="e">
        <f>MATCH(BD16,_xlfn.ANCHORARRAY(AV9),0)-0.5</f>
        <v>#N/A</v>
      </c>
      <c r="BI16" s="21">
        <f>BF16-BE16</f>
        <v>1.3326388888890506</v>
      </c>
    </row>
    <row r="17" spans="11:61" x14ac:dyDescent="0.25">
      <c r="K17" s="8"/>
      <c r="AA17" s="9"/>
      <c r="AD17" s="8"/>
      <c r="AH17" s="15" t="str">
        <v>ANL TASMAN TRADER</v>
      </c>
      <c r="AI17" s="15">
        <v>45492.503472222219</v>
      </c>
      <c r="AJ17" s="15">
        <v>45493.128472222219</v>
      </c>
      <c r="AK17" s="15">
        <v>45491.625</v>
      </c>
      <c r="AL17" s="17">
        <v>45490.25</v>
      </c>
      <c r="AU17">
        <f>AU16+1</f>
        <v>27</v>
      </c>
      <c r="AV17" t="str">
        <v>CAPE SPENCER 4521</v>
      </c>
      <c r="AW17" s="20">
        <v>45496.916666666664</v>
      </c>
      <c r="AX17" s="20">
        <v>45497.916666666664</v>
      </c>
      <c r="AY17" s="20">
        <v>45495.5</v>
      </c>
      <c r="AZ17" s="20">
        <v>45494.416666666664</v>
      </c>
      <c r="BA17">
        <v>8.5</v>
      </c>
      <c r="BD17" t="str" cm="1">
        <f t="array" ref="BD17">INDEX(Tauranga_Container_Terminal_Cargo_Schedule__Thursday_21_July_2022_11_13__Export[Vessel],Calculation!$AG$8)&amp;" "&amp;INDEX(Tauranga_Container_Terminal_Cargo_Schedule__Thursday_21_July_2022_11_13__Export[Outbound Voyage '#],Calculation!$AG$8)</f>
        <v>SEATTLE EXPRESS 426N</v>
      </c>
      <c r="BE17" s="21" cm="1">
        <f t="array" ref="BE17">INDEX(Tauranga_Container_Terminal_Cargo_Schedule__Thursday_21_July_2022_11_13__Export[Current ETA],Calculation!$AG$8)-AW22</f>
        <v>11.000694444446708</v>
      </c>
      <c r="BF17" s="21" cm="1">
        <f t="array" ref="BF17">INDEX(Tauranga_Container_Terminal_Cargo_Schedule__Thursday_21_July_2022_11_13__Export[Current ETD],Calculation!$AG$8)-AW22</f>
        <v>11.875</v>
      </c>
      <c r="BG17">
        <f>MATCH(BD17,_xlfn.ANCHORARRAY(AV9),0)-0.5</f>
        <v>9.5</v>
      </c>
      <c r="BI17" s="21">
        <f>BF17-BE17</f>
        <v>0.87430555555329192</v>
      </c>
    </row>
    <row r="18" spans="11:61" x14ac:dyDescent="0.25">
      <c r="K18" s="8"/>
      <c r="AA18" s="9"/>
      <c r="AD18" s="8"/>
      <c r="AH18" s="15" t="str">
        <v>KETA</v>
      </c>
      <c r="AI18" s="15">
        <v>45493.583333333336</v>
      </c>
      <c r="AJ18" s="15">
        <v>45494.25</v>
      </c>
      <c r="AK18" s="15">
        <v>45492.625</v>
      </c>
      <c r="AL18" s="17">
        <v>45491.083333333336</v>
      </c>
      <c r="AU18">
        <f>AU17+1</f>
        <v>28</v>
      </c>
      <c r="AV18" t="str">
        <v>SEATTLE EXPRESS 426N</v>
      </c>
      <c r="AW18" s="20">
        <v>45498.000694444447</v>
      </c>
      <c r="AX18" s="20">
        <v>45498.875</v>
      </c>
      <c r="AY18" s="20">
        <v>45496.625</v>
      </c>
      <c r="AZ18" s="20">
        <v>45495.500694444447</v>
      </c>
      <c r="BA18">
        <v>9.5</v>
      </c>
      <c r="BD18" t="str" cm="1">
        <f t="array" ref="BD18">INDEX(Tauranga_Container_Terminal_Cargo_Schedule__Thursday_21_July_2022_11_13__Export[Vessel],Calculation!AP11)&amp;" "&amp;INDEX(Tauranga_Container_Terminal_Cargo_Schedule__Thursday_21_July_2022_11_13__Export[Outbound Voyage '#],Calculation!AP11)</f>
        <v>CAP JACKSON 425N</v>
      </c>
      <c r="BE18">
        <f>BE11-AW22</f>
        <v>4.0006944444467081</v>
      </c>
      <c r="BF18">
        <f>BF11-AW22</f>
        <v>4.9166666666642413</v>
      </c>
      <c r="BG18">
        <f>MATCH(BD18,_xlfn.ANCHORARRAY(AV9),0)-0.5</f>
        <v>1.5</v>
      </c>
      <c r="BI18" s="21">
        <f>BF18-BE18</f>
        <v>0.91597222221753327</v>
      </c>
    </row>
    <row r="19" spans="11:61" x14ac:dyDescent="0.25">
      <c r="K19" s="8"/>
      <c r="AA19" s="9"/>
      <c r="AD19" s="8"/>
      <c r="AH19" s="15" t="str">
        <v>XIN ZHANG ZHOU</v>
      </c>
      <c r="AI19" s="15">
        <v>45494.291666666664</v>
      </c>
      <c r="AJ19" s="15">
        <v>45494.958333333336</v>
      </c>
      <c r="AK19" s="15">
        <v>45493.5</v>
      </c>
      <c r="AL19" s="17">
        <v>45491.791666666664</v>
      </c>
      <c r="AU19">
        <f>AU18+1</f>
        <v>29</v>
      </c>
      <c r="AV19" t="str">
        <v>CONTSHIP WIN 2428</v>
      </c>
      <c r="AW19" s="20">
        <v>45499.75</v>
      </c>
      <c r="AX19" s="20">
        <v>45500.375</v>
      </c>
      <c r="AY19" s="20">
        <v>45498.625</v>
      </c>
      <c r="AZ19" s="20">
        <v>45496.708333333336</v>
      </c>
      <c r="BA19">
        <v>10.5</v>
      </c>
    </row>
    <row r="20" spans="11:61" x14ac:dyDescent="0.25">
      <c r="K20" s="8"/>
      <c r="AA20" s="9"/>
      <c r="AD20" s="8"/>
      <c r="AH20" s="15" t="str">
        <v>NORFOLK</v>
      </c>
      <c r="AI20" s="15">
        <v>45495.000694444447</v>
      </c>
      <c r="AJ20" s="15">
        <v>45495.708333333336</v>
      </c>
      <c r="AK20" s="15">
        <v>45493.5</v>
      </c>
      <c r="AL20" s="17">
        <v>45492.500694444447</v>
      </c>
    </row>
    <row r="21" spans="11:61" x14ac:dyDescent="0.25">
      <c r="K21" s="8"/>
      <c r="AA21" s="9"/>
      <c r="AD21" s="8"/>
      <c r="AH21" s="15" t="str">
        <v>TAKUTAI CHIEF</v>
      </c>
      <c r="AI21" s="15">
        <v>45495.034722222219</v>
      </c>
      <c r="AJ21" s="15">
        <v>45495.409722222219</v>
      </c>
      <c r="AK21" s="15">
        <v>45492.034722222219</v>
      </c>
      <c r="AL21" s="17">
        <v>45492.833333333336</v>
      </c>
    </row>
    <row r="22" spans="11:61" x14ac:dyDescent="0.25">
      <c r="K22" s="8"/>
      <c r="AA22" s="9"/>
      <c r="AD22" s="8"/>
      <c r="AH22" s="15" t="str">
        <v>TAKUTAI CHIEF</v>
      </c>
      <c r="AI22" s="15">
        <v>45495.333333333336</v>
      </c>
      <c r="AJ22" s="15">
        <v>45495.708333333336</v>
      </c>
      <c r="AK22" s="15">
        <v>45494.625</v>
      </c>
      <c r="AL22" s="17">
        <v>45492.833333333336</v>
      </c>
      <c r="AV22" t="s">
        <v>66</v>
      </c>
      <c r="AW22" s="1">
        <f>MIN(AW9:AY19)-1.5</f>
        <v>45487</v>
      </c>
    </row>
    <row r="23" spans="11:61" x14ac:dyDescent="0.25">
      <c r="K23" s="8"/>
      <c r="AA23" s="9"/>
      <c r="AD23" s="8"/>
      <c r="AH23" s="15" t="str">
        <v>CAPE SPENCER</v>
      </c>
      <c r="AI23" s="15">
        <v>45496.916666666664</v>
      </c>
      <c r="AJ23" s="15">
        <v>45497.916666666664</v>
      </c>
      <c r="AK23" s="15">
        <v>45495.5</v>
      </c>
      <c r="AL23" s="17">
        <v>45494.416666666664</v>
      </c>
    </row>
    <row r="24" spans="11:61" x14ac:dyDescent="0.25">
      <c r="K24" s="8"/>
      <c r="AA24" s="9"/>
      <c r="AD24" s="8"/>
      <c r="AH24" t="str">
        <v>SEATTLE EXPRESS</v>
      </c>
      <c r="AI24">
        <v>45498.000694444447</v>
      </c>
      <c r="AJ24">
        <v>45498.875</v>
      </c>
      <c r="AK24">
        <v>45496.625</v>
      </c>
      <c r="AL24" s="9">
        <v>45495.500694444447</v>
      </c>
    </row>
    <row r="25" spans="11:61" x14ac:dyDescent="0.25"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2"/>
      <c r="AD25" s="8"/>
      <c r="AL25" s="9"/>
    </row>
    <row r="26" spans="11:61" x14ac:dyDescent="0.25">
      <c r="Z26" s="14" t="s">
        <v>53</v>
      </c>
      <c r="AA26" s="14">
        <f>MAX(Tauranga_Container_Terminal_Cargo_Schedule__Thursday_21_July_2022_11_13__Export[Index])</f>
        <v>34</v>
      </c>
      <c r="AD26" s="8"/>
      <c r="AL26" s="9"/>
      <c r="AV26" t="s">
        <v>70</v>
      </c>
      <c r="AW26" t="s">
        <v>58</v>
      </c>
      <c r="AX26" t="s">
        <v>59</v>
      </c>
      <c r="AY26" t="s">
        <v>61</v>
      </c>
      <c r="AZ26" t="s">
        <v>62</v>
      </c>
    </row>
    <row r="27" spans="11:61" x14ac:dyDescent="0.25">
      <c r="AD27" s="8"/>
      <c r="AL27" s="9"/>
      <c r="AV27" t="str" cm="1">
        <f t="array" ref="AV27:AV37">IFERROR(INDEX(Tauranga_Container_Terminal_Cargo_Schedule__Thursday_21_July_2022_11_13__Export[Vessel],Calculation!$AU$9):INDEX(Tauranga_Container_Terminal_Cargo_Schedule__Thursday_21_July_2022_11_13__Export[Vessel],Calculation!$AU$19)&amp;" "&amp;INDEX(Tauranga_Container_Terminal_Cargo_Schedule__Thursday_21_July_2022_11_13__Export[Outbound Voyage '#],Calculation!$AU$9):INDEX(Tauranga_Container_Terminal_Cargo_Schedule__Thursday_21_July_2022_11_13__Export[Outbound Voyage '#],Calculation!$AU$19),INDEX(Tauranga_Container_Terminal_Cargo_Schedule__Thursday_21_July_2022_11_13__Export[Vessel],AP16-10):INDEX(Tauranga_Container_Terminal_Cargo_Schedule__Thursday_21_July_2022_11_13__Export[Vessel],AP16)&amp;" "&amp;INDEX(Tauranga_Container_Terminal_Cargo_Schedule__Thursday_21_July_2022_11_13__Export[Outbound Voyage '#],AP16-10):INDEX(Tauranga_Container_Terminal_Cargo_Schedule__Thursday_21_July_2022_11_13__Export[Outbound Voyage '#],AP16))</f>
        <v>SEATRADE ORANGE 4520</v>
      </c>
      <c r="AW27" cm="1">
        <f t="array" ref="AW27:AW37">IFERROR(INDEX(Tauranga_Container_Terminal_Cargo_Schedule__Thursday_21_July_2022_11_13__Export[Current ETA],Calculation!$AU$9):INDEX(Tauranga_Container_Terminal_Cargo_Schedule__Thursday_21_July_2022_11_13__Export[Current ETA],Calculation!$AU$19),INDEX(Tauranga_Container_Terminal_Cargo_Schedule__Thursday_21_July_2022_11_13__Export[Current ETA],AP16-10):INDEX(Tauranga_Container_Terminal_Cargo_Schedule__Thursday_21_July_2022_11_13__Export[Current ETA],AP16))-AW22</f>
        <v>2.9166666666642413</v>
      </c>
      <c r="AX27" cm="1">
        <f t="array" ref="AX27:AX37">IFERROR(INDEX(Tauranga_Container_Terminal_Cargo_Schedule__Thursday_21_July_2022_11_13__Export[Current ETD],Calculation!$AU$9):INDEX(Tauranga_Container_Terminal_Cargo_Schedule__Thursday_21_July_2022_11_13__Export[Current ETD],Calculation!$AU$19),INDEX(Tauranga_Container_Terminal_Cargo_Schedule__Thursday_21_July_2022_11_13__Export[Current ETD],AP16-10):INDEX(Tauranga_Container_Terminal_Cargo_Schedule__Thursday_21_July_2022_11_13__Export[Current ETD],AP16))-AW22</f>
        <v>3.9166666666642413</v>
      </c>
      <c r="AY27" cm="1">
        <f t="array" ref="AY27:AY37">IFERROR(INDEX(Tauranga_Container_Terminal_Cargo_Schedule__Thursday_21_July_2022_11_13__Export[Tauranga Cut-Off],Calculation!$AU$9):INDEX(Tauranga_Container_Terminal_Cargo_Schedule__Thursday_21_July_2022_11_13__Export[Tauranga Cut-Off],Calculation!$AU$19),INDEX(Tauranga_Container_Terminal_Cargo_Schedule__Thursday_21_July_2022_11_13__Export[Tauranga Cut-Off],AP16-10):INDEX(Tauranga_Container_Terminal_Cargo_Schedule__Thursday_21_July_2022_11_13__Export[Tauranga Cut-Off],AP16))-AW22</f>
        <v>1.5</v>
      </c>
      <c r="AZ27" cm="1">
        <f t="array" ref="AZ27:AZ37">IFERROR(INDEX(Tauranga_Container_Terminal_Cargo_Schedule__Thursday_21_July_2022_11_13__Export[MetroPort Cut-Off],Calculation!$AU$9):INDEX(Tauranga_Container_Terminal_Cargo_Schedule__Thursday_21_July_2022_11_13__Export[MetroPort Cut-Off],Calculation!$AU$19),INDEX(Tauranga_Container_Terminal_Cargo_Schedule__Thursday_21_July_2022_11_13__Export[MetroPort Cut-Off],AP16-10):INDEX(Tauranga_Container_Terminal_Cargo_Schedule__Thursday_21_July_2022_11_13__Export[MetroPort Cut-Off],AP16))-AW22</f>
        <v>0.41666666666424135</v>
      </c>
      <c r="BA27">
        <v>0.5</v>
      </c>
    </row>
    <row r="28" spans="11:61" x14ac:dyDescent="0.25">
      <c r="AD28" s="8"/>
      <c r="AL28" s="9"/>
      <c r="AV28" t="str">
        <v>CAP JACKSON 425N</v>
      </c>
      <c r="AW28">
        <v>4.0006944444467081</v>
      </c>
      <c r="AX28">
        <v>4.9166666666642413</v>
      </c>
      <c r="AY28">
        <v>2.625</v>
      </c>
      <c r="AZ28">
        <v>1.5006944444467081</v>
      </c>
      <c r="BA28">
        <v>1.5</v>
      </c>
    </row>
    <row r="29" spans="11:61" x14ac:dyDescent="0.25">
      <c r="AD29" s="8"/>
      <c r="AL29" s="9"/>
      <c r="AV29" t="str">
        <v>ANL TASMAN TRADER 2426</v>
      </c>
      <c r="AW29">
        <v>5.5034722222189885</v>
      </c>
      <c r="AX29">
        <v>6.1284722222189885</v>
      </c>
      <c r="AY29">
        <v>4.625</v>
      </c>
      <c r="AZ29">
        <v>3.25</v>
      </c>
      <c r="BA29">
        <v>2.5</v>
      </c>
    </row>
    <row r="30" spans="11:61" x14ac:dyDescent="0.25">
      <c r="K30" s="5" t="str" cm="1">
        <f t="array" ref="K30:AA30">IFERROR(_xlfn._xlws.FILTER(K8:AA18,(K8:K18&lt;&gt;"")*(K8:K18=INDEX(D8:D26,D3))),_xlfn._xlws.FILTER(K8:AA18,(K8:K18&lt;&gt;"")*(K8:K18=INDEX(D8:D26,1))))</f>
        <v>CAP JACKSON</v>
      </c>
      <c r="L30" s="6" t="str">
        <v>420S</v>
      </c>
      <c r="M30" s="6" t="str">
        <v>425N</v>
      </c>
      <c r="N30" s="6" t="str">
        <v>PCX</v>
      </c>
      <c r="O30" s="6" t="str">
        <v>PSW</v>
      </c>
      <c r="P30" s="6" t="str">
        <v>Sydney</v>
      </c>
      <c r="Q30" s="6">
        <v>45491.000694444447</v>
      </c>
      <c r="R30" s="6">
        <v>45491.000694444447</v>
      </c>
      <c r="S30" s="6">
        <v>45491.916666666664</v>
      </c>
      <c r="T30" s="6" t="str">
        <v>Papeete</v>
      </c>
      <c r="U30" s="6">
        <v>45484.000694444447</v>
      </c>
      <c r="V30" s="6">
        <v>45489.000694444447</v>
      </c>
      <c r="W30" s="6">
        <v>45485.000694444447</v>
      </c>
      <c r="X30" s="6">
        <v>45489.625</v>
      </c>
      <c r="Y30" s="6">
        <v>45482.500694444447</v>
      </c>
      <c r="Z30" s="6">
        <v>45488.500694444447</v>
      </c>
      <c r="AA30" s="7">
        <v>20</v>
      </c>
      <c r="AD30" s="8"/>
      <c r="AL30" s="9"/>
      <c r="AV30" t="str">
        <v>KETA 2412</v>
      </c>
      <c r="AW30">
        <v>6.5833333333357587</v>
      </c>
      <c r="AX30">
        <v>7.25</v>
      </c>
      <c r="AY30">
        <v>5.625</v>
      </c>
      <c r="AZ30">
        <v>4.0833333333357587</v>
      </c>
      <c r="BA30">
        <v>3.5</v>
      </c>
    </row>
    <row r="31" spans="11:61" x14ac:dyDescent="0.25">
      <c r="K31" s="8"/>
      <c r="AA31" s="9"/>
      <c r="AD31" s="8"/>
      <c r="AL31" s="9"/>
      <c r="AV31" t="str">
        <v>XIN ZHANG ZHOU 063N</v>
      </c>
      <c r="AW31">
        <v>7.2916666666642413</v>
      </c>
      <c r="AX31">
        <v>7.9583333333357587</v>
      </c>
      <c r="AY31">
        <v>6.5</v>
      </c>
      <c r="AZ31">
        <v>4.7916666666642413</v>
      </c>
      <c r="BA31">
        <v>4.5</v>
      </c>
    </row>
    <row r="32" spans="11:61" x14ac:dyDescent="0.25">
      <c r="K32" s="8"/>
      <c r="AA32" s="9"/>
      <c r="AD32" s="8"/>
      <c r="AL32" s="9"/>
      <c r="AV32" t="str">
        <v>NORFOLK 120</v>
      </c>
      <c r="AW32">
        <v>8.0006944444467081</v>
      </c>
      <c r="AX32">
        <v>8.7083333333357587</v>
      </c>
      <c r="AY32">
        <v>6.5</v>
      </c>
      <c r="AZ32">
        <v>5.5006944444467081</v>
      </c>
      <c r="BA32">
        <v>5.5</v>
      </c>
    </row>
    <row r="33" spans="2:53" x14ac:dyDescent="0.25">
      <c r="K33" s="8"/>
      <c r="AA33" s="9"/>
      <c r="AD33" s="8"/>
      <c r="AL33" s="9"/>
      <c r="AV33" t="str">
        <v>TAKUTAI CHIEF 0188</v>
      </c>
      <c r="AW33">
        <v>8.0347222222189885</v>
      </c>
      <c r="AX33">
        <v>8.4097222222189885</v>
      </c>
      <c r="AY33">
        <v>5.0347222222189885</v>
      </c>
      <c r="AZ33">
        <v>5.8333333333357587</v>
      </c>
      <c r="BA33">
        <v>6.5</v>
      </c>
    </row>
    <row r="34" spans="2:53" x14ac:dyDescent="0.25">
      <c r="K34" s="8"/>
      <c r="AA34" s="9"/>
      <c r="AD34" s="8"/>
      <c r="AL34" s="9"/>
      <c r="AV34" t="str">
        <v>TAKUTAI CHIEF 0190</v>
      </c>
      <c r="AW34">
        <v>8.3333333333357587</v>
      </c>
      <c r="AX34">
        <v>8.7083333333357587</v>
      </c>
      <c r="AY34">
        <v>7.625</v>
      </c>
      <c r="AZ34">
        <v>5.8333333333357587</v>
      </c>
      <c r="BA34">
        <v>7.5</v>
      </c>
    </row>
    <row r="35" spans="2:53" x14ac:dyDescent="0.25">
      <c r="K35" s="8"/>
      <c r="AA35" s="9"/>
      <c r="AD35" s="8"/>
      <c r="AL35" s="9"/>
      <c r="AV35" t="str">
        <v>CAPE SPENCER 4521</v>
      </c>
      <c r="AW35">
        <v>9.9166666666642413</v>
      </c>
      <c r="AX35">
        <v>10.916666666664241</v>
      </c>
      <c r="AY35">
        <v>8.5</v>
      </c>
      <c r="AZ35">
        <v>7.4166666666642413</v>
      </c>
      <c r="BA35">
        <v>8.5</v>
      </c>
    </row>
    <row r="36" spans="2:53" x14ac:dyDescent="0.25">
      <c r="K36" s="8"/>
      <c r="AA36" s="9"/>
      <c r="AD36" s="8"/>
      <c r="AL36" s="9"/>
      <c r="AV36" t="str">
        <v>SEATTLE EXPRESS 426N</v>
      </c>
      <c r="AW36">
        <v>11.000694444446708</v>
      </c>
      <c r="AX36">
        <v>11.875</v>
      </c>
      <c r="AY36">
        <v>9.625</v>
      </c>
      <c r="AZ36">
        <v>8.5006944444467081</v>
      </c>
      <c r="BA36">
        <v>9.5</v>
      </c>
    </row>
    <row r="37" spans="2:53" x14ac:dyDescent="0.25">
      <c r="K37" s="8"/>
      <c r="AA37" s="9"/>
      <c r="AD37" s="8"/>
      <c r="AL37" s="9"/>
      <c r="AV37" t="str">
        <v>CONTSHIP WIN 2428</v>
      </c>
      <c r="AW37">
        <v>12.75</v>
      </c>
      <c r="AX37">
        <v>13.375</v>
      </c>
      <c r="AY37">
        <v>11.625</v>
      </c>
      <c r="AZ37">
        <v>9.7083333333357587</v>
      </c>
      <c r="BA37">
        <v>10.5</v>
      </c>
    </row>
    <row r="38" spans="2:53" x14ac:dyDescent="0.25">
      <c r="K38" s="8"/>
      <c r="AA38" s="9"/>
      <c r="AD38" s="8"/>
      <c r="AL38" s="9"/>
    </row>
    <row r="39" spans="2:53" x14ac:dyDescent="0.25">
      <c r="K39" s="8"/>
      <c r="AA39" s="9"/>
      <c r="AD39" s="8"/>
      <c r="AL39" s="9"/>
    </row>
    <row r="40" spans="2:53" x14ac:dyDescent="0.25">
      <c r="K40" s="8"/>
      <c r="AA40" s="9"/>
      <c r="AD40" s="8"/>
      <c r="AL40" s="9"/>
    </row>
    <row r="41" spans="2:53" x14ac:dyDescent="0.25">
      <c r="B41" t="s">
        <v>39</v>
      </c>
      <c r="K41" s="10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2"/>
      <c r="AD41" s="8"/>
      <c r="AL41" s="9"/>
    </row>
    <row r="42" spans="2:53" x14ac:dyDescent="0.25">
      <c r="B42" t="b">
        <v>1</v>
      </c>
      <c r="AD42" s="8"/>
      <c r="AL42" s="9"/>
    </row>
    <row r="43" spans="2:53" x14ac:dyDescent="0.25">
      <c r="AD43" s="8"/>
      <c r="AL43" s="9"/>
    </row>
    <row r="44" spans="2:53" x14ac:dyDescent="0.25">
      <c r="K44" s="18" t="s">
        <v>0</v>
      </c>
      <c r="L44" s="19" t="s">
        <v>1</v>
      </c>
      <c r="M44" s="19" t="s">
        <v>2</v>
      </c>
      <c r="N44" s="19" t="s">
        <v>50</v>
      </c>
      <c r="O44" s="19" t="s">
        <v>48</v>
      </c>
      <c r="P44" s="19" t="s">
        <v>4</v>
      </c>
      <c r="Q44" s="19" t="s">
        <v>5</v>
      </c>
      <c r="R44" s="19" t="s">
        <v>6</v>
      </c>
      <c r="S44" s="19" t="s">
        <v>7</v>
      </c>
      <c r="T44" s="19" t="s">
        <v>8</v>
      </c>
      <c r="U44" s="19" t="s">
        <v>9</v>
      </c>
      <c r="V44" s="19" t="s">
        <v>10</v>
      </c>
      <c r="W44" s="19" t="s">
        <v>11</v>
      </c>
      <c r="X44" s="19" t="s">
        <v>12</v>
      </c>
      <c r="Y44" s="19" t="s">
        <v>51</v>
      </c>
      <c r="Z44" s="22" t="s">
        <v>38</v>
      </c>
      <c r="AD44" s="8"/>
      <c r="AL44" s="9"/>
    </row>
    <row r="45" spans="2:53" x14ac:dyDescent="0.25">
      <c r="K45" s="5" t="str" cm="1">
        <f t="array" ref="K45:AA45">IFERROR(_xlfn._xlws.FILTER(K30:AA40,(K30:K40&lt;&gt;"")*(M30:M40=INDEX(F8:F26,D4))),_xlfn._xlws.FILTER(K30:AA40,(K30:K40&lt;&gt;"")*(M30:M40=INDEX(F8:F26,1))))</f>
        <v>CAP JACKSON</v>
      </c>
      <c r="L45" s="6" t="str">
        <v>420S</v>
      </c>
      <c r="M45" s="6" t="str">
        <v>425N</v>
      </c>
      <c r="N45" s="6" t="str">
        <v>PCX</v>
      </c>
      <c r="O45" s="6" t="str">
        <v>PSW</v>
      </c>
      <c r="P45" s="6" t="str">
        <v>Sydney</v>
      </c>
      <c r="Q45" s="23">
        <v>45491.000694444447</v>
      </c>
      <c r="R45" s="23">
        <v>45491.000694444447</v>
      </c>
      <c r="S45" s="23">
        <v>45491.916666666664</v>
      </c>
      <c r="T45" s="6" t="str">
        <v>Papeete</v>
      </c>
      <c r="U45" s="23">
        <v>45484.000694444447</v>
      </c>
      <c r="V45" s="23">
        <v>45489.000694444447</v>
      </c>
      <c r="W45" s="23">
        <v>45485.000694444447</v>
      </c>
      <c r="X45" s="23">
        <v>45489.625</v>
      </c>
      <c r="Y45" s="23">
        <v>45482.500694444447</v>
      </c>
      <c r="Z45" s="23">
        <v>45488.500694444447</v>
      </c>
      <c r="AA45" s="7">
        <v>20</v>
      </c>
      <c r="AD45" s="8"/>
      <c r="AL45" s="9"/>
    </row>
    <row r="46" spans="2:53" x14ac:dyDescent="0.25">
      <c r="K46" s="8"/>
      <c r="AA46" s="9"/>
      <c r="AD46" s="8"/>
      <c r="AL46" s="9"/>
    </row>
    <row r="47" spans="2:53" x14ac:dyDescent="0.25">
      <c r="K47" s="8"/>
      <c r="AA47" s="9"/>
      <c r="AD47" s="8"/>
      <c r="AL47" s="9"/>
    </row>
    <row r="48" spans="2:53" x14ac:dyDescent="0.25">
      <c r="K48" s="8"/>
      <c r="AA48" s="9"/>
      <c r="AD48" s="8"/>
      <c r="AL48" s="9"/>
    </row>
    <row r="49" spans="1:38" x14ac:dyDescent="0.25">
      <c r="K49" s="8"/>
      <c r="AA49" s="9"/>
      <c r="AD49" s="8"/>
      <c r="AL49" s="9"/>
    </row>
    <row r="50" spans="1:38" x14ac:dyDescent="0.25">
      <c r="K50" s="8"/>
      <c r="AA50" s="9"/>
      <c r="AD50" s="8"/>
      <c r="AL50" s="9"/>
    </row>
    <row r="51" spans="1:38" x14ac:dyDescent="0.25">
      <c r="K51" s="10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2"/>
      <c r="AD51" s="10"/>
      <c r="AE51" s="11"/>
      <c r="AF51" s="11"/>
      <c r="AG51" s="11"/>
      <c r="AH51" s="11"/>
      <c r="AI51" s="11"/>
      <c r="AJ51" s="11"/>
      <c r="AK51" s="11"/>
      <c r="AL51" s="12"/>
    </row>
    <row r="54" spans="1:38" x14ac:dyDescent="0.25">
      <c r="K54" t="s">
        <v>66</v>
      </c>
      <c r="L54">
        <f>MIN(Q45:S45,U45,V45,W45,X45,Y45,Z45) -1</f>
        <v>45481.500694444447</v>
      </c>
      <c r="Y54" s="1">
        <f ca="1">NOW()</f>
        <v>45474.637984837966</v>
      </c>
    </row>
    <row r="57" spans="1:38" x14ac:dyDescent="0.25">
      <c r="K57" t="str">
        <f>K45</f>
        <v>CAP JACKSON</v>
      </c>
      <c r="L57" t="str">
        <f t="shared" ref="L57:T57" si="0">L45</f>
        <v>420S</v>
      </c>
      <c r="M57" t="str">
        <f t="shared" si="0"/>
        <v>425N</v>
      </c>
      <c r="N57" t="str">
        <f t="shared" si="0"/>
        <v>PCX</v>
      </c>
      <c r="O57" t="str">
        <f t="shared" si="0"/>
        <v>PSW</v>
      </c>
      <c r="P57" t="str">
        <f t="shared" si="0"/>
        <v>Sydney</v>
      </c>
      <c r="Q57">
        <f>Q45-$L$54</f>
        <v>9.5</v>
      </c>
      <c r="R57">
        <f>R45-$L$54</f>
        <v>9.5</v>
      </c>
      <c r="S57">
        <f>S45-$L$54</f>
        <v>10.415972222217533</v>
      </c>
      <c r="T57" t="str">
        <f t="shared" si="0"/>
        <v>Papeete</v>
      </c>
      <c r="U57">
        <f t="shared" ref="U57:Z57" si="1">U45-$L$54</f>
        <v>2.5</v>
      </c>
      <c r="V57" s="21">
        <f t="shared" si="1"/>
        <v>7.5</v>
      </c>
      <c r="W57" s="21">
        <f t="shared" si="1"/>
        <v>3.5</v>
      </c>
      <c r="X57" s="21">
        <f t="shared" si="1"/>
        <v>8.1243055555532919</v>
      </c>
      <c r="Y57" s="21">
        <f t="shared" si="1"/>
        <v>1</v>
      </c>
      <c r="Z57" s="21">
        <f t="shared" si="1"/>
        <v>7</v>
      </c>
      <c r="AA57" s="21">
        <f ca="1">NOW()-Calculation!L54</f>
        <v>-6.8627096064810758</v>
      </c>
    </row>
    <row r="62" spans="1:38" x14ac:dyDescent="0.25">
      <c r="A62" s="18" t="s">
        <v>84</v>
      </c>
      <c r="B62" s="18" t="s">
        <v>0</v>
      </c>
      <c r="C62" s="19" t="s">
        <v>1</v>
      </c>
      <c r="D62" s="19" t="s">
        <v>2</v>
      </c>
      <c r="E62" s="19" t="s">
        <v>50</v>
      </c>
      <c r="F62" s="19" t="s">
        <v>4</v>
      </c>
      <c r="G62" s="19" t="s">
        <v>5</v>
      </c>
      <c r="H62" s="19" t="s">
        <v>6</v>
      </c>
      <c r="I62" s="19" t="s">
        <v>7</v>
      </c>
      <c r="J62" s="19" t="s">
        <v>8</v>
      </c>
      <c r="K62" s="19" t="s">
        <v>9</v>
      </c>
      <c r="L62" s="19" t="s">
        <v>10</v>
      </c>
      <c r="M62" s="19" t="s">
        <v>11</v>
      </c>
      <c r="N62" s="19" t="s">
        <v>12</v>
      </c>
      <c r="O62" s="19" t="s">
        <v>51</v>
      </c>
      <c r="P62" s="22" t="s">
        <v>38</v>
      </c>
      <c r="Q62" s="22"/>
    </row>
    <row r="63" spans="1:38" x14ac:dyDescent="0.25">
      <c r="A63" s="1" cm="1">
        <f t="array" ref="A63:P63">_xlfn._xlws.FILTER(FullData[],(FullData[ANL/CMA Services]=INDEX(Calculation!B8:B23,Calculation!D2))*(FullData[Vessel]=INDEX(Calculation!D8:D17,Calculation!D3))*(FullData[Outbound Voyage '#]=INDEX(Calculation!F8:F17,Calculation!D4)))</f>
        <v>45468.629861111112</v>
      </c>
      <c r="B63" t="str">
        <v>CAP JACKSON</v>
      </c>
      <c r="C63" t="str">
        <v>420S</v>
      </c>
      <c r="D63" t="str">
        <v>425N</v>
      </c>
      <c r="E63" t="str">
        <v>PCX</v>
      </c>
      <c r="F63" t="str">
        <v>Sydney</v>
      </c>
      <c r="G63" s="1">
        <v>45491.000694444447</v>
      </c>
      <c r="H63" s="1">
        <v>45491.000694444447</v>
      </c>
      <c r="I63" s="1">
        <v>45491.916666666664</v>
      </c>
      <c r="J63" t="str">
        <v>Papeete</v>
      </c>
      <c r="K63" s="1">
        <v>45484.000694444447</v>
      </c>
      <c r="L63" s="1">
        <v>45489.000694444447</v>
      </c>
      <c r="M63" s="1">
        <v>45485.000694444447</v>
      </c>
      <c r="N63" s="1">
        <v>45489.625</v>
      </c>
      <c r="O63" s="1">
        <v>45482.500694444447</v>
      </c>
      <c r="P63" s="1">
        <v>45488.500694444447</v>
      </c>
      <c r="S63" t="s">
        <v>58</v>
      </c>
      <c r="T63" t="s">
        <v>59</v>
      </c>
      <c r="V63" t="s">
        <v>123</v>
      </c>
      <c r="W63" t="s">
        <v>124</v>
      </c>
      <c r="Y63" t="s">
        <v>62</v>
      </c>
    </row>
    <row r="64" spans="1:38" x14ac:dyDescent="0.25">
      <c r="A64" s="1"/>
      <c r="G64" s="1"/>
      <c r="H64" s="1"/>
      <c r="I64" s="1"/>
      <c r="K64" s="1"/>
      <c r="L64" s="1"/>
      <c r="M64" s="1"/>
      <c r="N64" s="1"/>
      <c r="O64" s="1"/>
      <c r="P64" s="1"/>
      <c r="S64">
        <f>IF(H63=H64,1,IF(H64="",1,2))</f>
        <v>1</v>
      </c>
      <c r="T64">
        <f>IF(I63=I64,1,IF(I64="",1,2))</f>
        <v>1</v>
      </c>
      <c r="V64">
        <f>IF(K63=K64,1,IF(K64="",1,2))</f>
        <v>1</v>
      </c>
      <c r="W64">
        <f>IF(N63=N64,1,IF(N64="",1,2))</f>
        <v>1</v>
      </c>
      <c r="Y64">
        <f>IF(P63=P64,1,IF(P64="",1,2))</f>
        <v>1</v>
      </c>
    </row>
    <row r="65" spans="19:25" x14ac:dyDescent="0.25">
      <c r="S65">
        <f>IF(H64=H65,1,IF(H65="",1,2))</f>
        <v>1</v>
      </c>
      <c r="T65">
        <f>IF(I64=I65,1,IF(I65="",1,2))</f>
        <v>1</v>
      </c>
      <c r="V65">
        <f>IF(K64=K65,1,IF(K65="",1,2))</f>
        <v>1</v>
      </c>
      <c r="W65">
        <f>IF(N64=N65,1,IF(N65="",1,2))</f>
        <v>1</v>
      </c>
      <c r="Y65">
        <f>IF(P64=P65,1,IF(P65="",1,2))</f>
        <v>1</v>
      </c>
    </row>
  </sheetData>
  <conditionalFormatting sqref="K44:Z44">
    <cfRule type="expression" dxfId="11" priority="3">
      <formula>$Q44=$AA$45</formula>
    </cfRule>
    <cfRule type="expression" dxfId="10" priority="4">
      <formula>$D44=$N$8</formula>
    </cfRule>
  </conditionalFormatting>
  <conditionalFormatting sqref="A62:Q62">
    <cfRule type="expression" dxfId="9" priority="1">
      <formula>$Q62=$AA$45</formula>
    </cfRule>
    <cfRule type="expression" dxfId="8" priority="2">
      <formula>$D62=$N$8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croll Bar 2">
              <controlPr defaultSize="0" autoPict="0">
                <anchor moveWithCells="1">
                  <from>
                    <xdr:col>43</xdr:col>
                    <xdr:colOff>123825</xdr:colOff>
                    <xdr:row>7</xdr:row>
                    <xdr:rowOff>28575</xdr:rowOff>
                  </from>
                  <to>
                    <xdr:col>44</xdr:col>
                    <xdr:colOff>28575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75F1C9E19CFE48AD24FC0636EED789" ma:contentTypeVersion="9" ma:contentTypeDescription="Crée un document." ma:contentTypeScope="" ma:versionID="6159045942c151050a83809127a856ca">
  <xsd:schema xmlns:xsd="http://www.w3.org/2001/XMLSchema" xmlns:xs="http://www.w3.org/2001/XMLSchema" xmlns:p="http://schemas.microsoft.com/office/2006/metadata/properties" xmlns:ns3="caa69c7c-7f21-46e9-80f9-7573852e9a26" xmlns:ns4="447da821-fbaf-40c9-901d-ac41174216c1" targetNamespace="http://schemas.microsoft.com/office/2006/metadata/properties" ma:root="true" ma:fieldsID="274094998d47366beb06d30488cc6f5b" ns3:_="" ns4:_="">
    <xsd:import namespace="caa69c7c-7f21-46e9-80f9-7573852e9a26"/>
    <xsd:import namespace="447da821-fbaf-40c9-901d-ac41174216c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a69c7c-7f21-46e9-80f9-7573852e9a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7da821-fbaf-40c9-901d-ac41174216c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C5DE9255-471B-487D-B92D-B72005825A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a69c7c-7f21-46e9-80f9-7573852e9a26"/>
    <ds:schemaRef ds:uri="447da821-fbaf-40c9-901d-ac41174216c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8D98BD3-BBA3-4E88-A705-EF21519895A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6AD6A0F-E6DB-4961-8656-782AF275AEE6}">
  <ds:schemaRefs>
    <ds:schemaRef ds:uri="447da821-fbaf-40c9-901d-ac41174216c1"/>
    <ds:schemaRef ds:uri="http://purl.org/dc/dcmitype/"/>
    <ds:schemaRef ds:uri="http://purl.org/dc/elements/1.1/"/>
    <ds:schemaRef ds:uri="http://purl.org/dc/terms/"/>
    <ds:schemaRef ds:uri="http://schemas.microsoft.com/office/2006/documentManagement/types"/>
    <ds:schemaRef ds:uri="caa69c7c-7f21-46e9-80f9-7573852e9a26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825B14F8-59A3-4EFF-B29A-8CBFA5DE4C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Dashboard</vt:lpstr>
      <vt:lpstr>Wellington Data</vt:lpstr>
      <vt:lpstr>Tauranga</vt:lpstr>
      <vt:lpstr>Auckland</vt:lpstr>
      <vt:lpstr>Lyttelton</vt:lpstr>
      <vt:lpstr>Napier</vt:lpstr>
      <vt:lpstr>Nelson</vt:lpstr>
      <vt:lpstr>Services</vt:lpstr>
      <vt:lpstr>FullData</vt:lpstr>
      <vt:lpstr>Instructions</vt:lpstr>
      <vt:lpstr>COMBRESULT</vt:lpstr>
      <vt:lpstr>ScrollInfo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PLYUSNIN Vladislav</dc:creator>
  <cp:lastModifiedBy>PLYUSNIN Vladislav</cp:lastModifiedBy>
  <dcterms:created xsi:type="dcterms:W3CDTF">2022-07-20T23:13:25Z</dcterms:created>
  <dcterms:modified xsi:type="dcterms:W3CDTF">2024-07-01T03:18:45Z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0x010100C775F1C9E19CFE48AD24FC0636EED789</vt:lpwstr>
  </property>
</Properties>
</file>