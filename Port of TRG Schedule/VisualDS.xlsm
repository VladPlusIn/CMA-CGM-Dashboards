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D.VPLYUSNIN\OneDrive - CMA CGM\Desktop\project\"/>
    </mc:Choice>
  </mc:AlternateContent>
  <xr:revisionPtr revIDLastSave="4535" documentId="13_ncr:1_{C2D6DB90-2066-4688-8490-6E27551C22DE}" xr6:coauthVersionLast="45" xr6:coauthVersionMax="45" xr10:uidLastSave="{62FB66F4-FBAD-49B0-9C92-DD77E15F5847}"/>
  <bookViews>
    <workbookView xWindow="-11196" yWindow="13008" windowWidth="23256" windowHeight="12576" activeTab="4" xr2:uid="{A6837745-884A-4F81-8572-9545A86A79A7}"/>
  </bookViews>
  <sheets>
    <sheet name="Dashboard" sheetId="8" r:id="rId1"/>
    <sheet name="Tauranga" sheetId="2" r:id="rId2"/>
    <sheet name="Services" sheetId="7" r:id="rId3"/>
    <sheet name="FullData" sheetId="9" r:id="rId4"/>
    <sheet name="Instructions" sheetId="10" r:id="rId5"/>
    <sheet name="Calculation" sheetId="4" state="veryHidden" r:id="rId6"/>
  </sheets>
  <functionGroups builtInGroupCount="19"/>
  <externalReferences>
    <externalReference r:id="rId7"/>
  </externalReferences>
  <definedNames>
    <definedName name="COMBRESULT">Calculation!$D$2:$D$4</definedName>
    <definedName name="ETAFORCHART">INDEX(Tauranga_Container_Terminal_Cargo_Schedule__Thursday_21_July_2022_11_13__Export[[#All],[Current ETA]],Calculation!$AU$9):INDEX(Tauranga_Container_Terminal_Cargo_Schedule__Thursday_21_July_2022_11_13__Export[[#All],[Current ETA]],Calculation!$AU$19)-Calculation!A1048571</definedName>
    <definedName name="ETDFORCHART">INDEX(Tauranga_Container_Terminal_Cargo_Schedule__Thursday_21_July_2022_11_13__Export[[#All],[Current ETD]],Calculation!$AU$9):INDEX(Tauranga_Container_Terminal_Cargo_Schedule__Thursday_21_July_2022_11_13__Export[[#All],[Current ETD]],Calculation!$AU$19)-Calculation!XFD1048571</definedName>
    <definedName name="ExternalData_1" localSheetId="3" hidden="1">FullData!$A$1:$P$238</definedName>
    <definedName name="ExternalData_1" localSheetId="2" hidden="1">Services!$A$1:$B$10</definedName>
    <definedName name="ExternalData_1" localSheetId="1" hidden="1">Tauranga!$A$1:$Q$35</definedName>
    <definedName name="MTCUTOFFFORCHART">INDEX(Tauranga_Container_Terminal_Cargo_Schedule__Thursday_21_July_2022_11_13__Export[[#All],[MetroPort Cut-Off]],Calculation!$AU$9):INDEX(Tauranga_Container_Terminal_Cargo_Schedule__Thursday_21_July_2022_11_13__Export[[#All],[MetroPort Cut-Off]],Calculation!$AU$19)-Calculation!XFB1048571</definedName>
    <definedName name="ScrollInfo">Calculation!$AP$8:$AP$11</definedName>
    <definedName name="Service">Calculation!$B$8:INDEX(Calculation!$B$8:$B$31,MATCH("ZZZZZZZZZ",Calculation!$B$8:$B$31,1))</definedName>
    <definedName name="TRGCUTOFFFORCHART">INDEX(Tauranga_Container_Terminal_Cargo_Schedule__Thursday_21_July_2022_11_13__Export[[#All],[Tauranga Cut-Off]],Calculation!$AU$9):INDEX(Tauranga_Container_Terminal_Cargo_Schedule__Thursday_21_July_2022_11_13__Export[[#All],[Tauranga Cut-Off]],Calculation!$AU$19)-Calculation!XFC1048571</definedName>
    <definedName name="Vessel">Calculation!$D$8:INDEX(Calculation!$D$8:$D$17,MATCH("ZZZZZZZZZ",Calculation!$D$8:$D$17,1))</definedName>
    <definedName name="VesselList">OFFSET([1]Calculation!$C$11,0,0,COUNTA([1]Calculation!$C$11:$C$30),1)</definedName>
    <definedName name="Voyage">Calculation!$F$8:INDEX(Calculation!$F$8:$F$13,MATCH("ZZZZZZZZZ",Calculation!$F$8:$F$13,1))</definedName>
    <definedName name="VoyageList">OFFSET([1]Calculation!$E$11,0,0,COUNTA([1]Calculation!$E$11:$E$21),1)</definedName>
    <definedName name="VSLFORCHART">INDEX(Tauranga_Container_Terminal_Cargo_Schedule__Thursday_21_July_2022_11_13__Export[Vessel],Calculation!$AU$9):INDEX(Tauranga_Container_Terminal_Cargo_Schedule__Thursday_21_July_2022_11_13__Export[Vessel],Calculation!$AU$19)&amp;" "&amp;INDEX(Tauranga_Container_Terminal_Cargo_Schedule__Thursday_21_July_2022_11_13__Export[Outbound Voyage '#],Calculation!$AU$9):INDEX(Tauranga_Container_Terminal_Cargo_Schedule__Thursday_21_July_2022_11_13__Export[Outbound Voyage '#],Calculation!$AU$19)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15" i="4" l="1"/>
  <c r="AU16" i="4" s="1"/>
  <c r="AU17" i="4" s="1"/>
  <c r="AU18" i="4" s="1"/>
  <c r="AU19" i="4" s="1"/>
  <c r="AP16" i="4"/>
  <c r="Y54" i="4"/>
  <c r="AU13" i="4" l="1"/>
  <c r="AU12" i="4" s="1"/>
  <c r="AU11" i="4" s="1"/>
  <c r="AU10" i="4" s="1"/>
  <c r="AU9" i="4" s="1"/>
  <c r="AZ9" i="4" l="1" a="1"/>
  <c r="AZ9" i="4" s="1"/>
  <c r="AY9" i="4" a="1"/>
  <c r="AY9" i="4" s="1"/>
  <c r="AV27" i="4" a="1"/>
  <c r="AV27" i="4" s="1"/>
  <c r="AX9" i="4" a="1"/>
  <c r="AX9" i="4" s="1"/>
  <c r="AW9" i="4" a="1"/>
  <c r="AW9" i="4" s="1"/>
  <c r="AV9" i="4" a="1"/>
  <c r="AV9" i="4" s="1"/>
  <c r="AA26" i="4"/>
  <c r="AW22" i="4" l="1"/>
  <c r="B8" i="4" a="1"/>
  <c r="AZ27" i="4" l="1" a="1"/>
  <c r="AZ27" i="4" s="1"/>
  <c r="AY27" i="4" a="1"/>
  <c r="AY27" i="4" s="1"/>
  <c r="AW27" i="4" a="1"/>
  <c r="AW27" i="4" s="1"/>
  <c r="AX27" i="4" a="1"/>
  <c r="AX27" i="4" s="1"/>
  <c r="B8" i="4"/>
  <c r="K8" i="4" a="1"/>
  <c r="K8" i="4" l="1"/>
  <c r="D8" i="4" s="1" a="1"/>
  <c r="D8" i="4" s="1"/>
  <c r="AD8" i="4" a="1"/>
  <c r="AD8" i="4" s="1"/>
  <c r="K30" i="4" l="1" a="1"/>
  <c r="K30" i="4" s="1"/>
  <c r="F8" i="4" l="1" a="1"/>
  <c r="F8" i="4" s="1"/>
  <c r="A63" i="4" s="1" a="1"/>
  <c r="M5" i="8" s="1"/>
  <c r="V64" i="4" l="1"/>
  <c r="S65" i="4"/>
  <c r="W65" i="4"/>
  <c r="V65" i="4"/>
  <c r="T64" i="4"/>
  <c r="Y65" i="4"/>
  <c r="S64" i="4"/>
  <c r="T65" i="4"/>
  <c r="Y64" i="4"/>
  <c r="W64" i="4"/>
  <c r="R5" i="8"/>
  <c r="R6" i="8"/>
  <c r="R4" i="8"/>
  <c r="Q5" i="8"/>
  <c r="Q6" i="8"/>
  <c r="Q4" i="8"/>
  <c r="M6" i="8"/>
  <c r="N6" i="8"/>
  <c r="P6" i="8"/>
  <c r="O6" i="8"/>
  <c r="A63" i="4"/>
  <c r="P4" i="8"/>
  <c r="O4" i="8"/>
  <c r="P5" i="8"/>
  <c r="O5" i="8"/>
  <c r="N5" i="8"/>
  <c r="N4" i="8"/>
  <c r="K45" i="4" a="1"/>
  <c r="L54" i="4" l="1"/>
  <c r="AA57" i="4" s="1"/>
  <c r="M2" i="8"/>
  <c r="M4" i="8"/>
  <c r="M57" i="4"/>
  <c r="T57" i="4"/>
  <c r="O57" i="4"/>
  <c r="P57" i="4"/>
  <c r="K45" i="4"/>
  <c r="K57" i="4" s="1"/>
  <c r="L57" i="4"/>
  <c r="AG8" i="4" a="1"/>
  <c r="AG8" i="4" s="1"/>
  <c r="N57" i="4"/>
  <c r="AE8" i="4"/>
  <c r="AF8" i="4" s="1" a="1"/>
  <c r="AF8" i="4" s="1"/>
  <c r="BD9" i="4" s="1" a="1"/>
  <c r="BD9" i="4" s="1"/>
  <c r="AP11" i="4"/>
  <c r="BD18" i="4" s="1" a="1"/>
  <c r="BD18" i="4" s="1"/>
  <c r="BG18" i="4" s="1"/>
  <c r="AP9" i="4" l="1"/>
  <c r="S57" i="4"/>
  <c r="Q57" i="4"/>
  <c r="U57" i="4"/>
  <c r="Z57" i="4"/>
  <c r="R57" i="4"/>
  <c r="V57" i="4"/>
  <c r="Y57" i="4"/>
  <c r="X57" i="4"/>
  <c r="W57" i="4"/>
  <c r="AK8" i="4" a="1"/>
  <c r="AK8" i="4" s="1"/>
  <c r="BD16" i="4" a="1"/>
  <c r="BD16" i="4" s="1"/>
  <c r="BG16" i="4" s="1"/>
  <c r="BF9" i="4" a="1"/>
  <c r="BF9" i="4" s="1"/>
  <c r="BE11" i="4" a="1"/>
  <c r="BE11" i="4" s="1"/>
  <c r="BE18" i="4" s="1"/>
  <c r="BF11" i="4" a="1"/>
  <c r="BF11" i="4" s="1"/>
  <c r="BF18" i="4" s="1"/>
  <c r="BD11" i="4" a="1"/>
  <c r="BD11" i="4" s="1"/>
  <c r="BD10" i="4" a="1"/>
  <c r="BD10" i="4" s="1"/>
  <c r="BE16" i="4" a="1"/>
  <c r="BE16" i="4" s="1"/>
  <c r="AJ8" i="4" a="1"/>
  <c r="AJ8" i="4" s="1"/>
  <c r="AI8" i="4" a="1"/>
  <c r="AI8" i="4" s="1"/>
  <c r="BF10" i="4" a="1"/>
  <c r="BF10" i="4" s="1"/>
  <c r="BF16" i="4" a="1"/>
  <c r="BF16" i="4" s="1"/>
  <c r="BD17" i="4" a="1"/>
  <c r="BD17" i="4" s="1"/>
  <c r="BG17" i="4" s="1"/>
  <c r="BE10" i="4" a="1"/>
  <c r="BE10" i="4" s="1"/>
  <c r="BE17" i="4" a="1"/>
  <c r="BE17" i="4" s="1"/>
  <c r="BF17" i="4" a="1"/>
  <c r="BF17" i="4" s="1"/>
  <c r="AP8" i="4"/>
  <c r="AH8" i="4" a="1"/>
  <c r="AH8" i="4" s="1"/>
  <c r="BE9" i="4" a="1"/>
  <c r="BE9" i="4" s="1"/>
  <c r="AL8" i="4" a="1"/>
  <c r="AL8" i="4" s="1"/>
  <c r="BI18" i="4" l="1"/>
  <c r="BI17" i="4"/>
  <c r="BI1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B7717C-2EF9-4718-89EE-CFFD3D7D889B}" keepAlive="1" interval="60" name="Query - Condition" description="Connection to the 'Condition' query in the workbook." type="5" refreshedVersion="6" background="1" refreshOnLoad="1" saveData="1">
    <dbPr connection="Provider=Microsoft.Mashup.OleDb.1;Data Source=$Workbook$;Location=Condition;Extended Properties=&quot;&quot;" command="SELECT * FROM [Condition]"/>
  </connection>
  <connection id="2" xr16:uid="{B5C221C3-BFA2-43FF-AC6E-2E96D486C84D}" keepAlive="1" name="Query - FullData" description="Connection to the 'FullData' query in the workbook." type="5" refreshedVersion="6" background="1" saveData="1">
    <dbPr connection="Provider=Microsoft.Mashup.OleDb.1;Data Source=$Workbook$;Location=FullData;Extended Properties=&quot;&quot;" command="SELECT * FROM [FullData]"/>
  </connection>
  <connection id="3" xr16:uid="{ADD0E909-D582-486A-884A-D61DB04A6BCC}" keepAlive="1" name="Query - HistoricalData" description="Connection to the 'HistoricalData' query in the workbook." type="5" refreshedVersion="0" background="1">
    <dbPr connection="Provider=Microsoft.Mashup.OleDb.1;Data Source=$Workbook$;Location=HistoricalData;Extended Properties=&quot;&quot;" command="SELECT * FROM [HistoricalData]"/>
  </connection>
  <connection id="4" xr16:uid="{AA428EEE-59E2-4AEA-8626-546F602EC159}" keepAlive="1" name="Query - Metroport Container Terminal Cargo Schedule (Thursday 02 March 2023 13:59) Expor" description="Connection to the 'Metroport Container Terminal Cargo Schedule (Thursday 02 March 2023 13:59) Expor' query in the workbook." type="5" refreshedVersion="6" background="1" saveData="1">
    <dbPr connection="Provider=Microsoft.Mashup.OleDb.1;Data Source=$Workbook$;Location=&quot;Metroport Container Terminal Cargo Schedule (Thursday 02 March 2023 13:59) Expor&quot;;Extended Properties=&quot;&quot;" command="SELECT * FROM [Metroport Container Terminal Cargo Schedule (Thursday 02 March 2023 13:59) Expor]"/>
  </connection>
  <connection id="5" xr16:uid="{89ADD3A6-BC41-4A4B-B1BC-6A105997FBC0}" keepAlive="1" name="Query - Services" description="Connection to the 'Services' query in the workbook." type="5" refreshedVersion="6" background="1" saveData="1">
    <dbPr connection="Provider=Microsoft.Mashup.OleDb.1;Data Source=$Workbook$;Location=Services;Extended Properties=&quot;&quot;" command="SELECT * FROM [Services]"/>
  </connection>
  <connection id="6" xr16:uid="{6B0D4FAE-FDF9-4E36-B77F-5F3A844F2146}" keepAlive="1" interval="30" name="Query - Tauranga Container Terminal Cargo Schedule (Thursday 21 July 2022 11:13) Export" description="Connection to the 'Tauranga Container Terminal Cargo Schedule (Thursday 21 July 2022 11:13) Export' query in the workbook." type="5" refreshedVersion="6" background="1" refreshOnLoad="1" saveData="1">
    <dbPr connection="Provider=Microsoft.Mashup.OleDb.1;Data Source=$Workbook$;Location=Tauranga Container Terminal Cargo Schedule (Thursday 21 July 2022 11:13) Export;Extended Properties=&quot;&quot;" command="SELECT * FROM [Tauranga Container Terminal Cargo Schedule (Thursday 21 July 2022 11:13) Ex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<sst xmlns="http://schemas.openxmlformats.org/spreadsheetml/2006/main" count="2053" uniqueCount="297">
  <si>
    <t>Vessel</t>
  </si>
  <si>
    <t>Inbound Voyage #</t>
  </si>
  <si>
    <t>Outbound Voyage #</t>
  </si>
  <si>
    <t>Service</t>
  </si>
  <si>
    <t>Last Port</t>
  </si>
  <si>
    <t>Pro-Forma ETA</t>
  </si>
  <si>
    <t>Current ETA</t>
  </si>
  <si>
    <t>Current ETD</t>
  </si>
  <si>
    <t>Next Port</t>
  </si>
  <si>
    <t>Tauranga Receiving</t>
  </si>
  <si>
    <t>Tauranga Receiving (Hazardous)</t>
  </si>
  <si>
    <t>Tauranga Receiving (Reefer)</t>
  </si>
  <si>
    <t>Tauranga Cut-Off</t>
  </si>
  <si>
    <t>Sydney</t>
  </si>
  <si>
    <t>Napier</t>
  </si>
  <si>
    <t>NZS</t>
  </si>
  <si>
    <t>Brisbane</t>
  </si>
  <si>
    <t>Hong Kong</t>
  </si>
  <si>
    <t>PAD</t>
  </si>
  <si>
    <t>Melbourne</t>
  </si>
  <si>
    <t>CFD</t>
  </si>
  <si>
    <t>Auckland</t>
  </si>
  <si>
    <t>TTAZ</t>
  </si>
  <si>
    <t>Lyttelton</t>
  </si>
  <si>
    <t>AANZ</t>
  </si>
  <si>
    <t>NEP</t>
  </si>
  <si>
    <t>PSW</t>
  </si>
  <si>
    <t>Oakland</t>
  </si>
  <si>
    <t>Papeete</t>
  </si>
  <si>
    <t>ANZ</t>
  </si>
  <si>
    <t>Noumea</t>
  </si>
  <si>
    <t>Select Service</t>
  </si>
  <si>
    <t>Select Vessel</t>
  </si>
  <si>
    <t>Select Voyge</t>
  </si>
  <si>
    <t xml:space="preserve">    Vessel Name</t>
  </si>
  <si>
    <t xml:space="preserve">    Voyage № </t>
  </si>
  <si>
    <t>Index</t>
  </si>
  <si>
    <t>CFD2</t>
  </si>
  <si>
    <t>MetroPort Cut-Off</t>
  </si>
  <si>
    <t>Column1</t>
  </si>
  <si>
    <t xml:space="preserve">From </t>
  </si>
  <si>
    <t>To</t>
  </si>
  <si>
    <t>ANZEX</t>
  </si>
  <si>
    <t>TRANSTAZ</t>
  </si>
  <si>
    <t>ANZ SUTTLE</t>
  </si>
  <si>
    <t>KIX</t>
  </si>
  <si>
    <t>PCX</t>
  </si>
  <si>
    <t>FIJI</t>
  </si>
  <si>
    <t>TRG Service</t>
  </si>
  <si>
    <t>PACIFIC</t>
  </si>
  <si>
    <t>ANL/CMA Services</t>
  </si>
  <si>
    <t>MetroPort Receiving</t>
  </si>
  <si>
    <t>PACIFIC2</t>
  </si>
  <si>
    <t>MAXves</t>
  </si>
  <si>
    <t>MinVes</t>
  </si>
  <si>
    <t>VSLIN</t>
  </si>
  <si>
    <t>Vessel B4</t>
  </si>
  <si>
    <t>VSL AFTER</t>
  </si>
  <si>
    <t>ETA</t>
  </si>
  <si>
    <t>ETD</t>
  </si>
  <si>
    <t>IndInACD</t>
  </si>
  <si>
    <t>TRG CUT OFF</t>
  </si>
  <si>
    <t>MT CUT OFF</t>
  </si>
  <si>
    <t>Wellington</t>
  </si>
  <si>
    <t>KETA</t>
  </si>
  <si>
    <t>MIA SCHULTE</t>
  </si>
  <si>
    <t>CMA CGM SEMARANG</t>
  </si>
  <si>
    <t>TAKUTAI CHIEF</t>
  </si>
  <si>
    <t>CONTSHIP WIN</t>
  </si>
  <si>
    <t>CAPITAINE BARET</t>
  </si>
  <si>
    <t>Min</t>
  </si>
  <si>
    <t>Max</t>
  </si>
  <si>
    <t>MinChange</t>
  </si>
  <si>
    <t>St. Value</t>
  </si>
  <si>
    <t>VSL</t>
  </si>
  <si>
    <t>VLS beetween</t>
  </si>
  <si>
    <t>ETD BT</t>
  </si>
  <si>
    <t>ETA BT</t>
  </si>
  <si>
    <t>Caption</t>
  </si>
  <si>
    <t>OC1S</t>
  </si>
  <si>
    <t>Balboa</t>
  </si>
  <si>
    <t>Tokyo, Tokyo</t>
  </si>
  <si>
    <t>ANZL</t>
  </si>
  <si>
    <t>SSTR</t>
  </si>
  <si>
    <t>MSC</t>
  </si>
  <si>
    <t>OC1N</t>
  </si>
  <si>
    <t>Manzanillo Panama</t>
  </si>
  <si>
    <t>Time of Update</t>
  </si>
  <si>
    <t xml:space="preserve">ETA </t>
  </si>
  <si>
    <t xml:space="preserve">     Vessel Name</t>
  </si>
  <si>
    <t>Tim of Update</t>
  </si>
  <si>
    <t xml:space="preserve">TRG Receiving </t>
  </si>
  <si>
    <t xml:space="preserve">  Refresh</t>
  </si>
  <si>
    <t xml:space="preserve">     Data</t>
  </si>
  <si>
    <t>MaxIndex</t>
  </si>
  <si>
    <t>https://www.port-tauranga.co.nz/operations/tauranga-container-terminal/cargo-availability/</t>
  </si>
  <si>
    <t>https://www.port-tauranga.co.nz/operations/metroport-auckland/cargo-availability/</t>
  </si>
  <si>
    <t>Dashboard contains 5 sheets:</t>
  </si>
  <si>
    <t>The "Dashboard" sheet presents graphical information about the port schedule.</t>
  </si>
  <si>
    <t>The "Tauranga" sheet provides the port schedule in text format.</t>
  </si>
  <si>
    <t>The "Service" sheet is used for adding or removing vessels under CMA CGM/ANL control.</t>
  </si>
  <si>
    <t>The "FullData" sheet contains complete data from both the Tauranga and Metroport cargo availability websites.</t>
  </si>
  <si>
    <t>The "Instructions" sheet contains descriptions of how to use this dashboard.</t>
  </si>
  <si>
    <t>The main control section allows you to select the appropriate service, vessel, and voyage number using dropdown lists.</t>
  </si>
  <si>
    <t>The checkbox can filter the list of all vessels in the dashboard.</t>
  </si>
  <si>
    <t xml:space="preserve">If it is in the inactive position, all vessels are displayed (the same list as on the TRG website). </t>
  </si>
  <si>
    <t>If it is in the active position, only ANL/CMA vessels are shown.</t>
  </si>
  <si>
    <t>To update the list of vessels belonging to CMA/ANL, please follow these steps:</t>
  </si>
  <si>
    <t>Go to the "Service" sheet.</t>
  </si>
  <si>
    <t>Add or remove service abbreviations according to the TRG website in the "From" column.</t>
  </si>
  <si>
    <t>Add or remove service abbreviations according to the ANL/CMA website in the "To" column.</t>
  </si>
  <si>
    <t>Click on "Refresh Data" in the "Dashboard" sheet.</t>
  </si>
  <si>
    <t>This section displays updates in the vessel schedule for the last five days.</t>
  </si>
  <si>
    <t xml:space="preserve">Please note that the time of update reflects when the dashboard was last updated, </t>
  </si>
  <si>
    <t>and there may be a time difference between the dashboard data and the actual update time.</t>
  </si>
  <si>
    <t>This section provides graphical information about vessels.</t>
  </si>
  <si>
    <t>Dates on the right side indicate ETDs.</t>
  </si>
  <si>
    <t>The next/previous vessel in service is highlighted  in dark blue.</t>
  </si>
  <si>
    <t>Dates in red indicate the TRG cutoff.</t>
  </si>
  <si>
    <t>Dates on the left side of the rectangles indicate ETAs.</t>
  </si>
  <si>
    <t>The selected vessel is highlighted  in red.</t>
  </si>
  <si>
    <t>This section displays full port information for the chosen vessel.</t>
  </si>
  <si>
    <t>The blue bar represents the current date and time.</t>
  </si>
  <si>
    <t>Developer: Vladislav Plyusnin</t>
  </si>
  <si>
    <t xml:space="preserve">Dashboard Ver: 1.0.0 </t>
  </si>
  <si>
    <t xml:space="preserve">All data used in this dashboard was obtained from open sources: </t>
  </si>
  <si>
    <t>Suva</t>
  </si>
  <si>
    <t>ANZPAC</t>
  </si>
  <si>
    <t>Tongatapu-Nuku'alofa</t>
  </si>
  <si>
    <t>Receival</t>
  </si>
  <si>
    <t>TRG Cut Off</t>
  </si>
  <si>
    <t>NORFOLK</t>
  </si>
  <si>
    <t>Paita</t>
  </si>
  <si>
    <t>AC3</t>
  </si>
  <si>
    <t>San Antonio</t>
  </si>
  <si>
    <t>NAVIOS MIAMI</t>
  </si>
  <si>
    <t>ROTTERDAM BRIDGE</t>
  </si>
  <si>
    <t>TIANJIN BRIDGE</t>
  </si>
  <si>
    <t>CALI</t>
  </si>
  <si>
    <t>MAERSK RIO DELTA</t>
  </si>
  <si>
    <t>2328</t>
  </si>
  <si>
    <t>Port Chalmers (Dunedin Harbour)</t>
  </si>
  <si>
    <t>NZE</t>
  </si>
  <si>
    <t>339S</t>
  </si>
  <si>
    <t>344N</t>
  </si>
  <si>
    <t>CONTSHIP QUO</t>
  </si>
  <si>
    <t>2327</t>
  </si>
  <si>
    <t>342S</t>
  </si>
  <si>
    <t>345N</t>
  </si>
  <si>
    <t>2330</t>
  </si>
  <si>
    <t>CONTSHIP YEN</t>
  </si>
  <si>
    <t>SPIRIT OF MELBOURNE</t>
  </si>
  <si>
    <t>ANL TASMAN TRADER</t>
  </si>
  <si>
    <t>343S</t>
  </si>
  <si>
    <t>346N</t>
  </si>
  <si>
    <t>HONGKONG BRIDGE</t>
  </si>
  <si>
    <t>MAJESTIC</t>
  </si>
  <si>
    <t>0RPEHS1MA</t>
  </si>
  <si>
    <t>0RPEIN1MA</t>
  </si>
  <si>
    <t>CAP JACKSON</t>
  </si>
  <si>
    <t>475S</t>
  </si>
  <si>
    <t>476N</t>
  </si>
  <si>
    <t>181</t>
  </si>
  <si>
    <t>182</t>
  </si>
  <si>
    <t>2332</t>
  </si>
  <si>
    <t>NORDPACIFIC</t>
  </si>
  <si>
    <t>0RPEJS1MA</t>
  </si>
  <si>
    <t>0RPEKN1MA</t>
  </si>
  <si>
    <t>ANE</t>
  </si>
  <si>
    <t>MAERSK INNOSHIMA</t>
  </si>
  <si>
    <t>344S</t>
  </si>
  <si>
    <t>347N</t>
  </si>
  <si>
    <t>MSC SOTIRIA III</t>
  </si>
  <si>
    <t>FC344A</t>
  </si>
  <si>
    <t>FC347R</t>
  </si>
  <si>
    <t>MAERSK WILLEMSTADT</t>
  </si>
  <si>
    <t>COSCO FELIXSTOWE</t>
  </si>
  <si>
    <t>184S</t>
  </si>
  <si>
    <t>184N</t>
  </si>
  <si>
    <t>SFL MAUI</t>
  </si>
  <si>
    <t>345S</t>
  </si>
  <si>
    <t>348N</t>
  </si>
  <si>
    <t>MSC STAR R</t>
  </si>
  <si>
    <t>FC345A</t>
  </si>
  <si>
    <t>FC348R</t>
  </si>
  <si>
    <t>MAERSK LIMA</t>
  </si>
  <si>
    <t>345W</t>
  </si>
  <si>
    <t>SEATTLE EXPRESS</t>
  </si>
  <si>
    <t>048E</t>
  </si>
  <si>
    <t>048W</t>
  </si>
  <si>
    <t>MAERSK INVERNESS</t>
  </si>
  <si>
    <t>173S</t>
  </si>
  <si>
    <t>173N</t>
  </si>
  <si>
    <t>0125</t>
  </si>
  <si>
    <t>0126</t>
  </si>
  <si>
    <t>022S</t>
  </si>
  <si>
    <t>023N</t>
  </si>
  <si>
    <t>2329</t>
  </si>
  <si>
    <t>KOTA LUMBA</t>
  </si>
  <si>
    <t>107S</t>
  </si>
  <si>
    <t>108N</t>
  </si>
  <si>
    <t>109</t>
  </si>
  <si>
    <t>110</t>
  </si>
  <si>
    <t>TS KAOHSIUNG</t>
  </si>
  <si>
    <t>2313S</t>
  </si>
  <si>
    <t>2313N</t>
  </si>
  <si>
    <t>346S</t>
  </si>
  <si>
    <t>349N</t>
  </si>
  <si>
    <t>FC346A</t>
  </si>
  <si>
    <t>FC349R</t>
  </si>
  <si>
    <t>SANTA BARBARA</t>
  </si>
  <si>
    <t>AC1</t>
  </si>
  <si>
    <t>Yokohama, Kanagawa</t>
  </si>
  <si>
    <t>SEATRADE RED</t>
  </si>
  <si>
    <t>0RPELS1MA</t>
  </si>
  <si>
    <t>0RPEMN1MA</t>
  </si>
  <si>
    <t>2331</t>
  </si>
  <si>
    <t>CMA CGM DUTCH HARBOR</t>
  </si>
  <si>
    <t>0127</t>
  </si>
  <si>
    <t>0128</t>
  </si>
  <si>
    <t>LOUISE</t>
  </si>
  <si>
    <t>439S</t>
  </si>
  <si>
    <t>440N</t>
  </si>
  <si>
    <t>227</t>
  </si>
  <si>
    <t>228</t>
  </si>
  <si>
    <t>2333</t>
  </si>
  <si>
    <t>2334</t>
  </si>
  <si>
    <t>SPIRIT OF AUCKLAND</t>
  </si>
  <si>
    <t>GSL KITHIRA</t>
  </si>
  <si>
    <t>347S</t>
  </si>
  <si>
    <t>351N</t>
  </si>
  <si>
    <t>CAPITAINE TUPAIA</t>
  </si>
  <si>
    <t>014S</t>
  </si>
  <si>
    <t>Apia</t>
  </si>
  <si>
    <t>RIO MADEIRA</t>
  </si>
  <si>
    <t>350N</t>
  </si>
  <si>
    <t>AS NADIA</t>
  </si>
  <si>
    <t>FC347A</t>
  </si>
  <si>
    <t>FC350R</t>
  </si>
  <si>
    <t>MANDALAY</t>
  </si>
  <si>
    <t>0RPENS1MA</t>
  </si>
  <si>
    <t>0RPEON1MA</t>
  </si>
  <si>
    <t>015E</t>
  </si>
  <si>
    <t>015W</t>
  </si>
  <si>
    <t>CMA CGM SEATTLE</t>
  </si>
  <si>
    <t>MAERSK WELLINGTON</t>
  </si>
  <si>
    <t>GSL SYROS</t>
  </si>
  <si>
    <t>349S</t>
  </si>
  <si>
    <t>401N</t>
  </si>
  <si>
    <t>0129</t>
  </si>
  <si>
    <t>0130</t>
  </si>
  <si>
    <t>XIN ZHANG ZHOU</t>
  </si>
  <si>
    <t>059S</t>
  </si>
  <si>
    <t>059N</t>
  </si>
  <si>
    <t>KOTA LEMBAH</t>
  </si>
  <si>
    <t>222</t>
  </si>
  <si>
    <t>223</t>
  </si>
  <si>
    <t>MAERSK RIO INDIA</t>
  </si>
  <si>
    <t>348S</t>
  </si>
  <si>
    <t>MSC LIDIA</t>
  </si>
  <si>
    <t>FC348A</t>
  </si>
  <si>
    <t>FC351R</t>
  </si>
  <si>
    <t>NPDL TAHITI</t>
  </si>
  <si>
    <t>1S</t>
  </si>
  <si>
    <t>1N</t>
  </si>
  <si>
    <t>MATE</t>
  </si>
  <si>
    <t>049E</t>
  </si>
  <si>
    <t>049W</t>
  </si>
  <si>
    <t>Contship Rex</t>
  </si>
  <si>
    <t>MAERSK BOGOR</t>
  </si>
  <si>
    <t>0131</t>
  </si>
  <si>
    <t>0132</t>
  </si>
  <si>
    <t>Bluff</t>
  </si>
  <si>
    <t>NORTHERN GUILD</t>
  </si>
  <si>
    <t>441S</t>
  </si>
  <si>
    <t>442N</t>
  </si>
  <si>
    <t>CMA CGM MARLIN</t>
  </si>
  <si>
    <t>767</t>
  </si>
  <si>
    <t>768</t>
  </si>
  <si>
    <t>2335</t>
  </si>
  <si>
    <t>2336</t>
  </si>
  <si>
    <t>CAPITAINE TASMAN</t>
  </si>
  <si>
    <t>089S</t>
  </si>
  <si>
    <t>MAERSK RIO NEGRO</t>
  </si>
  <si>
    <t>352N</t>
  </si>
  <si>
    <t>SEATRADE ORANGE</t>
  </si>
  <si>
    <t>0RPEPS1MA</t>
  </si>
  <si>
    <t>0RPEQN1MA</t>
  </si>
  <si>
    <t>Optional</t>
  </si>
  <si>
    <t>MAERSK RUBICON</t>
  </si>
  <si>
    <t>KASSIAKOS</t>
  </si>
  <si>
    <t>346S348N</t>
  </si>
  <si>
    <t>Timaru</t>
  </si>
  <si>
    <t>OLGA MAERSK</t>
  </si>
  <si>
    <t>NYK FUSHIMI</t>
  </si>
  <si>
    <t>122S</t>
  </si>
  <si>
    <t>122N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</si>
</sst>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\ h:mm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FF0000"/>
      <name val="Arial Black"/>
      <family val="2"/>
    </font>
    <font>
      <sz val="14"/>
      <color theme="3" tint="-0.499984740745262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10224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E1E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102240"/>
      </left>
      <right style="thin">
        <color rgb="FF102240"/>
      </right>
      <top style="thin">
        <color rgb="FF102240"/>
      </top>
      <bottom/>
      <diagonal/>
    </border>
    <border>
      <left style="thin">
        <color rgb="FF102240"/>
      </left>
      <right style="thin">
        <color indexed="64"/>
      </right>
      <top style="thin">
        <color rgb="FF102240"/>
      </top>
      <bottom/>
      <diagonal/>
    </border>
    <border>
      <left style="thin">
        <color rgb="FF102240"/>
      </left>
      <right style="thin">
        <color rgb="FF102240"/>
      </right>
      <top style="thin">
        <color rgb="FF102240"/>
      </top>
      <bottom style="thin">
        <color indexed="64"/>
      </bottom>
      <diagonal/>
    </border>
    <border>
      <left/>
      <right style="thin">
        <color rgb="FF102240"/>
      </right>
      <top style="thin">
        <color rgb="FF102240"/>
      </top>
      <bottom/>
      <diagonal/>
    </border>
    <border>
      <left/>
      <right style="thin">
        <color rgb="FF102240"/>
      </right>
      <top style="thin">
        <color rgb="FF102240"/>
      </top>
      <bottom style="thin">
        <color indexed="64"/>
      </bottom>
      <diagonal/>
    </border>
    <border>
      <left style="thin">
        <color indexed="64"/>
      </left>
      <right style="thin">
        <color rgb="FF102240"/>
      </right>
      <top style="thin">
        <color indexed="64"/>
      </top>
      <bottom style="thin">
        <color rgb="FF102240"/>
      </bottom>
      <diagonal/>
    </border>
    <border>
      <left style="thin">
        <color rgb="FF102240"/>
      </left>
      <right style="thin">
        <color rgb="FF102240"/>
      </right>
      <top style="thin">
        <color indexed="64"/>
      </top>
      <bottom style="thin">
        <color rgb="FF102240"/>
      </bottom>
      <diagonal/>
    </border>
    <border>
      <left/>
      <right/>
      <top style="thin">
        <color indexed="64"/>
      </top>
      <bottom style="thin">
        <color rgb="FF102240"/>
      </bottom>
      <diagonal/>
    </border>
    <border>
      <left style="thin">
        <color rgb="FF102240"/>
      </left>
      <right style="thin">
        <color indexed="64"/>
      </right>
      <top style="thin">
        <color indexed="64"/>
      </top>
      <bottom style="thin">
        <color rgb="FF10224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2" borderId="0" xfId="0" applyFill="1" applyBorder="1"/>
    <xf numFmtId="0" fontId="0" fillId="2" borderId="0" xfId="0" applyFill="1"/>
    <xf numFmtId="0" fontId="1" fillId="2" borderId="0" xfId="0" applyFont="1" applyFill="1" applyBorder="1" applyAlignment="1">
      <alignment horizontal="center" vertical="center"/>
    </xf>
    <xf numFmtId="22" fontId="0" fillId="2" borderId="0" xfId="0" applyNumberForma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2" xfId="0" applyFill="1" applyBorder="1"/>
    <xf numFmtId="0" fontId="0" fillId="5" borderId="2" xfId="0" applyNumberFormat="1" applyFill="1" applyBorder="1"/>
    <xf numFmtId="0" fontId="0" fillId="5" borderId="0" xfId="0" applyFill="1" applyBorder="1"/>
    <xf numFmtId="0" fontId="0" fillId="5" borderId="5" xfId="0" applyFill="1" applyBorder="1"/>
    <xf numFmtId="22" fontId="0" fillId="0" borderId="0" xfId="0" applyNumberFormat="1" applyBorder="1"/>
    <xf numFmtId="0" fontId="4" fillId="6" borderId="9" xfId="0" applyFont="1" applyFill="1" applyBorder="1"/>
    <xf numFmtId="0" fontId="4" fillId="6" borderId="10" xfId="0" applyFont="1" applyFill="1" applyBorder="1"/>
    <xf numFmtId="164" fontId="0" fillId="0" borderId="0" xfId="0" applyNumberFormat="1"/>
    <xf numFmtId="2" fontId="0" fillId="0" borderId="0" xfId="0" applyNumberFormat="1"/>
    <xf numFmtId="22" fontId="4" fillId="6" borderId="11" xfId="0" applyNumberFormat="1" applyFont="1" applyFill="1" applyBorder="1"/>
    <xf numFmtId="22" fontId="0" fillId="0" borderId="2" xfId="0" applyNumberFormat="1" applyBorder="1"/>
    <xf numFmtId="0" fontId="0" fillId="7" borderId="0" xfId="0" applyFill="1"/>
    <xf numFmtId="0" fontId="0" fillId="9" borderId="0" xfId="0" applyFill="1"/>
    <xf numFmtId="0" fontId="9" fillId="8" borderId="0" xfId="0" applyFont="1" applyFill="1" applyBorder="1"/>
    <xf numFmtId="0" fontId="9" fillId="8" borderId="4" xfId="0" applyFont="1" applyFill="1" applyBorder="1"/>
    <xf numFmtId="0" fontId="9" fillId="8" borderId="5" xfId="0" applyFont="1" applyFill="1" applyBorder="1"/>
    <xf numFmtId="0" fontId="9" fillId="0" borderId="0" xfId="0" applyFont="1"/>
    <xf numFmtId="0" fontId="7" fillId="8" borderId="17" xfId="0" applyFont="1" applyFill="1" applyBorder="1" applyAlignment="1">
      <alignment horizontal="center" vertical="center"/>
    </xf>
    <xf numFmtId="0" fontId="7" fillId="8" borderId="18" xfId="0" applyFont="1" applyFill="1" applyBorder="1" applyAlignment="1">
      <alignment horizontal="center" vertical="center"/>
    </xf>
    <xf numFmtId="0" fontId="7" fillId="8" borderId="19" xfId="0" applyFont="1" applyFill="1" applyBorder="1" applyAlignment="1">
      <alignment horizontal="center" vertical="center"/>
    </xf>
    <xf numFmtId="0" fontId="7" fillId="8" borderId="20" xfId="0" applyFont="1" applyFill="1" applyBorder="1" applyAlignment="1">
      <alignment horizontal="center" vertical="center"/>
    </xf>
    <xf numFmtId="22" fontId="8" fillId="8" borderId="15" xfId="0" applyNumberFormat="1" applyFont="1" applyFill="1" applyBorder="1" applyAlignment="1">
      <alignment horizontal="center"/>
    </xf>
    <xf numFmtId="22" fontId="8" fillId="8" borderId="12" xfId="0" applyNumberFormat="1" applyFont="1" applyFill="1" applyBorder="1" applyAlignment="1">
      <alignment horizontal="center"/>
    </xf>
    <xf numFmtId="22" fontId="8" fillId="8" borderId="13" xfId="0" applyNumberFormat="1" applyFont="1" applyFill="1" applyBorder="1" applyAlignment="1">
      <alignment horizontal="center"/>
    </xf>
    <xf numFmtId="0" fontId="10" fillId="8" borderId="0" xfId="1" applyFill="1" applyBorder="1"/>
    <xf numFmtId="22" fontId="5" fillId="8" borderId="15" xfId="0" applyNumberFormat="1" applyFont="1" applyFill="1" applyBorder="1" applyAlignment="1">
      <alignment horizontal="center"/>
    </xf>
    <xf numFmtId="22" fontId="5" fillId="8" borderId="12" xfId="0" applyNumberFormat="1" applyFont="1" applyFill="1" applyBorder="1" applyAlignment="1">
      <alignment horizontal="center"/>
    </xf>
    <xf numFmtId="22" fontId="5" fillId="8" borderId="16" xfId="0" applyNumberFormat="1" applyFont="1" applyFill="1" applyBorder="1" applyAlignment="1">
      <alignment horizontal="center"/>
    </xf>
    <xf numFmtId="22" fontId="5" fillId="8" borderId="14" xfId="0" applyNumberFormat="1" applyFont="1" applyFill="1" applyBorder="1" applyAlignment="1">
      <alignment horizontal="center"/>
    </xf>
    <xf numFmtId="0" fontId="0" fillId="7" borderId="0" xfId="0" applyFill="1" applyBorder="1"/>
    <xf numFmtId="0" fontId="10" fillId="0" borderId="0" xfId="1" applyBorder="1"/>
    <xf numFmtId="0" fontId="6" fillId="8" borderId="4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1"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font>
        <color theme="0"/>
      </font>
      <fill>
        <patternFill>
          <bgColor rgb="FF00355C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355C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355C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A0C8DC"/>
      <color rgb="FF1E1E50"/>
      <color rgb="FF40C9E0"/>
      <color rgb="FF3CC8DC"/>
      <color rgb="FF00355C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27882755893584"/>
          <c:y val="3.4678062394099471E-2"/>
          <c:w val="0.87618007284124411"/>
          <c:h val="0.9199168097883786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Calculation!$AX$8</c:f>
              <c:strCache>
                <c:ptCount val="1"/>
                <c:pt idx="0">
                  <c:v>ETD</c:v>
                </c:pt>
              </c:strCache>
            </c:strRef>
          </c:tx>
          <c:spPr>
            <a:solidFill>
              <a:srgbClr val="A0C8D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8F3AAF9-1095-440B-B40C-EF0723D3313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23-41A7-B7F6-E6439AFD1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6AFE59-E2BA-49A5-887F-3DAC13675D5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23-41A7-B7F6-E6439AFD1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B77AA5-E3BE-4725-A6EE-144273685F7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23-41A7-B7F6-E6439AFD1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59EE7C-7E3A-4EB2-9C67-6ED8A9C1EE2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23-41A7-B7F6-E6439AFD1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BD94DA-F6B4-422F-A720-BBB9914D45D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23-41A7-B7F6-E6439AFD1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0E2FEF-337B-40A2-8468-C3243F5DBCE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23-41A7-B7F6-E6439AFD1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C9950A-ABA6-4A58-9120-C5DB1C73B4F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23-41A7-B7F6-E6439AFD1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19DF97-B624-4350-932A-315EC6504C5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23-41A7-B7F6-E6439AFD1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DF4F56-16FE-4298-8BA0-E37D828A134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23-41A7-B7F6-E6439AFD1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6F7030-0AB8-4AA9-A327-BBB98FA6DDF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23-41A7-B7F6-E6439AFD1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74522D-7786-4EF7-90D4-A927DD007D2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23-41A7-B7F6-E6439AFD1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1E1E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Calculation!$AV$27:$AV$37</c:f>
              <c:strCache>
                <c:ptCount val="11"/>
                <c:pt idx="0">
                  <c:v>KOTA LUMBA 108N</c:v>
                </c:pt>
                <c:pt idx="1">
                  <c:v>NORFOLK 110</c:v>
                </c:pt>
                <c:pt idx="2">
                  <c:v>ANL TASMAN TRADER 2332</c:v>
                </c:pt>
                <c:pt idx="3">
                  <c:v>CAPITAINE BARET 023N</c:v>
                </c:pt>
                <c:pt idx="4">
                  <c:v>KETA 2328</c:v>
                </c:pt>
                <c:pt idx="5">
                  <c:v>SEATRADE RED 0RPEMN1MA</c:v>
                </c:pt>
                <c:pt idx="6">
                  <c:v>TAKUTAI CHIEF 0128</c:v>
                </c:pt>
                <c:pt idx="7">
                  <c:v>LOUISE 440N</c:v>
                </c:pt>
                <c:pt idx="8">
                  <c:v>CONTSHIP WIN 2334</c:v>
                </c:pt>
                <c:pt idx="9">
                  <c:v>ROTTERDAM BRIDGE 476N</c:v>
                </c:pt>
                <c:pt idx="10">
                  <c:v>CMA CGM DUTCH HARBOR 346N</c:v>
                </c:pt>
              </c:strCache>
            </c:strRef>
          </c:cat>
          <c:val>
            <c:numRef>
              <c:f>Calculation!$AX$27:$AX$37</c:f>
              <c:numCache>
                <c:formatCode>General</c:formatCode>
                <c:ptCount val="11"/>
                <c:pt idx="0">
                  <c:v>3.8333333333357587</c:v>
                </c:pt>
                <c:pt idx="1">
                  <c:v>4.6145833333357587</c:v>
                </c:pt>
                <c:pt idx="2">
                  <c:v>4.7708333333357587</c:v>
                </c:pt>
                <c:pt idx="3">
                  <c:v>4.7291666666642413</c:v>
                </c:pt>
                <c:pt idx="4">
                  <c:v>6.2083333333357587</c:v>
                </c:pt>
                <c:pt idx="5">
                  <c:v>8.875</c:v>
                </c:pt>
                <c:pt idx="6">
                  <c:v>9.75</c:v>
                </c:pt>
                <c:pt idx="7">
                  <c:v>10.833333333335759</c:v>
                </c:pt>
                <c:pt idx="8">
                  <c:v>11.75</c:v>
                </c:pt>
                <c:pt idx="9">
                  <c:v>14.4375</c:v>
                </c:pt>
                <c:pt idx="10">
                  <c:v>15.208333333335759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Calculation!$AX$9:$AX$19</c15:f>
                <c15:dlblRangeCache>
                  <c:ptCount val="11"/>
                  <c:pt idx="0">
                    <c:v>10/12 23:00</c:v>
                  </c:pt>
                  <c:pt idx="1">
                    <c:v>11/12 17:45</c:v>
                  </c:pt>
                  <c:pt idx="2">
                    <c:v>11/12 21:30</c:v>
                  </c:pt>
                  <c:pt idx="3">
                    <c:v>11/12 20:30</c:v>
                  </c:pt>
                  <c:pt idx="4">
                    <c:v>13/12 8:00</c:v>
                  </c:pt>
                  <c:pt idx="5">
                    <c:v>16/12 0:00</c:v>
                  </c:pt>
                  <c:pt idx="6">
                    <c:v>16/12 21:00</c:v>
                  </c:pt>
                  <c:pt idx="7">
                    <c:v>17/12 23:00</c:v>
                  </c:pt>
                  <c:pt idx="8">
                    <c:v>18/12 21:00</c:v>
                  </c:pt>
                  <c:pt idx="9">
                    <c:v>21/12 13:30</c:v>
                  </c:pt>
                  <c:pt idx="10">
                    <c:v>22/12 8:00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ED23-41A7-B7F6-E6439AFD1CFD}"/>
            </c:ext>
          </c:extLst>
        </c:ser>
        <c:ser>
          <c:idx val="2"/>
          <c:order val="2"/>
          <c:tx>
            <c:strRef>
              <c:f>Calculation!$AY$8</c:f>
              <c:strCache>
                <c:ptCount val="1"/>
                <c:pt idx="0">
                  <c:v>TRG CUT OFF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0DA47FB-5B37-41BC-8E51-A8FEDAF3743C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23-41A7-B7F6-E6439AFD1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C8E9E5-3083-4A18-AB01-E94D0B01DA5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23-41A7-B7F6-E6439AFD1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BA451B-C16D-49F5-BF1F-B0C82E920D0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23-41A7-B7F6-E6439AFD1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B401B1-5A9D-40A7-9DB8-1DC83E9D92E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23-41A7-B7F6-E6439AFD1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0D666E-59A9-4CAD-AF4C-FC30D4D29FA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23-41A7-B7F6-E6439AFD1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E93580-58E1-4F3F-B91A-DECD1743EBD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23-41A7-B7F6-E6439AFD1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869CCB-05CF-4221-BDCE-139BB343F01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23-41A7-B7F6-E6439AFD1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CE47A38-1293-481D-B201-10133327AA2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23-41A7-B7F6-E6439AFD1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F61757-86AA-4E0A-B759-E01DEC53CE3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23-41A7-B7F6-E6439AFD1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AD0C45-7521-4D95-836E-E2586B74616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23-41A7-B7F6-E6439AFD1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6E9E04-A06D-4335-8957-26BAFCB512B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23-41A7-B7F6-E6439AFD1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numCol="1" spcCol="25200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ln w="9525" cmpd="thickThin"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Calculation!$AV$27:$AV$37</c:f>
              <c:strCache>
                <c:ptCount val="11"/>
                <c:pt idx="0">
                  <c:v>KOTA LUMBA 108N</c:v>
                </c:pt>
                <c:pt idx="1">
                  <c:v>NORFOLK 110</c:v>
                </c:pt>
                <c:pt idx="2">
                  <c:v>ANL TASMAN TRADER 2332</c:v>
                </c:pt>
                <c:pt idx="3">
                  <c:v>CAPITAINE BARET 023N</c:v>
                </c:pt>
                <c:pt idx="4">
                  <c:v>KETA 2328</c:v>
                </c:pt>
                <c:pt idx="5">
                  <c:v>SEATRADE RED 0RPEMN1MA</c:v>
                </c:pt>
                <c:pt idx="6">
                  <c:v>TAKUTAI CHIEF 0128</c:v>
                </c:pt>
                <c:pt idx="7">
                  <c:v>LOUISE 440N</c:v>
                </c:pt>
                <c:pt idx="8">
                  <c:v>CONTSHIP WIN 2334</c:v>
                </c:pt>
                <c:pt idx="9">
                  <c:v>ROTTERDAM BRIDGE 476N</c:v>
                </c:pt>
                <c:pt idx="10">
                  <c:v>CMA CGM DUTCH HARBOR 346N</c:v>
                </c:pt>
              </c:strCache>
            </c:strRef>
          </c:cat>
          <c:val>
            <c:numRef>
              <c:f>Calculation!$BA$9:$BA$19</c:f>
              <c:numCache>
                <c:formatCode>General</c:formatCode>
                <c:ptCount val="11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Calculation!$AY$9:$AY$19</c15:f>
                <c15:dlblRangeCache>
                  <c:ptCount val="11"/>
                  <c:pt idx="0">
                    <c:v>8/12 17:00</c:v>
                  </c:pt>
                  <c:pt idx="1">
                    <c:v>8/12 15:00</c:v>
                  </c:pt>
                  <c:pt idx="2">
                    <c:v>9/12 15:00</c:v>
                  </c:pt>
                  <c:pt idx="3">
                    <c:v>10/12 12:00</c:v>
                  </c:pt>
                  <c:pt idx="4">
                    <c:v>10/12 15:00</c:v>
                  </c:pt>
                  <c:pt idx="5">
                    <c:v>13/12 15:00</c:v>
                  </c:pt>
                  <c:pt idx="6">
                    <c:v>14/12 17:00</c:v>
                  </c:pt>
                  <c:pt idx="7">
                    <c:v>15/12 15:00</c:v>
                  </c:pt>
                  <c:pt idx="8">
                    <c:v>16/12 15:00</c:v>
                  </c:pt>
                  <c:pt idx="9">
                    <c:v>18/12 1:00</c:v>
                  </c:pt>
                  <c:pt idx="10">
                    <c:v>18/12 15:00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ED23-41A7-B7F6-E6439AFD1CFD}"/>
            </c:ext>
          </c:extLst>
        </c:ser>
        <c:ser>
          <c:idx val="0"/>
          <c:order val="1"/>
          <c:tx>
            <c:strRef>
              <c:f>Calculation!$AW$8</c:f>
              <c:strCache>
                <c:ptCount val="1"/>
                <c:pt idx="0">
                  <c:v>ETA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1214399-CAA9-49D7-981D-909E0CBBC8F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23-41A7-B7F6-E6439AFD1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00B176-A999-433F-82CE-A73ECB29217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23-41A7-B7F6-E6439AFD1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C92EC5-2343-46F0-BE6E-72868B5FCEC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23-41A7-B7F6-E6439AFD1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C16FE0-5525-4E9C-804C-087609FD1B2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23-41A7-B7F6-E6439AFD1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CC0E40-6E18-43F2-BD0F-1A48B4C4A8F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23-41A7-B7F6-E6439AFD1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76173D-913F-4FA2-9CDE-700B4BDAE11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23-41A7-B7F6-E6439AFD1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2E1391-28CC-433F-BDC3-6E76E5AA136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23-41A7-B7F6-E6439AFD1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92515E-FAC3-42E8-845F-604CB8F1A55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23-41A7-B7F6-E6439AFD1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4D13CE-D655-4D33-8199-E3C39B29037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23-41A7-B7F6-E6439AFD1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FEB3DA-ADED-45FC-A49C-60EA36B76E7C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23-41A7-B7F6-E6439AFD1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3226C9-CE0E-4DB4-A168-A5594D8DCC9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23-41A7-B7F6-E6439AFD1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ln>
                      <a:noFill/>
                    </a:ln>
                    <a:solidFill>
                      <a:srgbClr val="1E1E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Calculation!$AV$27:$AV$37</c:f>
              <c:strCache>
                <c:ptCount val="11"/>
                <c:pt idx="0">
                  <c:v>KOTA LUMBA 108N</c:v>
                </c:pt>
                <c:pt idx="1">
                  <c:v>NORFOLK 110</c:v>
                </c:pt>
                <c:pt idx="2">
                  <c:v>ANL TASMAN TRADER 2332</c:v>
                </c:pt>
                <c:pt idx="3">
                  <c:v>CAPITAINE BARET 023N</c:v>
                </c:pt>
                <c:pt idx="4">
                  <c:v>KETA 2328</c:v>
                </c:pt>
                <c:pt idx="5">
                  <c:v>SEATRADE RED 0RPEMN1MA</c:v>
                </c:pt>
                <c:pt idx="6">
                  <c:v>TAKUTAI CHIEF 0128</c:v>
                </c:pt>
                <c:pt idx="7">
                  <c:v>LOUISE 440N</c:v>
                </c:pt>
                <c:pt idx="8">
                  <c:v>CONTSHIP WIN 2334</c:v>
                </c:pt>
                <c:pt idx="9">
                  <c:v>ROTTERDAM BRIDGE 476N</c:v>
                </c:pt>
                <c:pt idx="10">
                  <c:v>CMA CGM DUTCH HARBOR 346N</c:v>
                </c:pt>
              </c:strCache>
            </c:strRef>
          </c:cat>
          <c:val>
            <c:numRef>
              <c:f>Calculation!$AW$27:$AW$37</c:f>
              <c:numCache>
                <c:formatCode>General</c:formatCode>
                <c:ptCount val="11"/>
                <c:pt idx="0">
                  <c:v>3.1041666666642413</c:v>
                </c:pt>
                <c:pt idx="1">
                  <c:v>3.875</c:v>
                </c:pt>
                <c:pt idx="2">
                  <c:v>4.1458333333357587</c:v>
                </c:pt>
                <c:pt idx="3">
                  <c:v>4.1666666666642413</c:v>
                </c:pt>
                <c:pt idx="4">
                  <c:v>5.4270833333357587</c:v>
                </c:pt>
                <c:pt idx="5">
                  <c:v>8.0833333333357587</c:v>
                </c:pt>
                <c:pt idx="6">
                  <c:v>9.0416666666642413</c:v>
                </c:pt>
                <c:pt idx="7">
                  <c:v>10.166666666664241</c:v>
                </c:pt>
                <c:pt idx="8">
                  <c:v>11.125</c:v>
                </c:pt>
                <c:pt idx="9">
                  <c:v>13.916666666664241</c:v>
                </c:pt>
                <c:pt idx="10">
                  <c:v>14.333333333335759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Calculation!$AW$9:$AW$19</c15:f>
                <c15:dlblRangeCache>
                  <c:ptCount val="11"/>
                  <c:pt idx="0">
                    <c:v>10/12 5:30</c:v>
                  </c:pt>
                  <c:pt idx="1">
                    <c:v>11/12 0:00</c:v>
                  </c:pt>
                  <c:pt idx="2">
                    <c:v>11/12 6:30</c:v>
                  </c:pt>
                  <c:pt idx="3">
                    <c:v>11/12 7:00</c:v>
                  </c:pt>
                  <c:pt idx="4">
                    <c:v>12/12 13:15</c:v>
                  </c:pt>
                  <c:pt idx="5">
                    <c:v>15/12 5:00</c:v>
                  </c:pt>
                  <c:pt idx="6">
                    <c:v>16/12 4:00</c:v>
                  </c:pt>
                  <c:pt idx="7">
                    <c:v>17/12 7:00</c:v>
                  </c:pt>
                  <c:pt idx="8">
                    <c:v>18/12 6:00</c:v>
                  </c:pt>
                  <c:pt idx="9">
                    <c:v>21/12 1:00</c:v>
                  </c:pt>
                  <c:pt idx="10">
                    <c:v>21/12 11:00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3-ED23-41A7-B7F6-E6439AFD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92322383"/>
        <c:axId val="1500849279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Calculation!$AZ$8</c15:sqref>
                        </c15:formulaRef>
                      </c:ext>
                    </c:extLst>
                    <c:strCache>
                      <c:ptCount val="1"/>
                      <c:pt idx="0">
                        <c:v>MT CUT OFF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 w="25400">
                    <a:noFill/>
                  </a:ln>
                  <a:effectLst/>
                </c:spPr>
                <c:invertIfNegative val="0"/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9886FDEB-6DAF-4ED9-8381-1D42877BA279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CEA1166F-5354-47E2-8EAE-65163A341D46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7-ED23-41A7-B7F6-E6439AFD1CFD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19242341-95AF-4E84-85BF-8B0C353D1BEB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6ED9A418-3C4A-45A0-8E00-D45A0F714A24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8-ED23-41A7-B7F6-E6439AFD1CFD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590B1AF4-4CA6-4425-B584-2C364F9F32C1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2ED8B44B-180C-4339-837C-8BC587AD30B4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9-ED23-41A7-B7F6-E6439AFD1CFD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5E867232-3788-419E-98AB-FE56CE478EE2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7756E4FB-6503-4AB1-A8C4-C31569345283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A-ED23-41A7-B7F6-E6439AFD1CFD}"/>
                      </c:ext>
                    </c:extLst>
                  </c:dLbl>
                  <c:dLbl>
                    <c:idx val="4"/>
                    <c:tx>
                      <c:rich>
                        <a:bodyPr/>
                        <a:lstStyle/>
                        <a:p>
                          <a:fld id="{744E19F2-C3E2-4D90-99CE-4A6794BFADA3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7B6A024E-C176-4B83-91C8-A582CAAB43B6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B-ED23-41A7-B7F6-E6439AFD1CFD}"/>
                      </c:ext>
                    </c:extLst>
                  </c:dLbl>
                  <c:dLbl>
                    <c:idx val="5"/>
                    <c:tx>
                      <c:rich>
                        <a:bodyPr/>
                        <a:lstStyle/>
                        <a:p>
                          <a:fld id="{83221860-AB60-4CB3-A250-EE3F78AF6CC8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66494647-F148-4A00-9877-211D4DF93FB4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C-ED23-41A7-B7F6-E6439AFD1CFD}"/>
                      </c:ext>
                    </c:extLst>
                  </c:dLbl>
                  <c:dLbl>
                    <c:idx val="6"/>
                    <c:tx>
                      <c:rich>
                        <a:bodyPr/>
                        <a:lstStyle/>
                        <a:p>
                          <a:fld id="{E07E62B4-2E36-4F02-9754-1656B9A70688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48F33A7F-4A68-436F-8E85-66024ECBF6E3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D-ED23-41A7-B7F6-E6439AFD1CFD}"/>
                      </c:ext>
                    </c:extLst>
                  </c:dLbl>
                  <c:dLbl>
                    <c:idx val="7"/>
                    <c:tx>
                      <c:rich>
                        <a:bodyPr/>
                        <a:lstStyle/>
                        <a:p>
                          <a:fld id="{1D76673E-3D23-45C2-8829-2E5D7258B14A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04A248AA-CA57-4D3A-A705-920A407157E7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E-ED23-41A7-B7F6-E6439AFD1CFD}"/>
                      </c:ext>
                    </c:extLst>
                  </c:dLbl>
                  <c:dLbl>
                    <c:idx val="8"/>
                    <c:tx>
                      <c:rich>
                        <a:bodyPr/>
                        <a:lstStyle/>
                        <a:p>
                          <a:fld id="{69E83885-F3F5-4110-800A-4E753D737B3A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4A006189-641B-4889-8676-7F7916807E21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F-ED23-41A7-B7F6-E6439AFD1CFD}"/>
                      </c:ext>
                    </c:extLst>
                  </c:dLbl>
                  <c:dLbl>
                    <c:idx val="9"/>
                    <c:tx>
                      <c:rich>
                        <a:bodyPr/>
                        <a:lstStyle/>
                        <a:p>
                          <a:fld id="{D953F9C9-DD4A-470D-A04F-6BABB2F70D31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90AE63E2-3312-40F1-8D9B-AB896DF0A1AC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0-ED23-41A7-B7F6-E6439AFD1CFD}"/>
                      </c:ext>
                    </c:extLst>
                  </c:dLbl>
                  <c:dLbl>
                    <c:idx val="10"/>
                    <c:tx>
                      <c:rich>
                        <a:bodyPr/>
                        <a:lstStyle/>
                        <a:p>
                          <a:fld id="{D3CB5013-F62A-44A4-9318-CA2F740F3D8F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03193A35-3723-4ED8-AD85-E7A85093F354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1-ED23-41A7-B7F6-E6439AFD1CFD}"/>
                      </c:ext>
                    </c:extLst>
                  </c:dLbl>
                  <c:numFmt formatCode="m/d/yyyy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eparator> </c:separator>
                  <c:showLeaderLines val="0"/>
                  <c:extLst>
                    <c:ext uri="{CE6537A1-D6FC-4f65-9D91-7224C49458BB}">
                      <c15:showDataLabelsRange val="1"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Calculation!$AV$27:$AV$37</c15:sqref>
                        </c15:formulaRef>
                      </c:ext>
                    </c:extLst>
                    <c:strCache>
                      <c:ptCount val="11"/>
                      <c:pt idx="0">
                        <c:v>KOTA LUMBA 108N</c:v>
                      </c:pt>
                      <c:pt idx="1">
                        <c:v>NORFOLK 110</c:v>
                      </c:pt>
                      <c:pt idx="2">
                        <c:v>ANL TASMAN TRADER 2332</c:v>
                      </c:pt>
                      <c:pt idx="3">
                        <c:v>CAPITAINE BARET 023N</c:v>
                      </c:pt>
                      <c:pt idx="4">
                        <c:v>KETA 2328</c:v>
                      </c:pt>
                      <c:pt idx="5">
                        <c:v>SEATRADE RED 0RPEMN1MA</c:v>
                      </c:pt>
                      <c:pt idx="6">
                        <c:v>TAKUTAI CHIEF 0128</c:v>
                      </c:pt>
                      <c:pt idx="7">
                        <c:v>LOUISE 440N</c:v>
                      </c:pt>
                      <c:pt idx="8">
                        <c:v>CONTSHIP WIN 2334</c:v>
                      </c:pt>
                      <c:pt idx="9">
                        <c:v>ROTTERDAM BRIDGE 476N</c:v>
                      </c:pt>
                      <c:pt idx="10">
                        <c:v>CMA CGM DUTCH HARBOR 346N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Calculation!$BA$9:$BA$19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0.5</c:v>
                      </c:pt>
                      <c:pt idx="1">
                        <c:v>1.5</c:v>
                      </c:pt>
                      <c:pt idx="2">
                        <c:v>2.5</c:v>
                      </c:pt>
                      <c:pt idx="3">
                        <c:v>3.5</c:v>
                      </c:pt>
                      <c:pt idx="4">
                        <c:v>4.5</c:v>
                      </c:pt>
                      <c:pt idx="5">
                        <c:v>5.5</c:v>
                      </c:pt>
                      <c:pt idx="6">
                        <c:v>6.5</c:v>
                      </c:pt>
                      <c:pt idx="7">
                        <c:v>7.5</c:v>
                      </c:pt>
                      <c:pt idx="8">
                        <c:v>8.5</c:v>
                      </c:pt>
                      <c:pt idx="9">
                        <c:v>9.5</c:v>
                      </c:pt>
                      <c:pt idx="10">
                        <c:v>10.5</c:v>
                      </c:pt>
                    </c:numCache>
                  </c:numRef>
                </c:val>
                <c:extLst>
                  <c:ext uri="{02D57815-91ED-43cb-92C2-25804820EDAC}">
                    <c15:datalabelsRange>
                      <c15:f>Calculation!$AZ$9:$AZ$19</c15:f>
                      <c15:dlblRangeCache>
                        <c:ptCount val="11"/>
                        <c:pt idx="0">
                          <c:v>8/12 17:00</c:v>
                        </c:pt>
                        <c:pt idx="1">
                          <c:v>8/12 12:01</c:v>
                        </c:pt>
                        <c:pt idx="2">
                          <c:v>6/12 12:00</c:v>
                        </c:pt>
                        <c:pt idx="3">
                          <c:v>6/12 8:00</c:v>
                        </c:pt>
                        <c:pt idx="4">
                          <c:v>9/12 5:00</c:v>
                        </c:pt>
                        <c:pt idx="5">
                          <c:v>13/12 12:00</c:v>
                        </c:pt>
                        <c:pt idx="6">
                          <c:v>14/12 4:00</c:v>
                        </c:pt>
                        <c:pt idx="7">
                          <c:v>14/12 19:00</c:v>
                        </c:pt>
                        <c:pt idx="8">
                          <c:v>15/12 17:00</c:v>
                        </c:pt>
                        <c:pt idx="9">
                          <c:v>18/12 19:00</c:v>
                        </c:pt>
                        <c:pt idx="10">
                          <c:v>17/12 12:01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32-ED23-41A7-B7F6-E6439AFD1CFD}"/>
                  </c:ext>
                </c:extLst>
              </c15:ser>
            </c15:filteredBarSeries>
          </c:ext>
        </c:extLst>
      </c:barChart>
      <c:scatterChart>
        <c:scatterStyle val="lineMarker"/>
        <c:varyColors val="0"/>
        <c:ser>
          <c:idx val="4"/>
          <c:order val="4"/>
          <c:tx>
            <c:v>FirstVSL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x"/>
            <c:errBarType val="plus"/>
            <c:errValType val="cust"/>
            <c:noEndCap val="1"/>
            <c:plus>
              <c:numRef>
                <c:f>Calculation!$BI$16</c:f>
                <c:numCache>
                  <c:formatCode>General</c:formatCode>
                  <c:ptCount val="1"/>
                  <c:pt idx="0">
                    <c:v>1.078472222223354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304800" cap="flat" cmpd="sng" algn="ctr">
                <a:solidFill>
                  <a:srgbClr val="1E1E50"/>
                </a:solidFill>
                <a:round/>
              </a:ln>
              <a:effectLst/>
            </c:spPr>
          </c:errBars>
          <c:xVal>
            <c:numRef>
              <c:f>Calculation!$BE$16</c:f>
              <c:numCache>
                <c:formatCode>0.00</c:formatCode>
                <c:ptCount val="1"/>
                <c:pt idx="0">
                  <c:v>-3.8208333333313931</c:v>
                </c:pt>
              </c:numCache>
            </c:numRef>
          </c:xVal>
          <c:yVal>
            <c:numRef>
              <c:f>Calculation!$BG$16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D23-41A7-B7F6-E6439AFD1CFD}"/>
            </c:ext>
          </c:extLst>
        </c:ser>
        <c:ser>
          <c:idx val="5"/>
          <c:order val="5"/>
          <c:tx>
            <c:v>LastVSL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x"/>
            <c:errBarType val="plus"/>
            <c:errValType val="cust"/>
            <c:noEndCap val="1"/>
            <c:plus>
              <c:numRef>
                <c:f>Calculation!$BI$17</c:f>
                <c:numCache>
                  <c:formatCode>General</c:formatCode>
                  <c:ptCount val="1"/>
                  <c:pt idx="0">
                    <c:v>0.72916666666424135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298450" cap="flat" cmpd="sng" algn="ctr">
                <a:solidFill>
                  <a:srgbClr val="1E1E50"/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Calculation!$BE$17</c:f>
              <c:numCache>
                <c:formatCode>0.00</c:formatCode>
                <c:ptCount val="1"/>
                <c:pt idx="0">
                  <c:v>2.0625</c:v>
                </c:pt>
              </c:numCache>
            </c:numRef>
          </c:xVal>
          <c:yVal>
            <c:numRef>
              <c:f>Calculation!$BG$17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D23-41A7-B7F6-E6439AFD1CFD}"/>
            </c:ext>
          </c:extLst>
        </c:ser>
        <c:ser>
          <c:idx val="6"/>
          <c:order val="6"/>
          <c:tx>
            <c:v>MainVSL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x"/>
            <c:errBarType val="plus"/>
            <c:errValType val="cust"/>
            <c:noEndCap val="1"/>
            <c:plus>
              <c:numRef>
                <c:f>Calculation!$BI$18</c:f>
                <c:numCache>
                  <c:formatCode>General</c:formatCode>
                  <c:ptCount val="1"/>
                  <c:pt idx="0">
                    <c:v>0.61805555555474712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301625" cap="flat" cmpd="sng" algn="ctr">
                <a:solidFill>
                  <a:srgbClr val="FF0000"/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Calculation!$BE$18</c:f>
              <c:numCache>
                <c:formatCode>General</c:formatCode>
                <c:ptCount val="1"/>
                <c:pt idx="0">
                  <c:v>-2.8979166666686069</c:v>
                </c:pt>
              </c:numCache>
            </c:numRef>
          </c:xVal>
          <c:yVal>
            <c:numRef>
              <c:f>Calculation!$BG$18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D23-41A7-B7F6-E6439AFD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91520"/>
        <c:axId val="220608576"/>
      </c:scatterChart>
      <c:catAx>
        <c:axId val="17923223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49279"/>
        <c:crosses val="autoZero"/>
        <c:auto val="1"/>
        <c:lblAlgn val="ctr"/>
        <c:lblOffset val="100"/>
        <c:noMultiLvlLbl val="0"/>
      </c:catAx>
      <c:valAx>
        <c:axId val="1500849279"/>
        <c:scaling>
          <c:orientation val="minMax"/>
          <c:max val="14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792322383"/>
        <c:crosses val="autoZero"/>
        <c:crossBetween val="between"/>
        <c:majorUnit val="1"/>
      </c:valAx>
      <c:valAx>
        <c:axId val="220608576"/>
        <c:scaling>
          <c:orientation val="minMax"/>
          <c:max val="11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0591520"/>
        <c:crosses val="max"/>
        <c:crossBetween val="midCat"/>
        <c:majorUnit val="1"/>
      </c:valAx>
      <c:valAx>
        <c:axId val="2205915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2060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80805305760631E-4"/>
          <c:y val="0"/>
          <c:w val="0.99933926946352558"/>
          <c:h val="1"/>
        </c:manualLayout>
      </c:layout>
      <c:barChart>
        <c:barDir val="bar"/>
        <c:grouping val="clustered"/>
        <c:varyColors val="0"/>
        <c:ser>
          <c:idx val="7"/>
          <c:order val="7"/>
          <c:tx>
            <c:v>NOW</c:v>
          </c:tx>
          <c:spPr>
            <a:solidFill>
              <a:srgbClr val="A0C8DC"/>
            </a:solidFill>
            <a:ln w="25400">
              <a:noFill/>
            </a:ln>
          </c:spPr>
          <c:invertIfNegative val="0"/>
          <c:cat>
            <c:strRef>
              <c:f>Calculation!$K$57</c:f>
              <c:strCache>
                <c:ptCount val="1"/>
                <c:pt idx="0">
                  <c:v>MAJESTIC</c:v>
                </c:pt>
              </c:strCache>
            </c:strRef>
          </c:cat>
          <c:val>
            <c:numRef>
              <c:f>Calculation!$AA$57</c:f>
              <c:numCache>
                <c:formatCode>0.00</c:formatCode>
                <c:ptCount val="1"/>
                <c:pt idx="0">
                  <c:v>18.194210995374306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C3-4164-8D1E-7F0B99AB7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6021744"/>
        <c:axId val="1822268543"/>
      </c:barChart>
      <c:scatterChart>
        <c:scatterStyle val="lineMarker"/>
        <c:varyColors val="0"/>
        <c:ser>
          <c:idx val="2"/>
          <c:order val="0"/>
          <c:tx>
            <c:strRef>
              <c:f>Calculation!$S$44</c:f>
              <c:strCache>
                <c:ptCount val="1"/>
                <c:pt idx="0">
                  <c:v>Current ETD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2C469C-C31F-4D50-BFDB-1696F9E8884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06B2788-F76B-4124-AB62-CE31C3AAFD2B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Calculation!$S$57</c:f>
              <c:numCache>
                <c:formatCode>General</c:formatCode>
                <c:ptCount val="1"/>
                <c:pt idx="0">
                  <c:v>15.553472222221899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Calculation!$S$45</c15:f>
                <c15:dlblRangeCache>
                  <c:ptCount val="1"/>
                  <c:pt idx="0">
                    <c:v>4/12/2023 20:17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F9C3-4164-8D1E-7F0B99AB73DE}"/>
            </c:ext>
          </c:extLst>
        </c:ser>
        <c:ser>
          <c:idx val="1"/>
          <c:order val="1"/>
          <c:tx>
            <c:strRef>
              <c:f>Calculation!$R$44</c:f>
              <c:strCache>
                <c:ptCount val="1"/>
                <c:pt idx="0">
                  <c:v>Current ETA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C438F0-72F2-4D1A-903E-1EDE41253AF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377156D-9752-4AB0-9175-2653E0E2484C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Calculation!$R$57</c:f>
              <c:numCache>
                <c:formatCode>General</c:formatCode>
                <c:ptCount val="1"/>
                <c:pt idx="0">
                  <c:v>14.935416666667152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Calculation!$R$45</c15:f>
                <c15:dlblRangeCache>
                  <c:ptCount val="1"/>
                  <c:pt idx="0">
                    <c:v>4/12/2023 5:27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9C3-4164-8D1E-7F0B99AB73DE}"/>
            </c:ext>
          </c:extLst>
        </c:ser>
        <c:ser>
          <c:idx val="4"/>
          <c:order val="2"/>
          <c:tx>
            <c:strRef>
              <c:f>Calculation!$X$44</c:f>
              <c:strCache>
                <c:ptCount val="1"/>
                <c:pt idx="0">
                  <c:v>Tauranga Cut-Off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A79446C-27A1-4243-8042-83E6E01763D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8122B57-6888-478E-8301-C6586D4B5783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Calculation!$X$57</c:f>
              <c:numCache>
                <c:formatCode>0.00</c:formatCode>
                <c:ptCount val="1"/>
                <c:pt idx="0">
                  <c:v>12.333333333335759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Calculation!$X$45</c15:f>
                <c15:dlblRangeCache>
                  <c:ptCount val="1"/>
                  <c:pt idx="0">
                    <c:v>1/12/2023 15:00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9C3-4164-8D1E-7F0B99AB73DE}"/>
            </c:ext>
          </c:extLst>
        </c:ser>
        <c:ser>
          <c:idx val="6"/>
          <c:order val="3"/>
          <c:tx>
            <c:strRef>
              <c:f>Calculation!$Z$44</c:f>
              <c:strCache>
                <c:ptCount val="1"/>
                <c:pt idx="0">
                  <c:v>MetroPort Cut-Off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E2A3EE-BEB9-47F2-B3E6-A0F1D8D6B09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FAA7AACE-E193-4F11-8996-C7937221B663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Calculation!$Z$57</c:f>
              <c:numCache>
                <c:formatCode>0.00</c:formatCode>
                <c:ptCount val="1"/>
                <c:pt idx="0">
                  <c:v>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Calculation!$Z$45</c15:f>
                <c15:dlblRangeCache>
                  <c:ptCount val="1"/>
                  <c:pt idx="0">
                    <c:v>26/11/2023 7:00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F9C3-4164-8D1E-7F0B99AB73DE}"/>
            </c:ext>
          </c:extLst>
        </c:ser>
        <c:ser>
          <c:idx val="3"/>
          <c:order val="4"/>
          <c:tx>
            <c:strRef>
              <c:f>Calculation!$V$44</c:f>
              <c:strCache>
                <c:ptCount val="1"/>
                <c:pt idx="0">
                  <c:v>Tauranga Receiving (Hazardous)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F49517-0BD9-46D2-BCC2-F5723F75B6FF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047D32E-E331-46D5-B997-7C2485640E29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Calculation!$V$57</c:f>
              <c:numCache>
                <c:formatCode>0.00</c:formatCode>
                <c:ptCount val="1"/>
                <c:pt idx="0">
                  <c:v>12.916666666671517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Calculation!$V$45</c15:f>
                <c15:dlblRangeCache>
                  <c:ptCount val="1"/>
                  <c:pt idx="0">
                    <c:v>2/12/2023 5:00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F9C3-4164-8D1E-7F0B99AB73DE}"/>
            </c:ext>
          </c:extLst>
        </c:ser>
        <c:ser>
          <c:idx val="0"/>
          <c:order val="5"/>
          <c:tx>
            <c:strRef>
              <c:f>Calculation!$U$44</c:f>
              <c:strCache>
                <c:ptCount val="1"/>
                <c:pt idx="0">
                  <c:v>Tauranga Receiving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93AE54-4642-4B66-A6D6-EF93DA0B30D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EF384D5-25FE-45C7-B152-FFE1897C896D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Calculation!$U$57</c:f>
              <c:numCache>
                <c:formatCode>General</c:formatCode>
                <c:ptCount val="1"/>
                <c:pt idx="0">
                  <c:v>2.5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Calculation!$U$45</c15:f>
                <c15:dlblRangeCache>
                  <c:ptCount val="1"/>
                  <c:pt idx="0">
                    <c:v>21/11/2023 19:00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F9C3-4164-8D1E-7F0B99AB73DE}"/>
            </c:ext>
          </c:extLst>
        </c:ser>
        <c:ser>
          <c:idx val="5"/>
          <c:order val="6"/>
          <c:tx>
            <c:strRef>
              <c:f>Calculation!$Y$44</c:f>
              <c:strCache>
                <c:ptCount val="1"/>
                <c:pt idx="0">
                  <c:v>MetroPort Receiving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B7C01B6-D385-443C-98C8-A46E6AF03B8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FD7A9AB-CB06-4D6D-A8E3-C54BAA2DFAC6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Calculation!$Y$57</c:f>
              <c:numCache>
                <c:formatCode>0.00</c:formatCode>
                <c:ptCount val="1"/>
                <c:pt idx="0">
                  <c:v>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Calculation!$Y$45</c15:f>
                <c15:dlblRangeCache>
                  <c:ptCount val="1"/>
                  <c:pt idx="0">
                    <c:v>20/11/2023 7:00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F9C3-4164-8D1E-7F0B99AB7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90384"/>
        <c:axId val="173082768"/>
      </c:scatterChart>
      <c:catAx>
        <c:axId val="1660217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22268543"/>
        <c:crosses val="autoZero"/>
        <c:auto val="1"/>
        <c:lblAlgn val="ctr"/>
        <c:lblOffset val="100"/>
        <c:noMultiLvlLbl val="0"/>
      </c:catAx>
      <c:valAx>
        <c:axId val="1822268543"/>
        <c:scaling>
          <c:orientation val="minMax"/>
          <c:max val="12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66021744"/>
        <c:crosses val="autoZero"/>
        <c:crossBetween val="between"/>
      </c:valAx>
      <c:valAx>
        <c:axId val="173082768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527490384"/>
        <c:crosses val="max"/>
        <c:crossBetween val="midCat"/>
        <c:majorUnit val="0.5"/>
      </c:valAx>
      <c:valAx>
        <c:axId val="52749038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3082768"/>
        <c:crosses val="max"/>
        <c:crossBetween val="midCat"/>
      </c:valAx>
      <c:spPr>
        <a:noFill/>
        <a:ln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solidFill>
            <a:schemeClr val="tx2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6" fmlaLink="Calculation!$AU$14" max="17" min="10" page="0" val="13"/>
</file>

<file path=xl/ctrlProps/ctrlProp2.xml><?xml version="1.0" encoding="utf-8"?>
<formControlPr xmlns="http://schemas.microsoft.com/office/spreadsheetml/2009/9/main" objectType="Drop" dropLines="5" dropStyle="combo" dx="26" fmlaLink="Calculation!$D$2" fmlaRange="Service" noThreeD="1" sel="6" val="3"/>
</file>

<file path=xl/ctrlProps/ctrlProp3.xml><?xml version="1.0" encoding="utf-8"?>
<formControlPr xmlns="http://schemas.microsoft.com/office/spreadsheetml/2009/9/main" objectType="Drop" dropLines="5" dropStyle="combo" dx="26" fmlaLink="Calculation!$D$3" fmlaRange="Vessel" noThreeD="1" sel="1" val="0"/>
</file>

<file path=xl/ctrlProps/ctrlProp4.xml><?xml version="1.0" encoding="utf-8"?>
<formControlPr xmlns="http://schemas.microsoft.com/office/spreadsheetml/2009/9/main" objectType="Drop" dropLines="3" dropStyle="combo" dx="26" fmlaLink="Calculation!$D$4" fmlaRange="Voyage" noThreeD="1" sel="1" val="0"/>
</file>

<file path=xl/ctrlProps/ctrlProp5.xml><?xml version="1.0" encoding="utf-8"?>
<formControlPr xmlns="http://schemas.microsoft.com/office/spreadsheetml/2009/9/main" objectType="CheckBox" checked="Checked" fmlaLink="Calculation!$B$42" lockText="1" noThreeD="1"/>
</file>

<file path=xl/ctrlProps/ctrlProp6.xml><?xml version="1.0" encoding="utf-8"?>
<formControlPr xmlns="http://schemas.microsoft.com/office/spreadsheetml/2009/9/main" objectType="Drop" dropLines="5" dropStyle="combo" dx="26" fmlaLink="Calculation!$D$2" fmlaRange="Service" noThreeD="1" sel="6" val="3"/>
</file>

<file path=xl/ctrlProps/ctrlProp7.xml><?xml version="1.0" encoding="utf-8"?>
<formControlPr xmlns="http://schemas.microsoft.com/office/spreadsheetml/2009/9/main" objectType="Drop" dropLines="5" dropStyle="combo" dx="26" fmlaLink="Calculation!$D$3" fmlaRange="Vessel" noThreeD="1" sel="1" val="0"/>
</file>

<file path=xl/ctrlProps/ctrlProp8.xml><?xml version="1.0" encoding="utf-8"?>
<formControlPr xmlns="http://schemas.microsoft.com/office/spreadsheetml/2009/9/main" objectType="Drop" dropLines="3" dropStyle="combo" dx="26" fmlaLink="Calculation!$D$4" fmlaRange="Voyage" noThreeD="1" sel="1" val="0"/>
</file>

<file path=xl/ctrlProps/ctrlProp9.xml><?xml version="1.0" encoding="utf-8"?>
<formControlPr xmlns="http://schemas.microsoft.com/office/spreadsheetml/2009/9/main" objectType="CheckBox" checked="Checked" fmlaLink="Calculation!$B$42" lockText="1" noThreeD="1"/>
</file>

<file path=xl/ctrlProps/ctrlProp10.xml><?xml version="1.0" encoding="utf-8"?>
<formControlPr xmlns="http://schemas.microsoft.com/office/spreadsheetml/2009/9/main" objectType="Scroll" dx="26" fmlaLink="$AU$14" max="19" min="14" page="0" val="1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hyperlink" Target="#Instructions!A1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7</xdr:row>
      <xdr:rowOff>7620</xdr:rowOff>
    </xdr:from>
    <xdr:to>
      <xdr:col>18</xdr:col>
      <xdr:colOff>22860</xdr:colOff>
      <xdr:row>25</xdr:row>
      <xdr:rowOff>254820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95672</xdr:colOff>
      <xdr:row>27</xdr:row>
      <xdr:rowOff>0</xdr:rowOff>
    </xdr:from>
    <xdr:to>
      <xdr:col>18</xdr:col>
      <xdr:colOff>7619</xdr:colOff>
      <xdr:row>33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7</xdr:row>
          <xdr:rowOff>7620</xdr:rowOff>
        </xdr:from>
        <xdr:to>
          <xdr:col>1</xdr:col>
          <xdr:colOff>342900</xdr:colOff>
          <xdr:row>25</xdr:row>
          <xdr:rowOff>251460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10</xdr:col>
      <xdr:colOff>147320</xdr:colOff>
      <xdr:row>3</xdr:row>
      <xdr:rowOff>12704</xdr:rowOff>
    </xdr:from>
    <xdr:to>
      <xdr:col>11</xdr:col>
      <xdr:colOff>289560</xdr:colOff>
      <xdr:row>5</xdr:row>
      <xdr:rowOff>19474</xdr:rowOff>
    </xdr:to>
    <xdr:pic macro="[0]!OnlyRefreshDS"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01360" y="576584"/>
          <a:ext cx="477520" cy="4868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</xdr:row>
          <xdr:rowOff>76200</xdr:rowOff>
        </xdr:from>
        <xdr:to>
          <xdr:col>3</xdr:col>
          <xdr:colOff>373380</xdr:colOff>
          <xdr:row>3</xdr:row>
          <xdr:rowOff>114300</xdr:rowOff>
        </xdr:to>
        <xdr:sp macro="" textlink="">
          <xdr:nvSpPr>
            <xdr:cNvPr id="1034" name="DDServic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594360</xdr:colOff>
          <xdr:row>2</xdr:row>
          <xdr:rowOff>76200</xdr:rowOff>
        </xdr:from>
        <xdr:to>
          <xdr:col>6</xdr:col>
          <xdr:colOff>327660</xdr:colOff>
          <xdr:row>3</xdr:row>
          <xdr:rowOff>137160</xdr:rowOff>
        </xdr:to>
        <xdr:sp macro="" textlink="">
          <xdr:nvSpPr>
            <xdr:cNvPr id="1035" name="DDVesse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2</xdr:row>
          <xdr:rowOff>68580</xdr:rowOff>
        </xdr:from>
        <xdr:to>
          <xdr:col>9</xdr:col>
          <xdr:colOff>144780</xdr:colOff>
          <xdr:row>3</xdr:row>
          <xdr:rowOff>137160</xdr:rowOff>
        </xdr:to>
        <xdr:sp macro="" textlink="">
          <xdr:nvSpPr>
            <xdr:cNvPr id="1036" name="DDVoyag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3</xdr:row>
          <xdr:rowOff>213360</xdr:rowOff>
        </xdr:from>
        <xdr:to>
          <xdr:col>3</xdr:col>
          <xdr:colOff>464820</xdr:colOff>
          <xdr:row>5</xdr:row>
          <xdr:rowOff>152400</xdr:rowOff>
        </xdr:to>
        <xdr:sp macro="" textlink="">
          <xdr:nvSpPr>
            <xdr:cNvPr id="1037" name="Check Box 13" descr="Only ANL/CMA vessel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ANL/CMA vessels</a:t>
              </a:r>
            </a:p>
          </xdr:txBody>
        </xdr:sp>
        <xdr:clientData/>
      </xdr:twoCellAnchor>
    </mc:Choice>
    <mc:Fallback/>
  </mc:AlternateContent>
  <xdr:twoCellAnchor editAs="oneCell">
    <xdr:from>
      <xdr:col>17</xdr:col>
      <xdr:colOff>91721</xdr:colOff>
      <xdr:row>23</xdr:row>
      <xdr:rowOff>30481</xdr:rowOff>
    </xdr:from>
    <xdr:to>
      <xdr:col>17</xdr:col>
      <xdr:colOff>1206550</xdr:colOff>
      <xdr:row>25</xdr:row>
      <xdr:rowOff>238793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46561"/>
        <a:stretch/>
      </xdr:blipFill>
      <xdr:spPr>
        <a:xfrm>
          <a:off x="12946661" y="4312921"/>
          <a:ext cx="1114829" cy="635032"/>
        </a:xfrm>
        <a:prstGeom prst="rect">
          <a:avLst/>
        </a:prstGeom>
      </xdr:spPr>
    </xdr:pic>
    <xdr:clientData/>
  </xdr:twoCellAnchor>
  <xdr:twoCellAnchor>
    <xdr:from>
      <xdr:col>7</xdr:col>
      <xdr:colOff>7620</xdr:colOff>
      <xdr:row>4</xdr:row>
      <xdr:rowOff>38100</xdr:rowOff>
    </xdr:from>
    <xdr:to>
      <xdr:col>9</xdr:col>
      <xdr:colOff>167640</xdr:colOff>
      <xdr:row>5</xdr:row>
      <xdr:rowOff>45720</xdr:rowOff>
    </xdr:to>
    <xdr:sp macro="" textlink="">
      <xdr:nvSpPr>
        <xdr:cNvPr id="29" name="Rectangle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764280" y="822960"/>
          <a:ext cx="1379220" cy="259080"/>
        </a:xfrm>
        <a:prstGeom prst="rect">
          <a:avLst/>
        </a:prstGeom>
        <a:solidFill>
          <a:sysClr val="window" lastClr="FFFFFF"/>
        </a:solidFill>
        <a:ln w="9525">
          <a:solidFill>
            <a:srgbClr val="1E1E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        </a:t>
          </a:r>
          <a:r>
            <a:rPr lang="en-NZ" sz="1100">
              <a:solidFill>
                <a:srgbClr val="1E1E50"/>
              </a:solidFill>
            </a:rPr>
            <a:t>Instructions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16111</xdr:colOff>
          <xdr:row>9</xdr:row>
          <xdr:rowOff>54428</xdr:rowOff>
        </xdr:from>
        <xdr:to>
          <xdr:col>20</xdr:col>
          <xdr:colOff>660763</xdr:colOff>
          <xdr:row>23</xdr:row>
          <xdr:rowOff>59871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0394551" y="1746068"/>
              <a:ext cx="2176272" cy="2657203"/>
              <a:chOff x="15482570" y="1691640"/>
              <a:chExt cx="1813560" cy="2613408"/>
            </a:xfrm>
          </xdr:grpSpPr>
          <xdr:sp macro="" textlink="">
            <xdr:nvSpPr>
              <xdr:cNvPr id="2049" name="DDService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5499080" y="1691640"/>
                <a:ext cx="1783080" cy="358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0" name="DDVessel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15483840" y="2842260"/>
                <a:ext cx="1798320" cy="3657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" name="DDVoyage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5482570" y="3954529"/>
                <a:ext cx="1813560" cy="3505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259080</xdr:colOff>
          <xdr:row>23</xdr:row>
          <xdr:rowOff>121920</xdr:rowOff>
        </xdr:from>
        <xdr:to>
          <xdr:col>20</xdr:col>
          <xdr:colOff>327660</xdr:colOff>
          <xdr:row>26</xdr:row>
          <xdr:rowOff>160020</xdr:rowOff>
        </xdr:to>
        <xdr:sp macro="" textlink="">
          <xdr:nvSpPr>
            <xdr:cNvPr id="2052" name="Check Box 4" descr="Only ANL/CMA vessel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ANL/CMA vessels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8</xdr:row>
      <xdr:rowOff>7621</xdr:rowOff>
    </xdr:from>
    <xdr:to>
      <xdr:col>7</xdr:col>
      <xdr:colOff>538361</xdr:colOff>
      <xdr:row>12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120" y="190501"/>
          <a:ext cx="4188341" cy="899159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1</xdr:col>
      <xdr:colOff>1</xdr:colOff>
      <xdr:row>23</xdr:row>
      <xdr:rowOff>175260</xdr:rowOff>
    </xdr:from>
    <xdr:to>
      <xdr:col>7</xdr:col>
      <xdr:colOff>594361</xdr:colOff>
      <xdr:row>27</xdr:row>
      <xdr:rowOff>82374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1" y="1272540"/>
          <a:ext cx="4251960" cy="638634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0</xdr:col>
      <xdr:colOff>183942</xdr:colOff>
      <xdr:row>29</xdr:row>
      <xdr:rowOff>7620</xdr:rowOff>
    </xdr:from>
    <xdr:to>
      <xdr:col>11</xdr:col>
      <xdr:colOff>601980</xdr:colOff>
      <xdr:row>39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942" y="2202180"/>
          <a:ext cx="6719778" cy="173736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0</xdr:col>
      <xdr:colOff>182880</xdr:colOff>
      <xdr:row>40</xdr:row>
      <xdr:rowOff>0</xdr:rowOff>
    </xdr:from>
    <xdr:to>
      <xdr:col>11</xdr:col>
      <xdr:colOff>571500</xdr:colOff>
      <xdr:row>43</xdr:row>
      <xdr:rowOff>66490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2274"/>
        <a:stretch/>
      </xdr:blipFill>
      <xdr:spPr>
        <a:xfrm>
          <a:off x="182880" y="7139940"/>
          <a:ext cx="6690360" cy="61513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1</xdr:col>
      <xdr:colOff>76200</xdr:colOff>
      <xdr:row>3</xdr:row>
      <xdr:rowOff>30480</xdr:rowOff>
    </xdr:from>
    <xdr:to>
      <xdr:col>8</xdr:col>
      <xdr:colOff>563880</xdr:colOff>
      <xdr:row>4</xdr:row>
      <xdr:rowOff>53340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939" t="13331" r="1071" b="14677"/>
        <a:stretch/>
      </xdr:blipFill>
      <xdr:spPr>
        <a:xfrm>
          <a:off x="266700" y="579120"/>
          <a:ext cx="4770120" cy="20574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1</xdr:col>
      <xdr:colOff>15240</xdr:colOff>
      <xdr:row>12</xdr:row>
      <xdr:rowOff>175260</xdr:rowOff>
    </xdr:from>
    <xdr:to>
      <xdr:col>3</xdr:col>
      <xdr:colOff>53340</xdr:colOff>
      <xdr:row>22</xdr:row>
      <xdr:rowOff>121920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4069" b="1480"/>
        <a:stretch/>
      </xdr:blipFill>
      <xdr:spPr>
        <a:xfrm>
          <a:off x="205740" y="2369820"/>
          <a:ext cx="1257300" cy="177546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5</xdr:col>
      <xdr:colOff>7620</xdr:colOff>
      <xdr:row>13</xdr:row>
      <xdr:rowOff>160020</xdr:rowOff>
    </xdr:from>
    <xdr:to>
      <xdr:col>6</xdr:col>
      <xdr:colOff>293495</xdr:colOff>
      <xdr:row>20</xdr:row>
      <xdr:rowOff>144780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4557" b="11404"/>
        <a:stretch/>
      </xdr:blipFill>
      <xdr:spPr>
        <a:xfrm>
          <a:off x="2636520" y="2537460"/>
          <a:ext cx="895475" cy="126492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121920</xdr:colOff>
          <xdr:row>7</xdr:row>
          <xdr:rowOff>30480</xdr:rowOff>
        </xdr:from>
        <xdr:to>
          <xdr:col>44</xdr:col>
          <xdr:colOff>30480</xdr:colOff>
          <xdr:row>20</xdr:row>
          <xdr:rowOff>30480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979715</xdr:colOff>
      <xdr:row>14</xdr:row>
      <xdr:rowOff>21771</xdr:rowOff>
    </xdr:from>
    <xdr:to>
      <xdr:col>7</xdr:col>
      <xdr:colOff>576943</xdr:colOff>
      <xdr:row>15</xdr:row>
      <xdr:rowOff>32657</xdr:rowOff>
    </xdr:to>
    <xdr:sp macro="[0]!SCROLALT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455229" y="2612571"/>
          <a:ext cx="772885" cy="19594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macgmgroup-my.sharepoint.com/personal/akd_vplyusnin_cma-cgm_com/Documents/Desktop/project/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Full list"/>
      <sheetName val="Actual Data"/>
      <sheetName val="Calculation"/>
      <sheetName val="Collected Data"/>
      <sheetName val="Tauranga Container Terminal Car"/>
    </sheetNames>
    <sheetDataSet>
      <sheetData sheetId="0" refreshError="1"/>
      <sheetData sheetId="1" refreshError="1"/>
      <sheetData sheetId="2" refreshError="1"/>
      <sheetData sheetId="3">
        <row r="11">
          <cell r="C11" t="str">
            <v>TRIESTE TRADER</v>
          </cell>
          <cell r="E11" t="str">
            <v>312W</v>
          </cell>
        </row>
      </sheetData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B23E1413-5763-431E-A7FC-9BCEAD1368AC}" autoFormatId="16" applyNumberFormats="0" applyBorderFormats="0" applyFontFormats="0" applyPatternFormats="0" applyAlignmentFormats="0" applyWidthHeightFormats="0">
  <queryTableRefresh nextId="30">
    <queryTableFields count="17">
      <queryTableField id="1" name="Vessel" tableColumnId="1"/>
      <queryTableField id="2" name="Inbound Voyage #" tableColumnId="2"/>
      <queryTableField id="3" name="Outbound Voyage #" tableColumnId="3"/>
      <queryTableField id="25" name="ANL/CMA Services" tableColumnId="4"/>
      <queryTableField id="17" name="TRG Service" tableColumnId="17"/>
      <queryTableField id="5" name="Last Port" tableColumnId="5"/>
      <queryTableField id="6" name="Pro-Forma ETA" tableColumnId="6"/>
      <queryTableField id="7" name="Current ETA" tableColumnId="7"/>
      <queryTableField id="8" name="Current ETD" tableColumnId="8"/>
      <queryTableField id="9" name="Next Port" tableColumnId="9"/>
      <queryTableField id="10" name="Tauranga Receiving" tableColumnId="10"/>
      <queryTableField id="11" name="Tauranga Receiving (Hazardous)" tableColumnId="11"/>
      <queryTableField id="12" name="Tauranga Receiving (Reefer)" tableColumnId="12"/>
      <queryTableField id="13" name="Tauranga Cut-Off" tableColumnId="13"/>
      <queryTableField id="27" name="MetroPort Receiving" tableColumnId="14"/>
      <queryTableField id="15" name="MetroPort Cut-Off" tableColumnId="15"/>
      <queryTableField id="24" name="Index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5FB7F40-CD86-437B-9805-3F12EE02D744}" autoFormatId="16" applyNumberFormats="0" applyBorderFormats="0" applyFontFormats="0" applyPatternFormats="0" applyAlignmentFormats="0" applyWidthHeightFormats="0">
  <queryTableRefresh nextId="20">
    <queryTableFields count="16">
      <queryTableField id="18" name="Caption" tableColumnId="18"/>
      <queryTableField id="1" name="Vessel" tableColumnId="1"/>
      <queryTableField id="2" name="Inbound Voyage #" tableColumnId="2"/>
      <queryTableField id="3" name="Outbound Voyage #" tableColumnId="3"/>
      <queryTableField id="4" name="ANL/CMA Services" tableColumnId="4"/>
      <queryTableField id="6" name="Last Port" tableColumnId="6"/>
      <queryTableField id="7" name="Pro-Forma ETA" tableColumnId="7"/>
      <queryTableField id="8" name="Current ETA" tableColumnId="8"/>
      <queryTableField id="9" name="Current ETD" tableColumnId="9"/>
      <queryTableField id="10" name="Next Port" tableColumnId="10"/>
      <queryTableField id="11" name="Tauranga Receiving" tableColumnId="11"/>
      <queryTableField id="12" name="Tauranga Receiving (Hazardous)" tableColumnId="12"/>
      <queryTableField id="13" name="Tauranga Receiving (Reefer)" tableColumnId="13"/>
      <queryTableField id="14" name="Tauranga Cut-Off" tableColumnId="14"/>
      <queryTableField id="15" name="MetroPort Receiving" tableColumnId="15"/>
      <queryTableField id="16" name="MetroPort Cut-Off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2E745-1BEB-44BD-877A-1F07E2DAF802}" name="Tauranga_Container_Terminal_Cargo_Schedule__Thursday_21_July_2022_11_13__Export" displayName="Tauranga_Container_Terminal_Cargo_Schedule__Thursday_21_July_2022_11_13__Export" ref="A1:Q35" tableType="queryTable" totalsRowShown="0">
  <autoFilter ref="A1:Q35" xr:uid="{29F5DF5E-F80C-4277-85A7-DA48285DC7D5}"/>
  <tableColumns count="17">
    <tableColumn id="1" xr3:uid="{CB248F6C-9DA6-4674-B8E6-D9984114AFC4}" uniqueName="1" name="Vessel" queryTableFieldId="1" dataDxfId="14"/>
    <tableColumn id="2" xr3:uid="{42200926-C10B-48AD-BE2A-4F784E24EE6D}" uniqueName="2" name="Inbound Voyage #" queryTableFieldId="2" dataDxfId="13"/>
    <tableColumn id="3" xr3:uid="{19BE4C65-908B-4032-900D-3DFD57B531D7}" uniqueName="3" name="Outbound Voyage #" queryTableFieldId="3" dataDxfId="12"/>
    <tableColumn id="4" xr3:uid="{89CCA22B-F443-498A-B79E-1B0CE1E4AE17}" uniqueName="4" name="ANL/CMA Services" queryTableFieldId="25"/>
    <tableColumn id="17" xr3:uid="{C8865FEF-8FC4-4C9F-A762-855EF6C14412}" uniqueName="17" name="TRG Service" queryTableFieldId="17" dataDxfId="11"/>
    <tableColumn id="5" xr3:uid="{D2727B67-956E-409D-8394-ADD025C3996B}" uniqueName="5" name="Last Port" queryTableFieldId="5" dataDxfId="10"/>
    <tableColumn id="6" xr3:uid="{38F84E27-4E87-4B14-A126-4505B2EBE1F2}" uniqueName="6" name="Pro-Forma ETA" queryTableFieldId="6" dataDxfId="9"/>
    <tableColumn id="7" xr3:uid="{A65759EF-6830-4240-B902-6299FD1F7ABF}" uniqueName="7" name="Current ETA" queryTableFieldId="7" dataDxfId="8"/>
    <tableColumn id="8" xr3:uid="{216AD02A-8CFF-4C23-8B38-4C22F83A9450}" uniqueName="8" name="Current ETD" queryTableFieldId="8" dataDxfId="7"/>
    <tableColumn id="9" xr3:uid="{E9B237B7-F4C4-4F51-AEF0-0680822A7D04}" uniqueName="9" name="Next Port" queryTableFieldId="9" dataDxfId="6"/>
    <tableColumn id="10" xr3:uid="{43B214AB-2FE4-41E3-BBF4-718B23375CD6}" uniqueName="10" name="Tauranga Receiving" queryTableFieldId="10" dataDxfId="5"/>
    <tableColumn id="11" xr3:uid="{A56D35E2-3828-4FA0-AA41-D643078FD713}" uniqueName="11" name="Tauranga Receiving (Hazardous)" queryTableFieldId="11" dataDxfId="4"/>
    <tableColumn id="12" xr3:uid="{14FABB08-66B3-448B-9A70-956A0606B6FA}" uniqueName="12" name="Tauranga Receiving (Reefer)" queryTableFieldId="12" dataDxfId="3"/>
    <tableColumn id="13" xr3:uid="{8C5561DB-2B44-45A9-A8A3-DD574DAC505B}" uniqueName="13" name="Tauranga Cut-Off" queryTableFieldId="13" dataDxfId="2"/>
    <tableColumn id="14" xr3:uid="{4B90CB42-61E2-44E9-A80A-EBFC5AAA28F0}" uniqueName="14" name="MetroPort Receiving" queryTableFieldId="27" dataDxfId="1"/>
    <tableColumn id="15" xr3:uid="{4B449543-C895-4AA1-A236-4D3E229ECE61}" uniqueName="15" name="MetroPort Cut-Off" queryTableFieldId="15" dataDxfId="0"/>
    <tableColumn id="21" xr3:uid="{E6BA7858-2283-4CF7-B639-9ABF51BC83E6}" uniqueName="21" name="Index" queryTableFieldId="2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B977B6-7AE4-44E1-BD6A-D86317FDC8B5}" name="Table3_2" displayName="Table3_2" ref="A1:B10" totalsRowShown="0">
  <autoFilter ref="A1:B10" xr:uid="{22737F0F-81B0-4DF9-89E4-4158268BC5D4}"/>
  <tableColumns count="2">
    <tableColumn id="1" xr3:uid="{E0446112-45EC-4BEA-A659-7911764955D6}" name="From " dataDxfId="50"/>
    <tableColumn id="2" xr3:uid="{881B9B2F-B7D6-454D-86DF-679DA9B74413}" name="To" dataDxfId="4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11E980-83D3-4934-B2DB-B13DC8DF1FEF}" name="FullData" displayName="FullData" ref="A1:P238" tableType="queryTable" totalsRowShown="0">
  <autoFilter ref="A1:P238" xr:uid="{33E328C1-8D1B-4289-AAB2-F27EE7DB1734}"/>
  <tableColumns count="16">
    <tableColumn id="18" xr3:uid="{D84553E7-BF32-4893-94C1-2B6DF9A77D48}" uniqueName="18" name="Caption" queryTableFieldId="18" dataDxfId="30"/>
    <tableColumn id="1" xr3:uid="{1D3611E5-A85E-4CBC-BD40-7906D585A7CB}" uniqueName="1" name="Vessel" queryTableFieldId="1" dataDxfId="29"/>
    <tableColumn id="2" xr3:uid="{1BE0CC9B-57BF-44B3-A649-1EC4481A689F}" uniqueName="2" name="Inbound Voyage #" queryTableFieldId="2" dataDxfId="28"/>
    <tableColumn id="3" xr3:uid="{C2AE85F5-5476-4D62-BDFC-82276188CE56}" uniqueName="3" name="Outbound Voyage #" queryTableFieldId="3" dataDxfId="27"/>
    <tableColumn id="4" xr3:uid="{28974DE0-0D4C-4832-AAE7-0E154FD18494}" uniqueName="4" name="ANL/CMA Services" queryTableFieldId="4" dataDxfId="26"/>
    <tableColumn id="6" xr3:uid="{BFD29195-A666-4780-9711-DBE85E9A971C}" uniqueName="6" name="Last Port" queryTableFieldId="6" dataDxfId="25"/>
    <tableColumn id="7" xr3:uid="{4505F829-1D76-4C07-A827-F46389E12ADD}" uniqueName="7" name="Pro-Forma ETA" queryTableFieldId="7" dataDxfId="24"/>
    <tableColumn id="8" xr3:uid="{A76AEC73-A4FA-4EC0-8862-27CD1424BBB4}" uniqueName="8" name="Current ETA" queryTableFieldId="8" dataDxfId="23"/>
    <tableColumn id="9" xr3:uid="{F88BE510-C342-48BE-8331-B2536F3B9026}" uniqueName="9" name="Current ETD" queryTableFieldId="9" dataDxfId="22"/>
    <tableColumn id="10" xr3:uid="{CE5719AC-20EA-4CD2-A313-266F1C398685}" uniqueName="10" name="Next Port" queryTableFieldId="10" dataDxfId="21"/>
    <tableColumn id="11" xr3:uid="{7590FAAC-9F14-48C4-91DA-4354D56DFDCF}" uniqueName="11" name="Tauranga Receiving" queryTableFieldId="11" dataDxfId="20"/>
    <tableColumn id="12" xr3:uid="{910A7E99-A0DB-4550-A6CB-0ACBDF945EF0}" uniqueName="12" name="Tauranga Receiving (Hazardous)" queryTableFieldId="12" dataDxfId="19"/>
    <tableColumn id="13" xr3:uid="{EFBF55C2-24A3-4F17-9D7A-D874AE05CBF0}" uniqueName="13" name="Tauranga Receiving (Reefer)" queryTableFieldId="13" dataDxfId="18"/>
    <tableColumn id="14" xr3:uid="{1C1D56DC-2455-4768-98E2-44AA8F323765}" uniqueName="14" name="Tauranga Cut-Off" queryTableFieldId="14" dataDxfId="17"/>
    <tableColumn id="15" xr3:uid="{72611CA2-F74F-4E1E-9088-CE23C4ECC588}" uniqueName="15" name="MetroPort Receiving" queryTableFieldId="15" dataDxfId="16"/>
    <tableColumn id="16" xr3:uid="{50D0C30F-2C6B-4D80-BC87-44D911866FC8}" uniqueName="16" name="MetroPort Cut-Off" queryTableFieldId="16" dataDxf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BFFAED-1035-4D5F-AAA0-6A077648F6CF}" name="Table7" displayName="Table7" ref="B41:B42" totalsRowShown="0">
  <autoFilter ref="B41:B42" xr:uid="{D3A4D92A-A2BB-4496-93D3-C7561C456817}"/>
  <tableColumns count="1">
    <tableColumn id="1" xr3:uid="{DCF00558-2839-4B86-ADF3-1F8D77715067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port-tauranga.co.nz/operations/metroport-auckland/cargo-availability/" TargetMode="External"/><Relationship Id="rId1" Type="http://schemas.openxmlformats.org/officeDocument/2006/relationships/hyperlink" Target="https://www.port-tauranga.co.nz/operations/tauranga-container-terminal/cargo-availability/" TargetMode="Externa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6FCBB-E2A5-41E2-B601-29754A4DF442}">
  <sheetPr codeName="Sheet4"/>
  <dimension ref="A1:AS34"/>
  <sheetViews>
    <sheetView zoomScaleNormal="100" workbookViewId="0">
      <selection activeCell="R4" sqref="R4"/>
    </sheetView>
  </sheetViews>
  <sheetFormatPr defaultColWidth="0" defaultRowHeight="14.4" zeroHeight="1" x14ac:dyDescent="0.3"/>
  <cols>
    <col min="1" max="1" width="1.44140625" customWidth="1"/>
    <col min="2" max="9" width="8.88671875" customWidth="1"/>
    <col min="10" max="10" width="9.44140625" customWidth="1"/>
    <col min="11" max="11" width="4.88671875" customWidth="1"/>
    <col min="12" max="12" width="5.6640625" customWidth="1"/>
    <col min="13" max="13" width="20.44140625" customWidth="1"/>
    <col min="14" max="14" width="19.44140625" customWidth="1"/>
    <col min="15" max="15" width="18.33203125" customWidth="1"/>
    <col min="16" max="16" width="18" customWidth="1"/>
    <col min="17" max="17" width="18.5546875" customWidth="1"/>
    <col min="18" max="18" width="17.6640625" customWidth="1"/>
    <col min="19" max="19" width="2.33203125" customWidth="1"/>
    <col min="20" max="20" width="8.88671875" hidden="1" customWidth="1"/>
    <col min="21" max="45" width="0" hidden="1" customWidth="1"/>
    <col min="46" max="16384" width="8.88671875" hidden="1"/>
  </cols>
  <sheetData>
    <row r="1" spans="1:45" ht="7.2" customHeigh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45" ht="18.600000000000001" customHeight="1" x14ac:dyDescent="0.35">
      <c r="A2" s="30"/>
      <c r="B2" s="32"/>
      <c r="C2" s="32" t="s">
        <v>3</v>
      </c>
      <c r="D2" s="32"/>
      <c r="E2" s="32" t="s">
        <v>89</v>
      </c>
      <c r="F2" s="32"/>
      <c r="G2" s="32"/>
      <c r="H2" s="32" t="s">
        <v>35</v>
      </c>
      <c r="I2" s="32"/>
      <c r="J2" s="32"/>
      <c r="K2" s="33" t="s">
        <v>92</v>
      </c>
      <c r="L2" s="34"/>
      <c r="M2" s="50" t="str">
        <f>IF(COUNTA(Calculation!A63:A69)=1,"No updates for vessel "&amp;Calculation!B63, "ATTENTION schedule for vessel "&amp;Calculation!B63&amp;" has been changed")</f>
        <v>ATTENTION schedule for vessel MAJESTIC has been changed</v>
      </c>
      <c r="N2" s="51"/>
      <c r="O2" s="51"/>
      <c r="P2" s="51"/>
      <c r="Q2" s="51"/>
      <c r="R2" s="51"/>
      <c r="S2" s="30"/>
    </row>
    <row r="3" spans="1:45" ht="18" x14ac:dyDescent="0.35">
      <c r="A3" s="30"/>
      <c r="B3" s="32"/>
      <c r="C3" s="32"/>
      <c r="D3" s="32"/>
      <c r="E3" s="32"/>
      <c r="F3" s="32"/>
      <c r="G3" s="32"/>
      <c r="H3" s="32"/>
      <c r="I3" s="32"/>
      <c r="J3" s="32"/>
      <c r="K3" s="33" t="s">
        <v>93</v>
      </c>
      <c r="L3" s="34"/>
      <c r="M3" s="36" t="s">
        <v>87</v>
      </c>
      <c r="N3" s="37" t="s">
        <v>91</v>
      </c>
      <c r="O3" s="38" t="s">
        <v>61</v>
      </c>
      <c r="P3" s="37" t="s">
        <v>62</v>
      </c>
      <c r="Q3" s="37" t="s">
        <v>88</v>
      </c>
      <c r="R3" s="39" t="s">
        <v>59</v>
      </c>
      <c r="S3" s="30"/>
    </row>
    <row r="4" spans="1:45" ht="18" x14ac:dyDescent="0.35">
      <c r="A4" s="30"/>
      <c r="B4" s="32"/>
      <c r="C4" s="32"/>
      <c r="D4" s="32"/>
      <c r="E4" s="32"/>
      <c r="F4" s="32"/>
      <c r="G4" s="32"/>
      <c r="H4" s="32"/>
      <c r="I4" s="32"/>
      <c r="J4" s="34"/>
      <c r="K4" s="33"/>
      <c r="L4" s="34"/>
      <c r="M4" s="40">
        <f>IF(Calculation!A63&lt;&gt;"",Calculation!A63,"")</f>
        <v>45267.367361111108</v>
      </c>
      <c r="N4" s="41">
        <f>IF(Calculation!K63&lt;&gt;"",Calculation!K63,"")</f>
        <v>45251.791666666664</v>
      </c>
      <c r="O4" s="41">
        <f>IF(Calculation!N63&lt;&gt;"",Calculation!N63,"")</f>
        <v>45261.625</v>
      </c>
      <c r="P4" s="41">
        <f>IF(Calculation!P63&lt;&gt;"",Calculation!P63,"")</f>
        <v>45256.291666666664</v>
      </c>
      <c r="Q4" s="41">
        <f>IF(Calculation!H63&lt;&gt;"",Calculation!H63,"")</f>
        <v>45264.227083333331</v>
      </c>
      <c r="R4" s="42">
        <f>IF(Calculation!I63&lt;&gt;"",Calculation!I63,"")</f>
        <v>45264.845138888886</v>
      </c>
      <c r="S4" s="30"/>
    </row>
    <row r="5" spans="1:45" ht="19.95" customHeight="1" x14ac:dyDescent="0.35">
      <c r="A5" s="30"/>
      <c r="B5" s="32"/>
      <c r="C5" s="32"/>
      <c r="D5" s="32"/>
      <c r="E5" s="32"/>
      <c r="F5" s="32"/>
      <c r="G5" s="32"/>
      <c r="H5" s="43"/>
      <c r="I5" s="32"/>
      <c r="J5" s="34"/>
      <c r="K5" s="33"/>
      <c r="L5" s="34"/>
      <c r="M5" s="44">
        <f>IF(Calculation!A64&lt;&gt;"",Calculation!A64,"")</f>
        <v>45264.375694444447</v>
      </c>
      <c r="N5" s="45">
        <f>IF(Calculation!K64&lt;&gt;"",Calculation!K64,"")</f>
        <v>45251.791666666664</v>
      </c>
      <c r="O5" s="45">
        <f>IF(Calculation!N64&lt;&gt;"",Calculation!N64,"")</f>
        <v>45261.625</v>
      </c>
      <c r="P5" s="45">
        <f>IF(Calculation!P64&lt;&gt;"",Calculation!P64,"")</f>
        <v>45256.291666666664</v>
      </c>
      <c r="Q5" s="41">
        <f>IF(Calculation!H64&lt;&gt;"",Calculation!H64,"")</f>
        <v>45264.227083333331</v>
      </c>
      <c r="R5" s="42">
        <f>IF(Calculation!I64&lt;&gt;"",Calculation!I64,"")</f>
        <v>45264.770833333336</v>
      </c>
      <c r="S5" s="30"/>
    </row>
    <row r="6" spans="1:45" ht="18" x14ac:dyDescent="0.35">
      <c r="A6" s="30"/>
      <c r="B6" s="32"/>
      <c r="C6" s="32"/>
      <c r="D6" s="32"/>
      <c r="E6" s="35"/>
      <c r="F6" s="32"/>
      <c r="G6" s="32"/>
      <c r="H6" s="32"/>
      <c r="I6" s="32"/>
      <c r="J6" s="34"/>
      <c r="K6" s="33"/>
      <c r="L6" s="34"/>
      <c r="M6" s="46">
        <f>IF(Calculation!A65&lt;&gt;"",Calculation!A65,"")</f>
        <v>45260.361111111109</v>
      </c>
      <c r="N6" s="47">
        <f>IF(Calculation!K65&lt;&gt;"",Calculation!K65,"")</f>
        <v>45251.791666666664</v>
      </c>
      <c r="O6" s="47">
        <f>IF(Calculation!N65&lt;&gt;"",Calculation!N65,"")</f>
        <v>45261.625</v>
      </c>
      <c r="P6" s="47">
        <f>IF(Calculation!P65&lt;&gt;"",Calculation!P65,"")</f>
        <v>45256.291666666664</v>
      </c>
      <c r="Q6" s="41">
        <f>IF(Calculation!H65&lt;&gt;"",Calculation!H65,"")</f>
        <v>45264.041666666664</v>
      </c>
      <c r="R6" s="42">
        <f>IF(Calculation!I65&lt;&gt;"",Calculation!I65,"")</f>
        <v>45264.75</v>
      </c>
      <c r="S6" s="30"/>
    </row>
    <row r="7" spans="1:45" ht="7.95" customHeight="1" x14ac:dyDescent="0.3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</row>
    <row r="8" spans="1:45" x14ac:dyDescent="0.3">
      <c r="A8" s="30"/>
      <c r="S8" s="30"/>
    </row>
    <row r="9" spans="1:45" x14ac:dyDescent="0.3">
      <c r="A9" s="30"/>
      <c r="S9" s="30"/>
    </row>
    <row r="10" spans="1:45" x14ac:dyDescent="0.3">
      <c r="A10" s="30"/>
      <c r="S10" s="30"/>
    </row>
    <row r="11" spans="1:45" x14ac:dyDescent="0.3">
      <c r="A11" s="30"/>
      <c r="S11" s="30"/>
    </row>
    <row r="12" spans="1:45" x14ac:dyDescent="0.3">
      <c r="A12" s="30"/>
      <c r="S12" s="30"/>
    </row>
    <row r="13" spans="1:45" x14ac:dyDescent="0.3">
      <c r="A13" s="30"/>
      <c r="S13" s="30"/>
    </row>
    <row r="14" spans="1:45" x14ac:dyDescent="0.3">
      <c r="A14" s="30"/>
      <c r="S14" s="30"/>
      <c r="AS14">
        <v>10</v>
      </c>
    </row>
    <row r="15" spans="1:45" x14ac:dyDescent="0.3">
      <c r="A15" s="30"/>
      <c r="S15" s="30"/>
    </row>
    <row r="16" spans="1:45" x14ac:dyDescent="0.3">
      <c r="A16" s="30"/>
      <c r="S16" s="30"/>
    </row>
    <row r="17" spans="1:19" x14ac:dyDescent="0.3">
      <c r="A17" s="30"/>
      <c r="S17" s="30"/>
    </row>
    <row r="18" spans="1:19" x14ac:dyDescent="0.3">
      <c r="A18" s="30"/>
      <c r="S18" s="30"/>
    </row>
    <row r="19" spans="1:19" x14ac:dyDescent="0.3">
      <c r="A19" s="30"/>
      <c r="S19" s="30"/>
    </row>
    <row r="20" spans="1:19" x14ac:dyDescent="0.3">
      <c r="A20" s="30"/>
      <c r="S20" s="30"/>
    </row>
    <row r="21" spans="1:19" x14ac:dyDescent="0.3">
      <c r="A21" s="30"/>
      <c r="S21" s="30"/>
    </row>
    <row r="22" spans="1:19" x14ac:dyDescent="0.3">
      <c r="A22" s="30"/>
      <c r="S22" s="30"/>
    </row>
    <row r="23" spans="1:19" x14ac:dyDescent="0.3">
      <c r="A23" s="30"/>
      <c r="S23" s="30"/>
    </row>
    <row r="24" spans="1:19" ht="16.2" customHeight="1" x14ac:dyDescent="0.3">
      <c r="A24" s="30"/>
      <c r="S24" s="30"/>
    </row>
    <row r="25" spans="1:19" ht="17.399999999999999" customHeight="1" x14ac:dyDescent="0.3">
      <c r="A25" s="30"/>
      <c r="S25" s="30"/>
    </row>
    <row r="26" spans="1:19" ht="20.399999999999999" customHeight="1" x14ac:dyDescent="0.3">
      <c r="A26" s="30"/>
      <c r="S26" s="30"/>
    </row>
    <row r="27" spans="1:19" ht="9.6" customHeight="1" x14ac:dyDescent="0.3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1"/>
      <c r="P27" s="30"/>
      <c r="Q27" s="30"/>
      <c r="R27" s="30"/>
      <c r="S27" s="30"/>
    </row>
    <row r="28" spans="1:19" x14ac:dyDescent="0.3">
      <c r="A28" s="30"/>
      <c r="S28" s="30"/>
    </row>
    <row r="29" spans="1:19" x14ac:dyDescent="0.3">
      <c r="A29" s="30"/>
      <c r="S29" s="30"/>
    </row>
    <row r="30" spans="1:19" x14ac:dyDescent="0.3">
      <c r="A30" s="30"/>
      <c r="S30" s="30"/>
    </row>
    <row r="31" spans="1:19" x14ac:dyDescent="0.3">
      <c r="A31" s="30"/>
      <c r="S31" s="30"/>
    </row>
    <row r="32" spans="1:19" x14ac:dyDescent="0.3">
      <c r="A32" s="30"/>
      <c r="S32" s="30"/>
    </row>
    <row r="33" spans="1:19" ht="19.2" customHeight="1" x14ac:dyDescent="0.3">
      <c r="A33" s="30"/>
      <c r="S33" s="30"/>
    </row>
    <row r="34" spans="1:19" ht="10.95" customHeight="1" x14ac:dyDescent="0.3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</row>
  </sheetData>
  <sheetProtection algorithmName="SHA-512" hashValue="62NU8XZTy2KWRsbhyu8hIhph7cIlbygvQHxQ+162SW/x96daeAdlrcCr67/y6JlUz2beWwe2QPS4HFvP1gpDRQ==" saltValue="S3gvC+LWAezZZsSr7DJIuA==" spinCount="100000" sheet="1" objects="1" scenarios="1"/>
  <mergeCells count="1">
    <mergeCell ref="M2:R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0</xdr:col>
                    <xdr:colOff>99060</xdr:colOff>
                    <xdr:row>7</xdr:row>
                    <xdr:rowOff>7620</xdr:rowOff>
                  </from>
                  <to>
                    <xdr:col>1</xdr:col>
                    <xdr:colOff>342900</xdr:colOff>
                    <xdr:row>25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DService">
              <controlPr defaultSize="0" autoLine="0" autoPict="0" macro="[0]!ServiceRefreshDS">
                <anchor moveWithCells="1">
                  <from>
                    <xdr:col>1</xdr:col>
                    <xdr:colOff>160020</xdr:colOff>
                    <xdr:row>2</xdr:row>
                    <xdr:rowOff>76200</xdr:rowOff>
                  </from>
                  <to>
                    <xdr:col>3</xdr:col>
                    <xdr:colOff>373380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DDVessel">
              <controlPr defaultSize="0" autoLine="0" autoPict="0" macro="[0]!VesselRefreshDS">
                <anchor moveWithCells="1">
                  <from>
                    <xdr:col>3</xdr:col>
                    <xdr:colOff>594360</xdr:colOff>
                    <xdr:row>2</xdr:row>
                    <xdr:rowOff>76200</xdr:rowOff>
                  </from>
                  <to>
                    <xdr:col>6</xdr:col>
                    <xdr:colOff>327660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DDVoyage">
              <controlPr defaultSize="0" autoLine="0" autoPict="0" macro="[0]!VoyageRefreshDS">
                <anchor moveWithCells="1">
                  <from>
                    <xdr:col>7</xdr:col>
                    <xdr:colOff>7620</xdr:colOff>
                    <xdr:row>2</xdr:row>
                    <xdr:rowOff>68580</xdr:rowOff>
                  </from>
                  <to>
                    <xdr:col>9</xdr:col>
                    <xdr:colOff>144780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macro="[0]!RefreshDS" altText="Only ANL/CMA vessels">
                <anchor moveWithCells="1">
                  <from>
                    <xdr:col>1</xdr:col>
                    <xdr:colOff>144780</xdr:colOff>
                    <xdr:row>3</xdr:row>
                    <xdr:rowOff>213360</xdr:rowOff>
                  </from>
                  <to>
                    <xdr:col>3</xdr:col>
                    <xdr:colOff>464820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F3417A50-B231-4F89-BC21-C5809CCCC4F8}">
            <xm:f>AND(IF(Calculation!$M$63&lt;&gt;Calculation!$M$64,1),IF(Calculation!$M$64&lt;&gt;"",1))</xm:f>
            <x14:dxf>
              <font>
                <b/>
                <i val="0"/>
                <color rgb="FFFF0000"/>
              </font>
            </x14:dxf>
          </x14:cfRule>
          <xm:sqref>N4</xm:sqref>
        </x14:conditionalFormatting>
        <x14:conditionalFormatting xmlns:xm="http://schemas.microsoft.com/office/excel/2006/main">
          <x14:cfRule type="expression" priority="3" id="{F7518F5E-EDF2-4162-BBCD-3D733A670EB4}">
            <xm:f>AND(IF(Calculation!$I$63&lt;&gt;Calculation!$I$64,1),IF(Calculation!$I$64&lt;&gt;"",1))</xm:f>
            <x14:dxf>
              <font>
                <b/>
                <i val="0"/>
                <color rgb="FFFF0000"/>
              </font>
            </x14:dxf>
          </x14:cfRule>
          <xm:sqref>R4</xm:sqref>
        </x14:conditionalFormatting>
        <x14:conditionalFormatting xmlns:xm="http://schemas.microsoft.com/office/excel/2006/main">
          <x14:cfRule type="expression" priority="9" id="{AA806C36-CAC2-4E3F-86F6-9FB3DD1DE02B}">
            <xm:f>AND(IF(Calculation!$H$63&lt;&gt;Calculation!$H$64,1),IF(Calculation!$H$64&lt;&gt;"",1))</xm:f>
            <x14:dxf>
              <font>
                <b/>
                <i val="0"/>
                <color rgb="FFFF0000"/>
              </font>
            </x14:dxf>
          </x14:cfRule>
          <xm:sqref>Q4</xm:sqref>
        </x14:conditionalFormatting>
        <x14:conditionalFormatting xmlns:xm="http://schemas.microsoft.com/office/excel/2006/main">
          <x14:cfRule type="expression" priority="7" id="{88013F80-0CAD-4222-AEDF-2AA7E8836585}">
            <xm:f>AND(IF(Calculation!$P$63&lt;&gt;Calculation!$P$64,1),IF(Calculation!$P$64&lt;&gt;"",1))</xm:f>
            <x14:dxf>
              <font>
                <b/>
                <i val="0"/>
                <color rgb="FFFF0000"/>
              </font>
            </x14:dxf>
          </x14:cfRule>
          <xm:sqref>P4</xm:sqref>
        </x14:conditionalFormatting>
        <x14:conditionalFormatting xmlns:xm="http://schemas.microsoft.com/office/excel/2006/main">
          <x14:cfRule type="expression" priority="5" id="{167B600C-F4A9-4E40-99AF-6835F09BC22B}">
            <xm:f>AND(IF(Calculation!$N$63&lt;&gt;Calculation!$N$64,1),IF(Calculation!$N$64&lt;&gt;"",1))</xm:f>
            <x14:dxf>
              <font>
                <b/>
                <i val="0"/>
                <color rgb="FFFF0000"/>
              </font>
            </x14:dxf>
          </x14:cfRule>
          <xm:sqref>O4</xm:sqref>
        </x14:conditionalFormatting>
        <x14:conditionalFormatting xmlns:xm="http://schemas.microsoft.com/office/excel/2006/main">
          <x14:cfRule type="expression" priority="8" id="{E520EDD4-3A11-41A2-81A1-CE9B9B6DE3C5}">
            <xm:f>AND(IF(Calculation!$H$64&lt;&gt;Calculation!$H$65,1),IF(Calculation!$H$65&lt;&gt;"",1))</xm:f>
            <x14:dxf>
              <font>
                <b/>
                <i val="0"/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6" id="{2F657731-F18E-4627-90C7-6709629A865B}">
            <xm:f>AND(IF(Calculation!$P$64&lt;&gt;Calculation!$P$65,1),IF(Calculation!$P$65&lt;&gt;"",1))</xm:f>
            <x14:dxf>
              <font>
                <b/>
                <i val="0"/>
                <color rgb="FFFF0000"/>
              </font>
            </x14:dxf>
          </x14:cfRule>
          <xm:sqref>P5</xm:sqref>
        </x14:conditionalFormatting>
        <x14:conditionalFormatting xmlns:xm="http://schemas.microsoft.com/office/excel/2006/main">
          <x14:cfRule type="expression" priority="4" id="{17370517-6C54-4190-8B39-A0DEA0737E47}">
            <xm:f>AND(IF(Calculation!$N$64&lt;&gt;Calculation!$N$65,1),IF(Calculation!$N$65&lt;&gt;"",1))</xm:f>
            <x14:dxf>
              <font>
                <b/>
                <i val="0"/>
                <color rgb="FFFF0000"/>
              </font>
            </x14:dxf>
          </x14:cfRule>
          <xm:sqref>O5</xm:sqref>
        </x14:conditionalFormatting>
        <x14:conditionalFormatting xmlns:xm="http://schemas.microsoft.com/office/excel/2006/main">
          <x14:cfRule type="expression" priority="2" id="{BE5EFF5A-11DE-4AED-AB29-B956AADE3197}">
            <xm:f>AND(IF(Calculation!$I$64&lt;&gt;Calculation!$I$65,1),IF(Calculation!$I$65&lt;&gt;"",1))</xm:f>
            <x14:dxf>
              <font>
                <b/>
                <i val="0"/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1" id="{761A18BF-E9AE-408E-843A-0E7E1693B6AB}">
            <xm:f>AND(IF(Calculation!$M$64&lt;&gt;Calculation!$M$65,1),IF(Calculation!$M$65&lt;&gt;"",1))</xm:f>
            <x14:dxf>
              <font>
                <b/>
                <i val="0"/>
                <color rgb="FFFF0000"/>
              </font>
            </x14:dxf>
          </x14:cfRule>
          <xm:sqref>N5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71E8C-AF39-4A2F-9609-C531C988A843}">
  <sheetPr codeName="Sheet1"/>
  <dimension ref="A1:V82"/>
  <sheetViews>
    <sheetView zoomScaleNormal="100" workbookViewId="0">
      <pane ySplit="1" topLeftCell="A2" activePane="bottomLeft" state="frozen"/>
      <selection pane="bottomLeft" activeCell="C8" sqref="C8"/>
    </sheetView>
  </sheetViews>
  <sheetFormatPr defaultRowHeight="14.4" outlineLevelCol="1" x14ac:dyDescent="0.3"/>
  <cols>
    <col min="1" max="1" width="23.44140625" bestFit="1" customWidth="1"/>
    <col min="2" max="2" width="18.6640625" hidden="1" customWidth="1"/>
    <col min="3" max="3" width="20.33203125" bestFit="1" customWidth="1"/>
    <col min="4" max="4" width="19" bestFit="1" customWidth="1"/>
    <col min="5" max="5" width="13.88671875" hidden="1" customWidth="1"/>
    <col min="6" max="6" width="10.5546875" bestFit="1" customWidth="1"/>
    <col min="7" max="7" width="16.5546875" hidden="1" customWidth="1"/>
    <col min="8" max="9" width="15.6640625" bestFit="1" customWidth="1"/>
    <col min="10" max="10" width="11.88671875" hidden="1" customWidth="1"/>
    <col min="11" max="11" width="19.77734375" bestFit="1" customWidth="1"/>
    <col min="12" max="12" width="31.6640625" hidden="1" customWidth="1"/>
    <col min="13" max="13" width="28.44140625" hidden="1" customWidth="1"/>
    <col min="14" max="14" width="17.88671875" bestFit="1" customWidth="1"/>
    <col min="15" max="15" width="20.6640625" hidden="1" customWidth="1" outlineLevel="1"/>
    <col min="16" max="16" width="18.77734375" hidden="1" customWidth="1" outlineLevel="1"/>
    <col min="17" max="17" width="8.5546875" hidden="1" customWidth="1" collapsed="1"/>
    <col min="18" max="18" width="9" customWidth="1"/>
    <col min="19" max="19" width="10.88671875" bestFit="1" customWidth="1"/>
    <col min="20" max="20" width="11.44140625" bestFit="1" customWidth="1"/>
    <col min="21" max="21" width="9.6640625" bestFit="1" customWidth="1"/>
    <col min="22" max="22" width="9.33203125" style="2" customWidth="1"/>
  </cols>
  <sheetData>
    <row r="1" spans="1:22" x14ac:dyDescent="0.3">
      <c r="A1" t="s">
        <v>0</v>
      </c>
      <c r="B1" t="s">
        <v>1</v>
      </c>
      <c r="C1" t="s">
        <v>2</v>
      </c>
      <c r="D1" t="s">
        <v>50</v>
      </c>
      <c r="E1" t="s">
        <v>48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51</v>
      </c>
      <c r="P1" s="2" t="s">
        <v>38</v>
      </c>
      <c r="Q1" t="s">
        <v>36</v>
      </c>
      <c r="V1"/>
    </row>
    <row r="2" spans="1:22" x14ac:dyDescent="0.3">
      <c r="A2" s="1" t="s">
        <v>159</v>
      </c>
      <c r="B2" s="1" t="s">
        <v>143</v>
      </c>
      <c r="C2" s="1" t="s">
        <v>144</v>
      </c>
      <c r="D2" t="s">
        <v>46</v>
      </c>
      <c r="E2" s="1" t="s">
        <v>26</v>
      </c>
      <c r="F2" s="1" t="s">
        <v>13</v>
      </c>
      <c r="G2" s="2">
        <v>45260.000694444447</v>
      </c>
      <c r="H2" s="2">
        <v>45263.304166666669</v>
      </c>
      <c r="I2" s="2">
        <v>45264.382638888892</v>
      </c>
      <c r="J2" s="1" t="s">
        <v>27</v>
      </c>
      <c r="K2" s="2">
        <v>45253.000694444447</v>
      </c>
      <c r="L2" s="2">
        <v>45261.291666666664</v>
      </c>
      <c r="M2" s="2">
        <v>45254.000694444447</v>
      </c>
      <c r="N2" s="2">
        <v>45261.5</v>
      </c>
      <c r="O2" s="2">
        <v>45251.500694444447</v>
      </c>
      <c r="P2" s="2">
        <v>45257.500694444447</v>
      </c>
      <c r="Q2">
        <v>1</v>
      </c>
      <c r="V2"/>
    </row>
    <row r="3" spans="1:22" x14ac:dyDescent="0.3">
      <c r="A3" s="1" t="s">
        <v>187</v>
      </c>
      <c r="B3" s="1" t="s">
        <v>148</v>
      </c>
      <c r="C3" s="1" t="s">
        <v>148</v>
      </c>
      <c r="D3" t="s">
        <v>46</v>
      </c>
      <c r="E3" s="1" t="s">
        <v>26</v>
      </c>
      <c r="F3" s="1" t="s">
        <v>19</v>
      </c>
      <c r="G3" s="2">
        <v>45267.25</v>
      </c>
      <c r="H3" s="2">
        <v>45267.236111111109</v>
      </c>
      <c r="I3" s="2">
        <v>45268</v>
      </c>
      <c r="J3" s="1" t="s">
        <v>28</v>
      </c>
      <c r="K3" s="2">
        <v>45260.25</v>
      </c>
      <c r="L3" s="2">
        <v>45265.1875</v>
      </c>
      <c r="M3" s="2">
        <v>45261.000694444447</v>
      </c>
      <c r="N3" s="2">
        <v>45265.5</v>
      </c>
      <c r="O3" s="2">
        <v>45258.75</v>
      </c>
      <c r="P3" s="2">
        <v>45264.75</v>
      </c>
      <c r="Q3">
        <v>2</v>
      </c>
      <c r="V3"/>
    </row>
    <row r="4" spans="1:22" x14ac:dyDescent="0.3">
      <c r="A4" s="1" t="s">
        <v>156</v>
      </c>
      <c r="B4" s="1" t="s">
        <v>157</v>
      </c>
      <c r="C4" s="1" t="s">
        <v>158</v>
      </c>
      <c r="D4" t="s">
        <v>18</v>
      </c>
      <c r="E4" s="1" t="s">
        <v>18</v>
      </c>
      <c r="F4" s="1" t="s">
        <v>19</v>
      </c>
      <c r="G4" s="2">
        <v>45258.791666666664</v>
      </c>
      <c r="H4" s="2">
        <v>45264.227083333331</v>
      </c>
      <c r="I4" s="2">
        <v>45264.845138888886</v>
      </c>
      <c r="J4" s="1" t="s">
        <v>132</v>
      </c>
      <c r="K4" s="2">
        <v>45251.791666666664</v>
      </c>
      <c r="L4" s="2">
        <v>45262.208333333336</v>
      </c>
      <c r="M4" s="2">
        <v>45252.000694444447</v>
      </c>
      <c r="N4" s="2">
        <v>45261.625</v>
      </c>
      <c r="O4" s="2">
        <v>45250.291666666664</v>
      </c>
      <c r="P4" s="2">
        <v>45256.291666666664</v>
      </c>
      <c r="Q4">
        <v>3</v>
      </c>
      <c r="V4"/>
    </row>
    <row r="5" spans="1:22" x14ac:dyDescent="0.3">
      <c r="A5" s="1" t="s">
        <v>68</v>
      </c>
      <c r="B5" s="1" t="s">
        <v>216</v>
      </c>
      <c r="C5" s="1" t="s">
        <v>164</v>
      </c>
      <c r="D5" t="s">
        <v>44</v>
      </c>
      <c r="E5" s="1" t="s">
        <v>29</v>
      </c>
      <c r="F5" s="1" t="s">
        <v>30</v>
      </c>
      <c r="G5" s="2">
        <v>45264.5</v>
      </c>
      <c r="H5" s="2">
        <v>45264.445833333331</v>
      </c>
      <c r="I5" s="2">
        <v>45265.119444444441</v>
      </c>
      <c r="J5" s="1" t="s">
        <v>13</v>
      </c>
      <c r="K5" s="2">
        <v>45257.5</v>
      </c>
      <c r="L5" s="2">
        <v>45262.416666666664</v>
      </c>
      <c r="M5" s="2">
        <v>45258.000694444447</v>
      </c>
      <c r="N5" s="2">
        <v>45262.625</v>
      </c>
      <c r="O5" s="2">
        <v>45256</v>
      </c>
      <c r="P5" s="2">
        <v>45262</v>
      </c>
      <c r="Q5">
        <v>4</v>
      </c>
      <c r="V5"/>
    </row>
    <row r="6" spans="1:22" x14ac:dyDescent="0.3">
      <c r="A6" s="1" t="s">
        <v>137</v>
      </c>
      <c r="B6" s="1" t="s">
        <v>162</v>
      </c>
      <c r="C6" s="1" t="s">
        <v>163</v>
      </c>
      <c r="D6" t="s">
        <v>45</v>
      </c>
      <c r="E6" s="1" t="s">
        <v>15</v>
      </c>
      <c r="F6" s="1" t="s">
        <v>14</v>
      </c>
      <c r="G6" s="2">
        <v>45265.75</v>
      </c>
      <c r="H6" s="2">
        <v>45266.06527777778</v>
      </c>
      <c r="I6" s="2">
        <v>45267.150694444441</v>
      </c>
      <c r="J6" s="1" t="s">
        <v>16</v>
      </c>
      <c r="K6" s="2">
        <v>45258.75</v>
      </c>
      <c r="L6" s="2">
        <v>45264.041666666664</v>
      </c>
      <c r="M6" s="2">
        <v>45259.000694444447</v>
      </c>
      <c r="N6" s="2">
        <v>45263.625</v>
      </c>
      <c r="O6" s="2">
        <v>45257.25</v>
      </c>
      <c r="P6" s="2">
        <v>45263.25</v>
      </c>
      <c r="Q6">
        <v>5</v>
      </c>
      <c r="V6"/>
    </row>
    <row r="7" spans="1:22" x14ac:dyDescent="0.3">
      <c r="A7" s="1" t="s">
        <v>67</v>
      </c>
      <c r="B7" s="1" t="s">
        <v>193</v>
      </c>
      <c r="C7" s="1" t="s">
        <v>194</v>
      </c>
      <c r="D7" t="s">
        <v>52</v>
      </c>
      <c r="E7" s="1" t="s">
        <v>37</v>
      </c>
      <c r="F7" s="1"/>
      <c r="G7" s="2">
        <v>45268.916666666664</v>
      </c>
      <c r="H7" s="2">
        <v>45268.770833333336</v>
      </c>
      <c r="I7" s="2">
        <v>45269.375</v>
      </c>
      <c r="J7" s="1" t="s">
        <v>288</v>
      </c>
      <c r="K7" s="2">
        <v>45261.916666666664</v>
      </c>
      <c r="L7" s="2">
        <v>45266.770833333336</v>
      </c>
      <c r="M7" s="2">
        <v>45262.000694444447</v>
      </c>
      <c r="N7" s="2">
        <v>45267.708333333336</v>
      </c>
      <c r="O7" s="2">
        <v>45258.916666666664</v>
      </c>
      <c r="P7" s="2">
        <v>45266.770833333336</v>
      </c>
      <c r="Q7">
        <v>6</v>
      </c>
      <c r="S7" s="3"/>
      <c r="T7" s="4"/>
      <c r="U7" s="4"/>
      <c r="V7"/>
    </row>
    <row r="8" spans="1:22" ht="18" x14ac:dyDescent="0.3">
      <c r="A8" s="1" t="s">
        <v>165</v>
      </c>
      <c r="B8" s="1" t="s">
        <v>166</v>
      </c>
      <c r="C8" s="1" t="s">
        <v>167</v>
      </c>
      <c r="D8" t="s">
        <v>18</v>
      </c>
      <c r="E8" s="1" t="s">
        <v>18</v>
      </c>
      <c r="F8" s="1" t="s">
        <v>272</v>
      </c>
      <c r="G8" s="2">
        <v>45271.5</v>
      </c>
      <c r="H8" s="2">
        <v>45269.1875</v>
      </c>
      <c r="I8" s="2">
        <v>45269.916666666664</v>
      </c>
      <c r="J8" s="1" t="s">
        <v>132</v>
      </c>
      <c r="K8" s="2">
        <v>45264.5</v>
      </c>
      <c r="L8" s="2">
        <v>45267.1875</v>
      </c>
      <c r="M8" s="2">
        <v>45265.000694444447</v>
      </c>
      <c r="N8" s="2">
        <v>45268.625</v>
      </c>
      <c r="O8" s="2">
        <v>45263</v>
      </c>
      <c r="P8" s="2">
        <v>45268.5</v>
      </c>
      <c r="Q8">
        <v>7</v>
      </c>
      <c r="S8" s="4"/>
      <c r="T8" s="5" t="s">
        <v>3</v>
      </c>
      <c r="U8" s="5"/>
      <c r="V8"/>
    </row>
    <row r="9" spans="1:22" x14ac:dyDescent="0.3">
      <c r="A9" s="1" t="s">
        <v>198</v>
      </c>
      <c r="B9" s="1" t="s">
        <v>199</v>
      </c>
      <c r="C9" s="1" t="s">
        <v>200</v>
      </c>
      <c r="D9" t="s">
        <v>42</v>
      </c>
      <c r="E9" s="1" t="s">
        <v>24</v>
      </c>
      <c r="F9" s="1" t="s">
        <v>14</v>
      </c>
      <c r="G9" s="2">
        <v>45271.208333333336</v>
      </c>
      <c r="H9" s="2">
        <v>45270.229166666664</v>
      </c>
      <c r="I9" s="2">
        <v>45270.958333333336</v>
      </c>
      <c r="J9" s="1" t="s">
        <v>17</v>
      </c>
      <c r="K9" s="2">
        <v>45264.208333333336</v>
      </c>
      <c r="L9" s="2">
        <v>45268.229166666664</v>
      </c>
      <c r="M9" s="2">
        <v>45265.000694444447</v>
      </c>
      <c r="N9" s="2">
        <v>45268.708333333336</v>
      </c>
      <c r="O9" s="2">
        <v>45262.708333333336</v>
      </c>
      <c r="P9" s="2">
        <v>45268.708333333336</v>
      </c>
      <c r="Q9">
        <v>8</v>
      </c>
      <c r="S9" s="3"/>
      <c r="T9" s="4"/>
      <c r="U9" s="4"/>
      <c r="V9"/>
    </row>
    <row r="10" spans="1:22" x14ac:dyDescent="0.3">
      <c r="A10" s="1" t="s">
        <v>131</v>
      </c>
      <c r="B10" s="1" t="s">
        <v>201</v>
      </c>
      <c r="C10" s="1" t="s">
        <v>202</v>
      </c>
      <c r="D10" t="s">
        <v>45</v>
      </c>
      <c r="E10" s="1" t="s">
        <v>15</v>
      </c>
      <c r="F10" s="1" t="s">
        <v>14</v>
      </c>
      <c r="G10" s="2">
        <v>45271.000694444447</v>
      </c>
      <c r="H10" s="2">
        <v>45271</v>
      </c>
      <c r="I10" s="2">
        <v>45271.739583333336</v>
      </c>
      <c r="J10" s="1" t="s">
        <v>16</v>
      </c>
      <c r="K10" s="2">
        <v>45264.000694444447</v>
      </c>
      <c r="L10" s="2">
        <v>45269</v>
      </c>
      <c r="M10" s="2">
        <v>45265.000694444447</v>
      </c>
      <c r="N10" s="2">
        <v>45268.625</v>
      </c>
      <c r="O10" s="2">
        <v>45262.500694444447</v>
      </c>
      <c r="P10" s="2">
        <v>45268.500694444447</v>
      </c>
      <c r="Q10">
        <v>9</v>
      </c>
      <c r="S10" s="3"/>
      <c r="T10" s="4"/>
      <c r="U10" s="4"/>
      <c r="V10"/>
    </row>
    <row r="11" spans="1:22" x14ac:dyDescent="0.3">
      <c r="A11" s="1" t="s">
        <v>152</v>
      </c>
      <c r="B11" s="1" t="s">
        <v>216</v>
      </c>
      <c r="C11" s="1" t="s">
        <v>164</v>
      </c>
      <c r="D11" t="s">
        <v>44</v>
      </c>
      <c r="E11" s="1" t="s">
        <v>29</v>
      </c>
      <c r="F11" s="1" t="s">
        <v>30</v>
      </c>
      <c r="G11" s="2">
        <v>45271.208333333336</v>
      </c>
      <c r="H11" s="2">
        <v>45271.270833333336</v>
      </c>
      <c r="I11" s="2">
        <v>45271.895833333336</v>
      </c>
      <c r="J11" s="1" t="s">
        <v>13</v>
      </c>
      <c r="K11" s="2">
        <v>45264.208333333336</v>
      </c>
      <c r="L11" s="2">
        <v>45269.270833333336</v>
      </c>
      <c r="M11" s="2">
        <v>45265.000694444447</v>
      </c>
      <c r="N11" s="2">
        <v>45269.625</v>
      </c>
      <c r="O11" s="2">
        <v>45262.708333333336</v>
      </c>
      <c r="P11" s="2">
        <v>45266.5</v>
      </c>
      <c r="Q11">
        <v>10</v>
      </c>
      <c r="S11" s="3"/>
      <c r="T11" s="4"/>
      <c r="U11" s="4"/>
      <c r="V11"/>
    </row>
    <row r="12" spans="1:22" x14ac:dyDescent="0.3">
      <c r="A12" s="1" t="s">
        <v>69</v>
      </c>
      <c r="B12" s="1" t="s">
        <v>195</v>
      </c>
      <c r="C12" s="1" t="s">
        <v>196</v>
      </c>
      <c r="D12" t="s">
        <v>47</v>
      </c>
      <c r="E12" s="1" t="s">
        <v>25</v>
      </c>
      <c r="F12" s="1"/>
      <c r="G12" s="2">
        <v>45268.833333333336</v>
      </c>
      <c r="H12" s="2">
        <v>45271.291666666664</v>
      </c>
      <c r="I12" s="2">
        <v>45271.854166666664</v>
      </c>
      <c r="J12" s="1" t="s">
        <v>126</v>
      </c>
      <c r="K12" s="2">
        <v>45261.833333333336</v>
      </c>
      <c r="L12" s="2">
        <v>45269.291666666664</v>
      </c>
      <c r="M12" s="2">
        <v>45262.000694444447</v>
      </c>
      <c r="N12" s="2">
        <v>45270.5</v>
      </c>
      <c r="O12" s="2">
        <v>45260.333333333336</v>
      </c>
      <c r="P12" s="2">
        <v>45266.333333333336</v>
      </c>
      <c r="Q12">
        <v>11</v>
      </c>
      <c r="S12" s="3"/>
      <c r="T12" s="4"/>
      <c r="U12" s="4"/>
      <c r="V12"/>
    </row>
    <row r="13" spans="1:22" x14ac:dyDescent="0.3">
      <c r="A13" s="1" t="s">
        <v>64</v>
      </c>
      <c r="B13" s="1" t="s">
        <v>146</v>
      </c>
      <c r="C13" s="1" t="s">
        <v>140</v>
      </c>
      <c r="D13" t="s">
        <v>43</v>
      </c>
      <c r="E13" s="1" t="s">
        <v>22</v>
      </c>
      <c r="F13" s="1" t="s">
        <v>21</v>
      </c>
      <c r="G13" s="2">
        <v>45271.708333333336</v>
      </c>
      <c r="H13" s="2">
        <v>45272.552083333336</v>
      </c>
      <c r="I13" s="2">
        <v>45273.333333333336</v>
      </c>
      <c r="J13" s="1" t="s">
        <v>23</v>
      </c>
      <c r="K13" s="2">
        <v>45264.708333333336</v>
      </c>
      <c r="L13" s="2">
        <v>45270.552083333336</v>
      </c>
      <c r="M13" s="2">
        <v>45265.000694444447</v>
      </c>
      <c r="N13" s="2">
        <v>45270.625</v>
      </c>
      <c r="O13" s="2">
        <v>45263.208333333336</v>
      </c>
      <c r="P13" s="2">
        <v>45269.208333333336</v>
      </c>
      <c r="Q13">
        <v>12</v>
      </c>
      <c r="S13" s="3"/>
      <c r="T13" s="4"/>
      <c r="U13" s="4"/>
      <c r="V13"/>
    </row>
    <row r="14" spans="1:22" ht="18" x14ac:dyDescent="0.3">
      <c r="A14" s="1" t="s">
        <v>213</v>
      </c>
      <c r="B14" s="1" t="s">
        <v>214</v>
      </c>
      <c r="C14" s="1" t="s">
        <v>215</v>
      </c>
      <c r="D14" t="s">
        <v>18</v>
      </c>
      <c r="E14" s="1" t="s">
        <v>18</v>
      </c>
      <c r="F14" s="1" t="s">
        <v>19</v>
      </c>
      <c r="G14" s="2">
        <v>45275.208333333336</v>
      </c>
      <c r="H14" s="2">
        <v>45275.208333333336</v>
      </c>
      <c r="I14" s="2">
        <v>45276</v>
      </c>
      <c r="J14" s="1" t="s">
        <v>132</v>
      </c>
      <c r="K14" s="2">
        <v>45268.208333333336</v>
      </c>
      <c r="L14" s="2">
        <v>45273.208333333336</v>
      </c>
      <c r="M14" s="2">
        <v>45269.000694444447</v>
      </c>
      <c r="N14" s="2">
        <v>45273.625</v>
      </c>
      <c r="O14" s="2">
        <v>45271</v>
      </c>
      <c r="P14" s="2">
        <v>45273.5</v>
      </c>
      <c r="Q14">
        <v>13</v>
      </c>
      <c r="S14" s="4"/>
      <c r="T14" s="5" t="s">
        <v>34</v>
      </c>
      <c r="U14" s="5"/>
      <c r="V14"/>
    </row>
    <row r="15" spans="1:22" x14ac:dyDescent="0.3">
      <c r="A15" s="1" t="s">
        <v>67</v>
      </c>
      <c r="B15" s="1" t="s">
        <v>218</v>
      </c>
      <c r="C15" s="1" t="s">
        <v>219</v>
      </c>
      <c r="D15" t="s">
        <v>52</v>
      </c>
      <c r="E15" s="1" t="s">
        <v>37</v>
      </c>
      <c r="F15" s="1"/>
      <c r="G15" s="2">
        <v>45275.916666666664</v>
      </c>
      <c r="H15" s="2">
        <v>45276.166666666664</v>
      </c>
      <c r="I15" s="2">
        <v>45276.875</v>
      </c>
      <c r="J15" s="1" t="s">
        <v>63</v>
      </c>
      <c r="K15" s="2">
        <v>45268.916666666664</v>
      </c>
      <c r="L15" s="2">
        <v>45274.166666666664</v>
      </c>
      <c r="M15" s="2">
        <v>45269.000694444447</v>
      </c>
      <c r="N15" s="2">
        <v>45274.708333333336</v>
      </c>
      <c r="O15" s="2">
        <v>45265.916666666664</v>
      </c>
      <c r="P15" s="2">
        <v>45274.166666666664</v>
      </c>
      <c r="Q15">
        <v>14</v>
      </c>
      <c r="S15" s="3"/>
      <c r="T15" s="4"/>
      <c r="U15" s="4"/>
      <c r="V15"/>
    </row>
    <row r="16" spans="1:22" x14ac:dyDescent="0.3">
      <c r="A16" s="1" t="s">
        <v>220</v>
      </c>
      <c r="B16" s="1" t="s">
        <v>221</v>
      </c>
      <c r="C16" s="1" t="s">
        <v>222</v>
      </c>
      <c r="D16" t="s">
        <v>42</v>
      </c>
      <c r="E16" s="1" t="s">
        <v>24</v>
      </c>
      <c r="F16" s="1" t="s">
        <v>14</v>
      </c>
      <c r="G16" s="2">
        <v>45277.291666666664</v>
      </c>
      <c r="H16" s="2">
        <v>45277.291666666664</v>
      </c>
      <c r="I16" s="2">
        <v>45277.958333333336</v>
      </c>
      <c r="J16" s="1" t="s">
        <v>17</v>
      </c>
      <c r="K16" s="2">
        <v>45270.291666666664</v>
      </c>
      <c r="L16" s="2">
        <v>45275.291666666664</v>
      </c>
      <c r="M16" s="2">
        <v>45271.000694444447</v>
      </c>
      <c r="N16" s="2">
        <v>45275.625</v>
      </c>
      <c r="O16" s="2">
        <v>45268.791666666664</v>
      </c>
      <c r="P16" s="2">
        <v>45274.791666666664</v>
      </c>
      <c r="Q16">
        <v>15</v>
      </c>
      <c r="S16" s="3"/>
      <c r="T16" s="4"/>
      <c r="U16" s="4"/>
      <c r="V16"/>
    </row>
    <row r="17" spans="1:22" x14ac:dyDescent="0.3">
      <c r="A17" s="1" t="s">
        <v>68</v>
      </c>
      <c r="B17" s="1" t="s">
        <v>225</v>
      </c>
      <c r="C17" s="1" t="s">
        <v>226</v>
      </c>
      <c r="D17" t="s">
        <v>44</v>
      </c>
      <c r="E17" s="1" t="s">
        <v>29</v>
      </c>
      <c r="F17" s="1" t="s">
        <v>30</v>
      </c>
      <c r="G17" s="2">
        <v>45278.208333333336</v>
      </c>
      <c r="H17" s="2">
        <v>45278.25</v>
      </c>
      <c r="I17" s="2">
        <v>45278.875</v>
      </c>
      <c r="J17" s="1" t="s">
        <v>13</v>
      </c>
      <c r="K17" s="2">
        <v>45271.208333333336</v>
      </c>
      <c r="L17" s="2">
        <v>45276.25</v>
      </c>
      <c r="M17" s="2">
        <v>45272.000694444447</v>
      </c>
      <c r="N17" s="2">
        <v>45276.625</v>
      </c>
      <c r="O17" s="2">
        <v>45269.708333333336</v>
      </c>
      <c r="P17" s="2">
        <v>45275.708333333336</v>
      </c>
      <c r="Q17">
        <v>16</v>
      </c>
      <c r="S17" s="4"/>
      <c r="T17" s="4"/>
      <c r="U17" s="4"/>
      <c r="V17"/>
    </row>
    <row r="18" spans="1:22" x14ac:dyDescent="0.3">
      <c r="A18" s="1" t="s">
        <v>136</v>
      </c>
      <c r="B18" s="1" t="s">
        <v>160</v>
      </c>
      <c r="C18" s="1" t="s">
        <v>161</v>
      </c>
      <c r="D18" t="s">
        <v>42</v>
      </c>
      <c r="E18" s="1" t="s">
        <v>24</v>
      </c>
      <c r="F18" s="1" t="s">
        <v>14</v>
      </c>
      <c r="G18" s="2">
        <v>45281.291666666664</v>
      </c>
      <c r="H18" s="2">
        <v>45281.041666666664</v>
      </c>
      <c r="I18" s="2">
        <v>45281.5625</v>
      </c>
      <c r="J18" s="1" t="s">
        <v>17</v>
      </c>
      <c r="K18" s="2">
        <v>45274.291666666664</v>
      </c>
      <c r="L18" s="2">
        <v>45279.041666666664</v>
      </c>
      <c r="M18" s="2">
        <v>45275.000694444447</v>
      </c>
      <c r="N18" s="2">
        <v>45278.041666666664</v>
      </c>
      <c r="O18" s="2">
        <v>45272.791666666664</v>
      </c>
      <c r="P18" s="2">
        <v>45278.791666666664</v>
      </c>
      <c r="Q18">
        <v>17</v>
      </c>
      <c r="S18" s="4"/>
      <c r="T18" s="4"/>
      <c r="U18" s="4"/>
      <c r="V18"/>
    </row>
    <row r="19" spans="1:22" x14ac:dyDescent="0.3">
      <c r="A19" s="1" t="s">
        <v>217</v>
      </c>
      <c r="B19" s="1" t="s">
        <v>154</v>
      </c>
      <c r="C19" s="1" t="s">
        <v>154</v>
      </c>
      <c r="D19" t="s">
        <v>46</v>
      </c>
      <c r="E19" s="1" t="s">
        <v>26</v>
      </c>
      <c r="F19" s="1" t="s">
        <v>13</v>
      </c>
      <c r="G19" s="2">
        <v>45280.000694444447</v>
      </c>
      <c r="H19" s="2">
        <v>45281.458333333336</v>
      </c>
      <c r="I19" s="2">
        <v>45282.333333333336</v>
      </c>
      <c r="J19" s="1" t="s">
        <v>27</v>
      </c>
      <c r="K19" s="2">
        <v>45273.000694444447</v>
      </c>
      <c r="L19" s="2">
        <v>45279.458333333336</v>
      </c>
      <c r="M19" s="2">
        <v>45274.000694444447</v>
      </c>
      <c r="N19" s="2">
        <v>45278.625</v>
      </c>
      <c r="O19" s="2">
        <v>45271.500694444447</v>
      </c>
      <c r="P19" s="2">
        <v>45277.500694444447</v>
      </c>
      <c r="Q19">
        <v>18</v>
      </c>
      <c r="S19" s="4"/>
      <c r="T19" s="4"/>
      <c r="U19" s="4"/>
      <c r="V19"/>
    </row>
    <row r="20" spans="1:22" ht="18" x14ac:dyDescent="0.3">
      <c r="A20" s="1" t="s">
        <v>268</v>
      </c>
      <c r="B20" s="1" t="s">
        <v>263</v>
      </c>
      <c r="C20" s="1" t="s">
        <v>264</v>
      </c>
      <c r="D20" t="s">
        <v>47</v>
      </c>
      <c r="E20" s="1" t="s">
        <v>25</v>
      </c>
      <c r="F20" s="1"/>
      <c r="G20" s="2">
        <v>45282.833333333336</v>
      </c>
      <c r="H20" s="2">
        <v>45282.270833333336</v>
      </c>
      <c r="I20" s="2">
        <v>45283</v>
      </c>
      <c r="J20" s="1" t="s">
        <v>126</v>
      </c>
      <c r="K20" s="2">
        <v>45275.833333333336</v>
      </c>
      <c r="L20" s="2">
        <v>45280.270833333336</v>
      </c>
      <c r="M20" s="2">
        <v>45276.000694444447</v>
      </c>
      <c r="N20" s="2">
        <v>45279.270833333336</v>
      </c>
      <c r="O20" s="2">
        <v>45274.333333333336</v>
      </c>
      <c r="P20" s="2">
        <v>45280.333333333336</v>
      </c>
      <c r="Q20">
        <v>19</v>
      </c>
      <c r="S20" s="4"/>
      <c r="T20" s="5" t="s">
        <v>35</v>
      </c>
      <c r="U20" s="5"/>
      <c r="V20"/>
    </row>
    <row r="21" spans="1:22" x14ac:dyDescent="0.3">
      <c r="A21" s="1" t="s">
        <v>65</v>
      </c>
      <c r="B21" s="1" t="s">
        <v>197</v>
      </c>
      <c r="C21" s="1" t="s">
        <v>149</v>
      </c>
      <c r="D21" t="s">
        <v>43</v>
      </c>
      <c r="E21" s="1" t="s">
        <v>22</v>
      </c>
      <c r="F21" s="1" t="s">
        <v>21</v>
      </c>
      <c r="G21" s="2">
        <v>45283.583333333336</v>
      </c>
      <c r="H21" s="2">
        <v>45283.520833333336</v>
      </c>
      <c r="I21" s="2">
        <v>45284.25</v>
      </c>
      <c r="J21" s="1" t="s">
        <v>23</v>
      </c>
      <c r="K21" s="2">
        <v>45276.583333333336</v>
      </c>
      <c r="L21" s="2">
        <v>45281.520833333336</v>
      </c>
      <c r="M21" s="2">
        <v>45277.000694444447</v>
      </c>
      <c r="N21" s="2">
        <v>45282.5</v>
      </c>
      <c r="O21" s="2">
        <v>45275.083333333336</v>
      </c>
      <c r="P21" s="2">
        <v>45281.083333333336</v>
      </c>
      <c r="Q21">
        <v>20</v>
      </c>
      <c r="S21" s="4"/>
      <c r="T21" s="4"/>
      <c r="U21" s="4"/>
      <c r="V21"/>
    </row>
    <row r="22" spans="1:22" x14ac:dyDescent="0.3">
      <c r="A22" s="1" t="s">
        <v>67</v>
      </c>
      <c r="B22" s="1" t="s">
        <v>249</v>
      </c>
      <c r="C22" s="1" t="s">
        <v>250</v>
      </c>
      <c r="D22" t="s">
        <v>52</v>
      </c>
      <c r="E22" s="1" t="s">
        <v>37</v>
      </c>
      <c r="F22" s="1"/>
      <c r="G22" s="2">
        <v>45282.916666666664</v>
      </c>
      <c r="H22" s="2">
        <v>45282.791666666664</v>
      </c>
      <c r="I22" s="2">
        <v>45283.5</v>
      </c>
      <c r="J22" s="1" t="s">
        <v>63</v>
      </c>
      <c r="K22" s="2">
        <v>45275.916666666664</v>
      </c>
      <c r="L22" s="2">
        <v>45280.791666666664</v>
      </c>
      <c r="M22" s="2">
        <v>45276.000694444447</v>
      </c>
      <c r="N22" s="2">
        <v>45279.791666666664</v>
      </c>
      <c r="O22" s="2">
        <v>45272.916666666664</v>
      </c>
      <c r="P22" s="2">
        <v>45280.791666666664</v>
      </c>
      <c r="Q22">
        <v>21</v>
      </c>
      <c r="S22" s="4"/>
      <c r="T22" s="4"/>
      <c r="U22" s="4"/>
      <c r="V22"/>
    </row>
    <row r="23" spans="1:22" x14ac:dyDescent="0.3">
      <c r="A23" s="1" t="s">
        <v>239</v>
      </c>
      <c r="B23" s="1" t="s">
        <v>240</v>
      </c>
      <c r="C23" s="1" t="s">
        <v>241</v>
      </c>
      <c r="D23" t="s">
        <v>18</v>
      </c>
      <c r="E23" s="1" t="s">
        <v>18</v>
      </c>
      <c r="F23" s="1" t="s">
        <v>13</v>
      </c>
      <c r="G23" s="2">
        <v>45283.833333333336</v>
      </c>
      <c r="H23" s="2">
        <v>45283.854166666664</v>
      </c>
      <c r="I23" s="2">
        <v>45284.5625</v>
      </c>
      <c r="J23" s="1" t="s">
        <v>132</v>
      </c>
      <c r="K23" s="2">
        <v>45276.833333333336</v>
      </c>
      <c r="L23" s="2">
        <v>45281.854166666664</v>
      </c>
      <c r="M23" s="2">
        <v>45277.000694444447</v>
      </c>
      <c r="N23" s="2">
        <v>45281.625</v>
      </c>
      <c r="O23" s="2">
        <v>45275.333333333336</v>
      </c>
      <c r="P23" s="2">
        <v>45281.333333333336</v>
      </c>
      <c r="Q23">
        <v>22</v>
      </c>
      <c r="S23" s="4"/>
      <c r="T23" s="4"/>
      <c r="U23" s="4"/>
      <c r="V23"/>
    </row>
    <row r="24" spans="1:22" x14ac:dyDescent="0.3">
      <c r="A24" s="1" t="s">
        <v>251</v>
      </c>
      <c r="B24" s="1" t="s">
        <v>252</v>
      </c>
      <c r="C24" s="1" t="s">
        <v>253</v>
      </c>
      <c r="D24" t="s">
        <v>42</v>
      </c>
      <c r="E24" s="1" t="s">
        <v>24</v>
      </c>
      <c r="F24" s="1" t="s">
        <v>14</v>
      </c>
      <c r="G24" s="2">
        <v>45284.291666666664</v>
      </c>
      <c r="H24" s="2">
        <v>45284.291666666664</v>
      </c>
      <c r="I24" s="2">
        <v>45284.958333333336</v>
      </c>
      <c r="J24" s="1" t="s">
        <v>17</v>
      </c>
      <c r="K24" s="2">
        <v>45277.291666666664</v>
      </c>
      <c r="L24" s="2">
        <v>45282.291666666664</v>
      </c>
      <c r="M24" s="2">
        <v>45278.000694444447</v>
      </c>
      <c r="N24" s="2">
        <v>45282.625</v>
      </c>
      <c r="O24" s="2">
        <v>45275.791666666664</v>
      </c>
      <c r="P24" s="2">
        <v>45281.791666666664</v>
      </c>
      <c r="Q24">
        <v>23</v>
      </c>
      <c r="S24" s="4"/>
      <c r="T24" s="4"/>
      <c r="U24" s="4"/>
      <c r="V24"/>
    </row>
    <row r="25" spans="1:22" x14ac:dyDescent="0.3">
      <c r="A25" s="1" t="s">
        <v>254</v>
      </c>
      <c r="B25" s="1" t="s">
        <v>255</v>
      </c>
      <c r="C25" s="1" t="s">
        <v>256</v>
      </c>
      <c r="D25" t="s">
        <v>45</v>
      </c>
      <c r="E25" s="1" t="s">
        <v>15</v>
      </c>
      <c r="F25" s="1" t="s">
        <v>14</v>
      </c>
      <c r="G25" s="2">
        <v>45286.000694444447</v>
      </c>
      <c r="H25" s="2">
        <v>45286.166666666664</v>
      </c>
      <c r="I25" s="2">
        <v>45286.875</v>
      </c>
      <c r="J25" s="1" t="s">
        <v>16</v>
      </c>
      <c r="K25" s="2">
        <v>45279.000694444447</v>
      </c>
      <c r="L25" s="2">
        <v>45284.166666666664</v>
      </c>
      <c r="M25" s="2">
        <v>45280.000694444447</v>
      </c>
      <c r="N25" s="2">
        <v>45283.166666666664</v>
      </c>
      <c r="O25" s="2">
        <v>45277.500694444447</v>
      </c>
      <c r="P25" s="2">
        <v>45283.500694444447</v>
      </c>
      <c r="Q25">
        <v>24</v>
      </c>
      <c r="S25" s="4"/>
      <c r="T25" s="4"/>
      <c r="U25" s="4"/>
      <c r="V25"/>
    </row>
    <row r="26" spans="1:22" x14ac:dyDescent="0.3">
      <c r="A26" s="1" t="s">
        <v>244</v>
      </c>
      <c r="B26" s="1" t="s">
        <v>171</v>
      </c>
      <c r="C26" s="1" t="s">
        <v>171</v>
      </c>
      <c r="D26" t="s">
        <v>46</v>
      </c>
      <c r="E26" s="1" t="s">
        <v>26</v>
      </c>
      <c r="F26" s="1" t="s">
        <v>13</v>
      </c>
      <c r="G26" s="2">
        <v>45286.000694444447</v>
      </c>
      <c r="H26" s="2">
        <v>45286.167361111111</v>
      </c>
      <c r="I26" s="2">
        <v>45287.041666666664</v>
      </c>
      <c r="J26" s="1" t="s">
        <v>28</v>
      </c>
      <c r="K26" s="2">
        <v>45279.000694444447</v>
      </c>
      <c r="L26" s="2">
        <v>45284.167361111111</v>
      </c>
      <c r="M26" s="2">
        <v>45280.000694444447</v>
      </c>
      <c r="N26" s="2">
        <v>45283.167361111111</v>
      </c>
      <c r="O26" s="2">
        <v>45277.500694444447</v>
      </c>
      <c r="P26" s="2">
        <v>45283.500694444447</v>
      </c>
      <c r="Q26">
        <v>25</v>
      </c>
      <c r="S26" s="4"/>
      <c r="T26" s="4"/>
      <c r="U26" s="6"/>
      <c r="V26"/>
    </row>
    <row r="27" spans="1:22" x14ac:dyDescent="0.3">
      <c r="A27" s="1" t="s">
        <v>152</v>
      </c>
      <c r="B27" s="1" t="s">
        <v>225</v>
      </c>
      <c r="C27" s="1" t="s">
        <v>226</v>
      </c>
      <c r="D27" t="s">
        <v>44</v>
      </c>
      <c r="E27" s="1" t="s">
        <v>29</v>
      </c>
      <c r="F27" s="1" t="s">
        <v>30</v>
      </c>
      <c r="G27" s="2">
        <v>45286.208333333336</v>
      </c>
      <c r="H27" s="2">
        <v>45286.229166666664</v>
      </c>
      <c r="I27" s="2">
        <v>45286.854166666664</v>
      </c>
      <c r="J27" s="1" t="s">
        <v>13</v>
      </c>
      <c r="K27" s="2">
        <v>45279.208333333336</v>
      </c>
      <c r="L27" s="2">
        <v>45284.229166666664</v>
      </c>
      <c r="M27" s="2">
        <v>45280.000694444447</v>
      </c>
      <c r="N27" s="2">
        <v>45283.229166666664</v>
      </c>
      <c r="O27" s="2">
        <v>45277.708333333336</v>
      </c>
      <c r="P27" s="2">
        <v>45283.708333333336</v>
      </c>
      <c r="Q27">
        <v>26</v>
      </c>
      <c r="S27" s="4"/>
      <c r="T27" s="4"/>
      <c r="U27" s="4"/>
      <c r="V27"/>
    </row>
    <row r="28" spans="1:22" x14ac:dyDescent="0.3">
      <c r="A28" s="1" t="s">
        <v>265</v>
      </c>
      <c r="B28" s="1" t="s">
        <v>153</v>
      </c>
      <c r="C28" s="1" t="s">
        <v>181</v>
      </c>
      <c r="D28" t="s">
        <v>46</v>
      </c>
      <c r="E28" s="1" t="s">
        <v>26</v>
      </c>
      <c r="F28" s="1" t="s">
        <v>13</v>
      </c>
      <c r="G28" s="2">
        <v>45288.000694444447</v>
      </c>
      <c r="H28" s="2">
        <v>45290.364583333336</v>
      </c>
      <c r="I28" s="2">
        <v>45291.239583333336</v>
      </c>
      <c r="J28" s="1" t="s">
        <v>27</v>
      </c>
      <c r="K28" s="2">
        <v>45281.000694444447</v>
      </c>
      <c r="L28" s="2">
        <v>45288.364583333336</v>
      </c>
      <c r="M28" s="2">
        <v>45282.000694444447</v>
      </c>
      <c r="N28" s="2">
        <v>45286.5</v>
      </c>
      <c r="O28" s="2">
        <v>45279.500694444447</v>
      </c>
      <c r="P28" s="2">
        <v>45285.500694444447</v>
      </c>
      <c r="Q28">
        <v>27</v>
      </c>
      <c r="S28" s="4"/>
      <c r="T28" s="4"/>
      <c r="U28" s="4"/>
      <c r="V28"/>
    </row>
    <row r="29" spans="1:22" x14ac:dyDescent="0.3">
      <c r="A29" s="1" t="s">
        <v>273</v>
      </c>
      <c r="B29" s="1" t="s">
        <v>274</v>
      </c>
      <c r="C29" s="1" t="s">
        <v>275</v>
      </c>
      <c r="D29" t="s">
        <v>42</v>
      </c>
      <c r="E29" s="1" t="s">
        <v>24</v>
      </c>
      <c r="F29" s="1" t="s">
        <v>14</v>
      </c>
      <c r="G29" s="2">
        <v>45291.291666666664</v>
      </c>
      <c r="H29" s="2">
        <v>45291.291666666664</v>
      </c>
      <c r="I29" s="2">
        <v>45291.958333333336</v>
      </c>
      <c r="J29" s="1" t="s">
        <v>17</v>
      </c>
      <c r="K29" s="2">
        <v>45284.291666666664</v>
      </c>
      <c r="L29" s="2">
        <v>45289.291666666664</v>
      </c>
      <c r="M29" s="2">
        <v>45285.000694444447</v>
      </c>
      <c r="N29" s="2">
        <v>45289.625</v>
      </c>
      <c r="O29" s="2">
        <v>45282.791666666664</v>
      </c>
      <c r="P29" s="2">
        <v>45288.791666666664</v>
      </c>
      <c r="Q29">
        <v>28</v>
      </c>
      <c r="V29"/>
    </row>
    <row r="30" spans="1:22" x14ac:dyDescent="0.3">
      <c r="A30" s="1" t="s">
        <v>67</v>
      </c>
      <c r="B30" s="1" t="s">
        <v>270</v>
      </c>
      <c r="C30" s="1" t="s">
        <v>271</v>
      </c>
      <c r="D30" t="s">
        <v>52</v>
      </c>
      <c r="E30" s="1" t="s">
        <v>37</v>
      </c>
      <c r="F30" s="1"/>
      <c r="G30" s="2">
        <v>45289.916666666664</v>
      </c>
      <c r="H30" s="2">
        <v>45289.916666666664</v>
      </c>
      <c r="I30" s="2">
        <v>45290.5</v>
      </c>
      <c r="J30" s="1" t="s">
        <v>63</v>
      </c>
      <c r="K30" s="2">
        <v>45282.916666666664</v>
      </c>
      <c r="L30" s="2">
        <v>45287.916666666664</v>
      </c>
      <c r="M30" s="2">
        <v>45283.000694444447</v>
      </c>
      <c r="N30" s="2">
        <v>45286.916666666664</v>
      </c>
      <c r="O30" s="2">
        <v>45279.916666666664</v>
      </c>
      <c r="P30" s="2">
        <v>45287.916666666664</v>
      </c>
      <c r="Q30">
        <v>29</v>
      </c>
      <c r="V30"/>
    </row>
    <row r="31" spans="1:22" x14ac:dyDescent="0.3">
      <c r="A31" s="1" t="s">
        <v>276</v>
      </c>
      <c r="B31" s="1" t="s">
        <v>277</v>
      </c>
      <c r="C31" s="1" t="s">
        <v>278</v>
      </c>
      <c r="D31" t="s">
        <v>45</v>
      </c>
      <c r="E31" s="1" t="s">
        <v>15</v>
      </c>
      <c r="F31" s="1" t="s">
        <v>14</v>
      </c>
      <c r="G31" s="2">
        <v>45292.000694444447</v>
      </c>
      <c r="H31" s="2">
        <v>45292.000694444447</v>
      </c>
      <c r="I31" s="2">
        <v>45292.708333333336</v>
      </c>
      <c r="J31" s="1" t="s">
        <v>16</v>
      </c>
      <c r="K31" s="2">
        <v>45285.000694444447</v>
      </c>
      <c r="L31" s="2">
        <v>45290.000694444447</v>
      </c>
      <c r="M31" s="2">
        <v>45286.000694444447</v>
      </c>
      <c r="N31" s="2">
        <v>45289.000694444447</v>
      </c>
      <c r="O31" s="2">
        <v>45283.500694444447</v>
      </c>
      <c r="P31" s="2">
        <v>45289.500694444447</v>
      </c>
      <c r="Q31">
        <v>30</v>
      </c>
      <c r="V31"/>
    </row>
    <row r="32" spans="1:22" x14ac:dyDescent="0.3">
      <c r="A32" s="1" t="s">
        <v>68</v>
      </c>
      <c r="B32" s="1" t="s">
        <v>279</v>
      </c>
      <c r="C32" s="1" t="s">
        <v>280</v>
      </c>
      <c r="D32" t="s">
        <v>44</v>
      </c>
      <c r="E32" s="1" t="s">
        <v>29</v>
      </c>
      <c r="F32" s="1" t="s">
        <v>30</v>
      </c>
      <c r="G32" s="2">
        <v>45292.208333333336</v>
      </c>
      <c r="H32" s="2">
        <v>45292.329861111109</v>
      </c>
      <c r="I32" s="2">
        <v>45292.954861111109</v>
      </c>
      <c r="J32" s="1" t="s">
        <v>13</v>
      </c>
      <c r="K32" s="2">
        <v>45285.208333333336</v>
      </c>
      <c r="L32" s="2">
        <v>45290.329861111109</v>
      </c>
      <c r="M32" s="2">
        <v>45286.000694444447</v>
      </c>
      <c r="N32" s="2">
        <v>45289.329861111109</v>
      </c>
      <c r="O32" s="2">
        <v>45283.708333333336</v>
      </c>
      <c r="P32" s="2">
        <v>45289.708333333336</v>
      </c>
      <c r="Q32">
        <v>31</v>
      </c>
      <c r="V32"/>
    </row>
    <row r="33" spans="1:22" x14ac:dyDescent="0.3">
      <c r="A33" s="1" t="s">
        <v>285</v>
      </c>
      <c r="B33" s="1" t="s">
        <v>286</v>
      </c>
      <c r="C33" s="1" t="s">
        <v>287</v>
      </c>
      <c r="D33" t="s">
        <v>18</v>
      </c>
      <c r="E33" s="1" t="s">
        <v>18</v>
      </c>
      <c r="F33" s="1" t="s">
        <v>272</v>
      </c>
      <c r="G33" s="2">
        <v>45293.5</v>
      </c>
      <c r="H33" s="2">
        <v>45293.083333333336</v>
      </c>
      <c r="I33" s="2">
        <v>45294.125</v>
      </c>
      <c r="J33" s="1" t="s">
        <v>132</v>
      </c>
      <c r="K33" s="2">
        <v>45286.5</v>
      </c>
      <c r="L33" s="2">
        <v>45291.083333333336</v>
      </c>
      <c r="M33" s="2">
        <v>45287.000694444447</v>
      </c>
      <c r="N33" s="2">
        <v>45291.625</v>
      </c>
      <c r="O33" s="2">
        <v>45285</v>
      </c>
      <c r="P33" s="2">
        <v>45291</v>
      </c>
      <c r="Q33">
        <v>32</v>
      </c>
      <c r="V33"/>
    </row>
    <row r="34" spans="1:22" x14ac:dyDescent="0.3">
      <c r="A34" s="1" t="s">
        <v>66</v>
      </c>
      <c r="B34" s="1" t="s">
        <v>197</v>
      </c>
      <c r="C34" s="1" t="s">
        <v>149</v>
      </c>
      <c r="D34" t="s">
        <v>43</v>
      </c>
      <c r="E34" s="1" t="s">
        <v>22</v>
      </c>
      <c r="F34" s="1" t="s">
        <v>14</v>
      </c>
      <c r="G34" s="2">
        <v>45293.166666666664</v>
      </c>
      <c r="H34" s="2">
        <v>45293.583333333336</v>
      </c>
      <c r="I34" s="2">
        <v>45294.25</v>
      </c>
      <c r="J34" s="1" t="s">
        <v>13</v>
      </c>
      <c r="K34" s="2">
        <v>45286.166666666664</v>
      </c>
      <c r="L34" s="2">
        <v>45291.583333333336</v>
      </c>
      <c r="M34" s="2">
        <v>45287.000694444447</v>
      </c>
      <c r="N34" s="2">
        <v>45290.583333333336</v>
      </c>
      <c r="O34" s="2">
        <v>45284.666666666664</v>
      </c>
      <c r="P34" s="2">
        <v>45290.666666666664</v>
      </c>
      <c r="Q34">
        <v>33</v>
      </c>
      <c r="V34"/>
    </row>
    <row r="35" spans="1:22" x14ac:dyDescent="0.3">
      <c r="A35" s="1" t="s">
        <v>289</v>
      </c>
      <c r="B35" s="1" t="s">
        <v>170</v>
      </c>
      <c r="C35" s="1" t="s">
        <v>207</v>
      </c>
      <c r="D35" t="s">
        <v>46</v>
      </c>
      <c r="E35" s="1" t="s">
        <v>26</v>
      </c>
      <c r="F35" s="1" t="s">
        <v>13</v>
      </c>
      <c r="G35" s="2">
        <v>45295.000694444447</v>
      </c>
      <c r="H35" s="2">
        <v>45295.000694444447</v>
      </c>
      <c r="I35" s="2">
        <v>45296.875</v>
      </c>
      <c r="J35" s="1" t="s">
        <v>28</v>
      </c>
      <c r="K35" s="2">
        <v>45288.000694444447</v>
      </c>
      <c r="L35" s="2">
        <v>45293.000694444447</v>
      </c>
      <c r="M35" s="2">
        <v>45289.000694444447</v>
      </c>
      <c r="N35" s="2">
        <v>45292.000694444447</v>
      </c>
      <c r="O35" s="2">
        <v>45286.500694444447</v>
      </c>
      <c r="P35" s="2">
        <v>45292.500694444447</v>
      </c>
      <c r="Q35">
        <v>34</v>
      </c>
      <c r="V35"/>
    </row>
    <row r="36" spans="1:22" x14ac:dyDescent="0.3">
      <c r="V36"/>
    </row>
    <row r="37" spans="1:22" x14ac:dyDescent="0.3">
      <c r="V37"/>
    </row>
    <row r="38" spans="1:22" x14ac:dyDescent="0.3">
      <c r="V38"/>
    </row>
    <row r="39" spans="1:22" x14ac:dyDescent="0.3">
      <c r="V39"/>
    </row>
    <row r="40" spans="1:22" x14ac:dyDescent="0.3">
      <c r="V40"/>
    </row>
    <row r="41" spans="1:22" x14ac:dyDescent="0.3">
      <c r="V41"/>
    </row>
    <row r="42" spans="1:22" x14ac:dyDescent="0.3">
      <c r="V42"/>
    </row>
    <row r="43" spans="1:22" x14ac:dyDescent="0.3">
      <c r="V43"/>
    </row>
    <row r="44" spans="1:22" x14ac:dyDescent="0.3">
      <c r="V44"/>
    </row>
    <row r="45" spans="1:22" x14ac:dyDescent="0.3">
      <c r="V45"/>
    </row>
    <row r="46" spans="1:22" x14ac:dyDescent="0.3">
      <c r="V46"/>
    </row>
    <row r="47" spans="1:22" x14ac:dyDescent="0.3">
      <c r="V47"/>
    </row>
    <row r="48" spans="1:22" x14ac:dyDescent="0.3">
      <c r="V48"/>
    </row>
    <row r="49" spans="22:22" x14ac:dyDescent="0.3">
      <c r="V49"/>
    </row>
    <row r="50" spans="22:22" x14ac:dyDescent="0.3">
      <c r="V50"/>
    </row>
    <row r="51" spans="22:22" x14ac:dyDescent="0.3">
      <c r="V51"/>
    </row>
    <row r="52" spans="22:22" x14ac:dyDescent="0.3">
      <c r="V52"/>
    </row>
    <row r="53" spans="22:22" x14ac:dyDescent="0.3">
      <c r="V53"/>
    </row>
    <row r="54" spans="22:22" x14ac:dyDescent="0.3">
      <c r="V54"/>
    </row>
    <row r="55" spans="22:22" x14ac:dyDescent="0.3">
      <c r="V55"/>
    </row>
    <row r="56" spans="22:22" x14ac:dyDescent="0.3">
      <c r="V56"/>
    </row>
    <row r="57" spans="22:22" x14ac:dyDescent="0.3">
      <c r="V57"/>
    </row>
    <row r="58" spans="22:22" x14ac:dyDescent="0.3">
      <c r="V58"/>
    </row>
    <row r="59" spans="22:22" x14ac:dyDescent="0.3">
      <c r="V59"/>
    </row>
    <row r="60" spans="22:22" x14ac:dyDescent="0.3">
      <c r="V60"/>
    </row>
    <row r="61" spans="22:22" x14ac:dyDescent="0.3">
      <c r="V61"/>
    </row>
    <row r="62" spans="22:22" x14ac:dyDescent="0.3">
      <c r="V62"/>
    </row>
    <row r="63" spans="22:22" x14ac:dyDescent="0.3">
      <c r="V63"/>
    </row>
    <row r="64" spans="22:22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</sheetData>
  <sheetProtection formatCells="0" formatColumns="0" formatRows="0" sort="0" autoFilter="0"/>
  <dataConsolidate/>
  <phoneticPr fontId="2" type="noConversion"/>
  <conditionalFormatting sqref="V78:XFD82">
    <cfRule type="expression" dxfId="38" priority="6">
      <formula>#REF!="PAD"</formula>
    </cfRule>
  </conditionalFormatting>
  <conditionalFormatting sqref="R70:XFD75 V77:XFD77 U76:XFD76">
    <cfRule type="expression" dxfId="37" priority="8">
      <formula>#REF!="PAD"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DService">
              <controlPr defaultSize="0" autoLine="0" autoPict="0" macro="[0]!ServiceRefreshDS">
                <anchor moveWithCells="1">
                  <from>
                    <xdr:col>18</xdr:col>
                    <xdr:colOff>38100</xdr:colOff>
                    <xdr:row>9</xdr:row>
                    <xdr:rowOff>53340</xdr:rowOff>
                  </from>
                  <to>
                    <xdr:col>20</xdr:col>
                    <xdr:colOff>647700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DVessel">
              <controlPr defaultSize="0" autoLine="0" autoPict="0" macro="[0]!VesselRefreshDS">
                <anchor moveWithCells="1">
                  <from>
                    <xdr:col>18</xdr:col>
                    <xdr:colOff>15240</xdr:colOff>
                    <xdr:row>15</xdr:row>
                    <xdr:rowOff>83820</xdr:rowOff>
                  </from>
                  <to>
                    <xdr:col>20</xdr:col>
                    <xdr:colOff>647700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DVoyage">
              <controlPr defaultSize="0" autoLine="0" autoPict="0" macro="[0]!VoyageRefreshDS">
                <anchor moveWithCells="1">
                  <from>
                    <xdr:col>18</xdr:col>
                    <xdr:colOff>15240</xdr:colOff>
                    <xdr:row>21</xdr:row>
                    <xdr:rowOff>68580</xdr:rowOff>
                  </from>
                  <to>
                    <xdr:col>21</xdr:col>
                    <xdr:colOff>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 macro="[0]!RefreshDS" altText="Only ANL/CMA vessels">
                <anchor moveWithCells="1">
                  <from>
                    <xdr:col>18</xdr:col>
                    <xdr:colOff>259080</xdr:colOff>
                    <xdr:row>23</xdr:row>
                    <xdr:rowOff>121920</xdr:rowOff>
                  </from>
                  <to>
                    <xdr:col>20</xdr:col>
                    <xdr:colOff>327660</xdr:colOff>
                    <xdr:row>26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" id="{53E4E88A-A6FB-42A3-9BD0-F77FDF93E3D5}">
            <xm:f>$Q1=Calculation!$AA$45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36" id="{00000000-000E-0000-0000-000001000000}">
            <xm:f>$D1=Calculation!$N$8</xm:f>
            <x14:dxf>
              <font>
                <color theme="0"/>
              </font>
              <fill>
                <patternFill>
                  <bgColor rgb="FF00355C"/>
                </patternFill>
              </fill>
            </x14:dxf>
          </x14:cfRule>
          <xm:sqref>A1:P35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A674-D77B-480E-B559-1F728D3136F2}">
  <sheetPr codeName="Sheet3"/>
  <dimension ref="A1:B10"/>
  <sheetViews>
    <sheetView workbookViewId="0">
      <selection activeCell="J8" sqref="J8"/>
    </sheetView>
  </sheetViews>
  <sheetFormatPr defaultRowHeight="14.4" x14ac:dyDescent="0.3"/>
  <cols>
    <col min="1" max="1" width="8" bestFit="1" customWidth="1"/>
    <col min="2" max="2" width="10.88671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 s="1" t="s">
        <v>24</v>
      </c>
      <c r="B2" s="1" t="s">
        <v>42</v>
      </c>
    </row>
    <row r="3" spans="1:2" x14ac:dyDescent="0.3">
      <c r="A3" s="1" t="s">
        <v>22</v>
      </c>
      <c r="B3" s="1" t="s">
        <v>43</v>
      </c>
    </row>
    <row r="4" spans="1:2" x14ac:dyDescent="0.3">
      <c r="A4" s="1" t="s">
        <v>29</v>
      </c>
      <c r="B4" s="1" t="s">
        <v>44</v>
      </c>
    </row>
    <row r="5" spans="1:2" x14ac:dyDescent="0.3">
      <c r="A5" s="1" t="s">
        <v>15</v>
      </c>
      <c r="B5" s="1" t="s">
        <v>45</v>
      </c>
    </row>
    <row r="6" spans="1:2" x14ac:dyDescent="0.3">
      <c r="A6" s="1" t="s">
        <v>26</v>
      </c>
      <c r="B6" s="1" t="s">
        <v>46</v>
      </c>
    </row>
    <row r="7" spans="1:2" x14ac:dyDescent="0.3">
      <c r="A7" s="1" t="s">
        <v>18</v>
      </c>
      <c r="B7" s="1" t="s">
        <v>18</v>
      </c>
    </row>
    <row r="8" spans="1:2" x14ac:dyDescent="0.3">
      <c r="A8" s="1" t="s">
        <v>25</v>
      </c>
      <c r="B8" s="1" t="s">
        <v>47</v>
      </c>
    </row>
    <row r="9" spans="1:2" x14ac:dyDescent="0.3">
      <c r="A9" s="1" t="s">
        <v>20</v>
      </c>
      <c r="B9" s="1" t="s">
        <v>49</v>
      </c>
    </row>
    <row r="10" spans="1:2" x14ac:dyDescent="0.3">
      <c r="A10" s="1" t="s">
        <v>37</v>
      </c>
      <c r="B10" s="1" t="s">
        <v>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7F1B-4679-4BFD-A762-77361F00DC3B}">
  <sheetPr codeName="Sheet5"/>
  <dimension ref="A1:P238"/>
  <sheetViews>
    <sheetView workbookViewId="0">
      <selection sqref="A1:P196"/>
    </sheetView>
  </sheetViews>
  <sheetFormatPr defaultRowHeight="14.4" x14ac:dyDescent="0.3"/>
  <cols>
    <col min="1" max="1" width="15.6640625" bestFit="1" customWidth="1"/>
    <col min="2" max="2" width="23.44140625" bestFit="1" customWidth="1"/>
    <col min="3" max="3" width="18.77734375" bestFit="1" customWidth="1"/>
    <col min="4" max="4" width="20.33203125" bestFit="1" customWidth="1"/>
    <col min="5" max="5" width="19" bestFit="1" customWidth="1"/>
    <col min="6" max="6" width="28.21875" bestFit="1" customWidth="1"/>
    <col min="7" max="7" width="15.88671875" bestFit="1" customWidth="1"/>
    <col min="8" max="9" width="15.6640625" bestFit="1" customWidth="1"/>
    <col min="10" max="10" width="17" bestFit="1" customWidth="1"/>
    <col min="11" max="11" width="19.77734375" bestFit="1" customWidth="1"/>
    <col min="12" max="12" width="30.5546875" bestFit="1" customWidth="1"/>
    <col min="13" max="13" width="27.109375" bestFit="1" customWidth="1"/>
    <col min="14" max="14" width="17.88671875" bestFit="1" customWidth="1"/>
    <col min="15" max="15" width="20.6640625" bestFit="1" customWidth="1"/>
    <col min="16" max="16" width="18.77734375" bestFit="1" customWidth="1"/>
    <col min="17" max="17" width="18.6640625" bestFit="1" customWidth="1"/>
    <col min="18" max="18" width="7.88671875" bestFit="1" customWidth="1"/>
  </cols>
  <sheetData>
    <row r="1" spans="1:16" x14ac:dyDescent="0.3">
      <c r="A1" t="s">
        <v>78</v>
      </c>
      <c r="B1" t="s">
        <v>0</v>
      </c>
      <c r="C1" t="s">
        <v>1</v>
      </c>
      <c r="D1" t="s">
        <v>2</v>
      </c>
      <c r="E1" t="s">
        <v>50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51</v>
      </c>
      <c r="P1" t="s">
        <v>38</v>
      </c>
    </row>
    <row r="2" spans="1:16" x14ac:dyDescent="0.3">
      <c r="A2" s="2">
        <v>45267.367361111108</v>
      </c>
      <c r="B2" s="1" t="s">
        <v>159</v>
      </c>
      <c r="C2" s="1" t="s">
        <v>143</v>
      </c>
      <c r="D2" s="1" t="s">
        <v>144</v>
      </c>
      <c r="E2" s="1" t="s">
        <v>46</v>
      </c>
      <c r="F2" s="1" t="s">
        <v>13</v>
      </c>
      <c r="G2" s="2">
        <v>45260.000694444447</v>
      </c>
      <c r="H2" s="2">
        <v>45263.304166666669</v>
      </c>
      <c r="I2" s="2">
        <v>45264.382638888892</v>
      </c>
      <c r="J2" s="1" t="s">
        <v>27</v>
      </c>
      <c r="K2" s="2">
        <v>45253.000694444447</v>
      </c>
      <c r="L2" s="2">
        <v>45261.291666666664</v>
      </c>
      <c r="M2" s="2">
        <v>45254.000694444447</v>
      </c>
      <c r="N2" s="2">
        <v>45261.5</v>
      </c>
      <c r="O2" s="2">
        <v>45251.500694444447</v>
      </c>
      <c r="P2" s="2">
        <v>45257.500694444447</v>
      </c>
    </row>
    <row r="3" spans="1:16" x14ac:dyDescent="0.3">
      <c r="A3" s="2">
        <v>45267.367361111108</v>
      </c>
      <c r="B3" s="1" t="s">
        <v>187</v>
      </c>
      <c r="C3" s="1" t="s">
        <v>148</v>
      </c>
      <c r="D3" s="1" t="s">
        <v>148</v>
      </c>
      <c r="E3" s="1" t="s">
        <v>46</v>
      </c>
      <c r="F3" s="1" t="s">
        <v>19</v>
      </c>
      <c r="G3" s="2">
        <v>45267.25</v>
      </c>
      <c r="H3" s="2">
        <v>45267.236111111109</v>
      </c>
      <c r="I3" s="2">
        <v>45268</v>
      </c>
      <c r="J3" s="1" t="s">
        <v>28</v>
      </c>
      <c r="K3" s="2">
        <v>45260.25</v>
      </c>
      <c r="L3" s="2">
        <v>45265.1875</v>
      </c>
      <c r="M3" s="2">
        <v>45261.000694444447</v>
      </c>
      <c r="N3" s="2">
        <v>45265.5</v>
      </c>
      <c r="O3" s="2">
        <v>45258.75</v>
      </c>
      <c r="P3" s="2">
        <v>45264.75</v>
      </c>
    </row>
    <row r="4" spans="1:16" x14ac:dyDescent="0.3">
      <c r="A4" s="2">
        <v>45267.367361111108</v>
      </c>
      <c r="B4" s="1" t="s">
        <v>156</v>
      </c>
      <c r="C4" s="1" t="s">
        <v>157</v>
      </c>
      <c r="D4" s="1" t="s">
        <v>158</v>
      </c>
      <c r="E4" s="1" t="s">
        <v>18</v>
      </c>
      <c r="F4" s="1" t="s">
        <v>19</v>
      </c>
      <c r="G4" s="2">
        <v>45258.791666666664</v>
      </c>
      <c r="H4" s="2">
        <v>45264.227083333331</v>
      </c>
      <c r="I4" s="2">
        <v>45264.845138888886</v>
      </c>
      <c r="J4" s="1" t="s">
        <v>132</v>
      </c>
      <c r="K4" s="2">
        <v>45251.791666666664</v>
      </c>
      <c r="L4" s="2">
        <v>45262.208333333336</v>
      </c>
      <c r="M4" s="2">
        <v>45252.000694444447</v>
      </c>
      <c r="N4" s="2">
        <v>45261.625</v>
      </c>
      <c r="O4" s="2">
        <v>45250.291666666664</v>
      </c>
      <c r="P4" s="2">
        <v>45256.291666666664</v>
      </c>
    </row>
    <row r="5" spans="1:16" x14ac:dyDescent="0.3">
      <c r="A5" s="2">
        <v>45267.367361111108</v>
      </c>
      <c r="B5" s="1" t="s">
        <v>68</v>
      </c>
      <c r="C5" s="1" t="s">
        <v>216</v>
      </c>
      <c r="D5" s="1" t="s">
        <v>164</v>
      </c>
      <c r="E5" s="1" t="s">
        <v>44</v>
      </c>
      <c r="F5" s="1" t="s">
        <v>30</v>
      </c>
      <c r="G5" s="2">
        <v>45264.5</v>
      </c>
      <c r="H5" s="2">
        <v>45264.445833333331</v>
      </c>
      <c r="I5" s="2">
        <v>45265.119444444441</v>
      </c>
      <c r="J5" s="1" t="s">
        <v>13</v>
      </c>
      <c r="K5" s="2">
        <v>45257.5</v>
      </c>
      <c r="L5" s="2">
        <v>45262.416666666664</v>
      </c>
      <c r="M5" s="2">
        <v>45258.000694444447</v>
      </c>
      <c r="N5" s="2">
        <v>45262.625</v>
      </c>
      <c r="O5" s="2">
        <v>45256</v>
      </c>
      <c r="P5" s="2">
        <v>45262</v>
      </c>
    </row>
    <row r="6" spans="1:16" x14ac:dyDescent="0.3">
      <c r="A6" s="2">
        <v>45267.367361111108</v>
      </c>
      <c r="B6" s="1" t="s">
        <v>185</v>
      </c>
      <c r="C6" s="1" t="s">
        <v>186</v>
      </c>
      <c r="D6" s="1" t="s">
        <v>186</v>
      </c>
      <c r="E6" s="1" t="s">
        <v>133</v>
      </c>
      <c r="F6" s="1" t="s">
        <v>134</v>
      </c>
      <c r="G6" s="2">
        <v>45265.5</v>
      </c>
      <c r="H6" s="2">
        <v>45265.399305555555</v>
      </c>
      <c r="I6" s="2">
        <v>45266.584722222222</v>
      </c>
      <c r="J6" s="1" t="s">
        <v>17</v>
      </c>
      <c r="K6" s="2">
        <v>45258.5</v>
      </c>
      <c r="L6" s="2">
        <v>45263.291666666664</v>
      </c>
      <c r="M6" s="2">
        <v>45259.000694444447</v>
      </c>
      <c r="N6" s="2">
        <v>45263.625</v>
      </c>
      <c r="O6" s="2">
        <v>45257</v>
      </c>
      <c r="P6" s="2">
        <v>45263</v>
      </c>
    </row>
    <row r="7" spans="1:16" x14ac:dyDescent="0.3">
      <c r="A7" s="2">
        <v>45267.367361111108</v>
      </c>
      <c r="B7" s="1" t="s">
        <v>137</v>
      </c>
      <c r="C7" s="1" t="s">
        <v>162</v>
      </c>
      <c r="D7" s="1" t="s">
        <v>163</v>
      </c>
      <c r="E7" s="1" t="s">
        <v>45</v>
      </c>
      <c r="F7" s="1" t="s">
        <v>14</v>
      </c>
      <c r="G7" s="2">
        <v>45265.75</v>
      </c>
      <c r="H7" s="2">
        <v>45266.06527777778</v>
      </c>
      <c r="I7" s="2">
        <v>45267.150694444441</v>
      </c>
      <c r="J7" s="1" t="s">
        <v>16</v>
      </c>
      <c r="K7" s="2">
        <v>45258.75</v>
      </c>
      <c r="L7" s="2">
        <v>45264.041666666664</v>
      </c>
      <c r="M7" s="2">
        <v>45259.000694444447</v>
      </c>
      <c r="N7" s="2">
        <v>45263.625</v>
      </c>
      <c r="O7" s="2">
        <v>45257.25</v>
      </c>
      <c r="P7" s="2">
        <v>45263.25</v>
      </c>
    </row>
    <row r="8" spans="1:16" x14ac:dyDescent="0.3">
      <c r="A8" s="2">
        <v>45267.367361111108</v>
      </c>
      <c r="B8" s="1" t="s">
        <v>151</v>
      </c>
      <c r="C8" s="1" t="s">
        <v>171</v>
      </c>
      <c r="D8" s="1" t="s">
        <v>171</v>
      </c>
      <c r="E8" s="1" t="s">
        <v>85</v>
      </c>
      <c r="F8" s="1" t="s">
        <v>141</v>
      </c>
      <c r="G8" s="2">
        <v>45266.416666666664</v>
      </c>
      <c r="H8" s="2">
        <v>45266.670138888891</v>
      </c>
      <c r="I8" s="2">
        <v>45267.354166666664</v>
      </c>
      <c r="J8" s="1" t="s">
        <v>86</v>
      </c>
      <c r="K8" s="2">
        <v>45259.416666666664</v>
      </c>
      <c r="L8" s="2">
        <v>45264.614583333336</v>
      </c>
      <c r="M8" s="2">
        <v>45260.000694444447</v>
      </c>
      <c r="N8" s="2">
        <v>45264.625</v>
      </c>
      <c r="O8" s="2">
        <v>45257.916666666664</v>
      </c>
      <c r="P8" s="2">
        <v>45263.916666666664</v>
      </c>
    </row>
    <row r="9" spans="1:16" x14ac:dyDescent="0.3">
      <c r="A9" s="2">
        <v>45267.367361111108</v>
      </c>
      <c r="B9" s="1" t="s">
        <v>190</v>
      </c>
      <c r="C9" s="1" t="s">
        <v>180</v>
      </c>
      <c r="D9" s="1" t="s">
        <v>180</v>
      </c>
      <c r="E9" s="1" t="s">
        <v>79</v>
      </c>
      <c r="F9" s="1" t="s">
        <v>80</v>
      </c>
      <c r="G9" s="2">
        <v>45267.666666666664</v>
      </c>
      <c r="H9" s="2">
        <v>45267.6875</v>
      </c>
      <c r="I9" s="2">
        <v>45268.458333333336</v>
      </c>
      <c r="J9" s="1" t="s">
        <v>13</v>
      </c>
      <c r="K9" s="2">
        <v>45260.666666666664</v>
      </c>
      <c r="L9" s="2">
        <v>45265.6875</v>
      </c>
      <c r="M9" s="2">
        <v>45261.000694444447</v>
      </c>
      <c r="N9" s="2">
        <v>45265.625</v>
      </c>
      <c r="O9" s="2">
        <v>45259.166666666664</v>
      </c>
      <c r="P9" s="2">
        <v>45265.166666666664</v>
      </c>
    </row>
    <row r="10" spans="1:16" x14ac:dyDescent="0.3">
      <c r="A10" s="2">
        <v>45267.367361111108</v>
      </c>
      <c r="B10" s="1" t="s">
        <v>150</v>
      </c>
      <c r="C10" s="1" t="s">
        <v>188</v>
      </c>
      <c r="D10" s="1" t="s">
        <v>189</v>
      </c>
      <c r="E10" s="1" t="s">
        <v>168</v>
      </c>
      <c r="F10" s="1" t="s">
        <v>21</v>
      </c>
      <c r="G10" s="2">
        <v>45266.75</v>
      </c>
      <c r="H10" s="2">
        <v>45268.041666666664</v>
      </c>
      <c r="I10" s="2">
        <v>45268.520833333336</v>
      </c>
      <c r="J10" s="1" t="s">
        <v>19</v>
      </c>
      <c r="K10" s="2">
        <v>45259.75</v>
      </c>
      <c r="L10" s="2">
        <v>45266.041666666664</v>
      </c>
      <c r="M10" s="2">
        <v>45260.000694444447</v>
      </c>
      <c r="N10" s="2">
        <v>45267.5</v>
      </c>
      <c r="O10" s="2">
        <v>45258.25</v>
      </c>
      <c r="P10" s="2">
        <v>45264.25</v>
      </c>
    </row>
    <row r="11" spans="1:16" x14ac:dyDescent="0.3">
      <c r="A11" s="2">
        <v>45267.367361111108</v>
      </c>
      <c r="B11" s="1" t="s">
        <v>67</v>
      </c>
      <c r="C11" s="1" t="s">
        <v>193</v>
      </c>
      <c r="D11" s="1" t="s">
        <v>194</v>
      </c>
      <c r="E11" s="1" t="s">
        <v>52</v>
      </c>
      <c r="F11" s="1"/>
      <c r="G11" s="2">
        <v>45268.916666666664</v>
      </c>
      <c r="H11" s="2">
        <v>45268.770833333336</v>
      </c>
      <c r="I11" s="2">
        <v>45269.375</v>
      </c>
      <c r="J11" s="1" t="s">
        <v>288</v>
      </c>
      <c r="K11" s="2">
        <v>45261.916666666664</v>
      </c>
      <c r="L11" s="2">
        <v>45266.770833333336</v>
      </c>
      <c r="M11" s="2">
        <v>45262.000694444447</v>
      </c>
      <c r="N11" s="2">
        <v>45267.708333333336</v>
      </c>
      <c r="O11" s="2">
        <v>45258.916666666664</v>
      </c>
      <c r="P11" s="2">
        <v>45266.770833333336</v>
      </c>
    </row>
    <row r="12" spans="1:16" x14ac:dyDescent="0.3">
      <c r="A12" s="2">
        <v>45267.367361111108</v>
      </c>
      <c r="B12" s="1" t="s">
        <v>165</v>
      </c>
      <c r="C12" s="1" t="s">
        <v>166</v>
      </c>
      <c r="D12" s="1" t="s">
        <v>167</v>
      </c>
      <c r="E12" s="1" t="s">
        <v>18</v>
      </c>
      <c r="F12" s="1" t="s">
        <v>272</v>
      </c>
      <c r="G12" s="2">
        <v>45271.5</v>
      </c>
      <c r="H12" s="2">
        <v>45269.1875</v>
      </c>
      <c r="I12" s="2">
        <v>45269.916666666664</v>
      </c>
      <c r="J12" s="1" t="s">
        <v>132</v>
      </c>
      <c r="K12" s="2">
        <v>45264.5</v>
      </c>
      <c r="L12" s="2">
        <v>45267.1875</v>
      </c>
      <c r="M12" s="2">
        <v>45265.000694444447</v>
      </c>
      <c r="N12" s="2">
        <v>45268.625</v>
      </c>
      <c r="O12" s="2">
        <v>45263</v>
      </c>
      <c r="P12" s="2">
        <v>45268.5</v>
      </c>
    </row>
    <row r="13" spans="1:16" x14ac:dyDescent="0.3">
      <c r="A13" s="2">
        <v>45267.367361111108</v>
      </c>
      <c r="B13" s="1" t="s">
        <v>139</v>
      </c>
      <c r="C13" s="1" t="s">
        <v>206</v>
      </c>
      <c r="D13" s="1" t="s">
        <v>207</v>
      </c>
      <c r="E13" s="1" t="s">
        <v>83</v>
      </c>
      <c r="F13" s="1" t="s">
        <v>13</v>
      </c>
      <c r="G13" s="2">
        <v>45270.75</v>
      </c>
      <c r="H13" s="2">
        <v>45269.75</v>
      </c>
      <c r="I13" s="2">
        <v>45271.229166666664</v>
      </c>
      <c r="J13" s="1" t="s">
        <v>14</v>
      </c>
      <c r="K13" s="2">
        <v>45263.75</v>
      </c>
      <c r="L13" s="2">
        <v>45267.75</v>
      </c>
      <c r="M13" s="2">
        <v>45264.000694444447</v>
      </c>
      <c r="N13" s="2">
        <v>45267.625</v>
      </c>
      <c r="O13" s="2">
        <v>45261.25</v>
      </c>
      <c r="P13" s="2">
        <v>45267.25</v>
      </c>
    </row>
    <row r="14" spans="1:16" x14ac:dyDescent="0.3">
      <c r="A14" s="2">
        <v>45267.367361111108</v>
      </c>
      <c r="B14" s="1" t="s">
        <v>198</v>
      </c>
      <c r="C14" s="1" t="s">
        <v>199</v>
      </c>
      <c r="D14" s="1" t="s">
        <v>200</v>
      </c>
      <c r="E14" s="1" t="s">
        <v>42</v>
      </c>
      <c r="F14" s="1" t="s">
        <v>14</v>
      </c>
      <c r="G14" s="2">
        <v>45271.208333333336</v>
      </c>
      <c r="H14" s="2">
        <v>45270.229166666664</v>
      </c>
      <c r="I14" s="2">
        <v>45270.958333333336</v>
      </c>
      <c r="J14" s="1" t="s">
        <v>17</v>
      </c>
      <c r="K14" s="2">
        <v>45264.208333333336</v>
      </c>
      <c r="L14" s="2">
        <v>45268.229166666664</v>
      </c>
      <c r="M14" s="2">
        <v>45265.000694444447</v>
      </c>
      <c r="N14" s="2">
        <v>45268.708333333336</v>
      </c>
      <c r="O14" s="2">
        <v>45262.708333333336</v>
      </c>
      <c r="P14" s="2">
        <v>45268.708333333336</v>
      </c>
    </row>
    <row r="15" spans="1:16" x14ac:dyDescent="0.3">
      <c r="A15" s="2">
        <v>45267.367361111108</v>
      </c>
      <c r="B15" s="1" t="s">
        <v>131</v>
      </c>
      <c r="C15" s="1" t="s">
        <v>201</v>
      </c>
      <c r="D15" s="1" t="s">
        <v>202</v>
      </c>
      <c r="E15" s="1" t="s">
        <v>45</v>
      </c>
      <c r="F15" s="1" t="s">
        <v>14</v>
      </c>
      <c r="G15" s="2">
        <v>45271.000694444447</v>
      </c>
      <c r="H15" s="2">
        <v>45271</v>
      </c>
      <c r="I15" s="2">
        <v>45271.739583333336</v>
      </c>
      <c r="J15" s="1" t="s">
        <v>16</v>
      </c>
      <c r="K15" s="2">
        <v>45264.000694444447</v>
      </c>
      <c r="L15" s="2">
        <v>45269</v>
      </c>
      <c r="M15" s="2">
        <v>45265.000694444447</v>
      </c>
      <c r="N15" s="2">
        <v>45268.625</v>
      </c>
      <c r="O15" s="2">
        <v>45262.500694444447</v>
      </c>
      <c r="P15" s="2">
        <v>45268.500694444447</v>
      </c>
    </row>
    <row r="16" spans="1:16" x14ac:dyDescent="0.3">
      <c r="A16" s="2">
        <v>45267.367361111108</v>
      </c>
      <c r="B16" s="1" t="s">
        <v>152</v>
      </c>
      <c r="C16" s="1" t="s">
        <v>216</v>
      </c>
      <c r="D16" s="1" t="s">
        <v>164</v>
      </c>
      <c r="E16" s="1" t="s">
        <v>44</v>
      </c>
      <c r="F16" s="1" t="s">
        <v>30</v>
      </c>
      <c r="G16" s="2">
        <v>45271.208333333336</v>
      </c>
      <c r="H16" s="2">
        <v>45271.270833333336</v>
      </c>
      <c r="I16" s="2">
        <v>45271.895833333336</v>
      </c>
      <c r="J16" s="1" t="s">
        <v>13</v>
      </c>
      <c r="K16" s="2">
        <v>45264.208333333336</v>
      </c>
      <c r="L16" s="2">
        <v>45269.270833333336</v>
      </c>
      <c r="M16" s="2">
        <v>45265.000694444447</v>
      </c>
      <c r="N16" s="2">
        <v>45269.625</v>
      </c>
      <c r="O16" s="2">
        <v>45262.708333333336</v>
      </c>
      <c r="P16" s="2">
        <v>45266.5</v>
      </c>
    </row>
    <row r="17" spans="1:16" x14ac:dyDescent="0.3">
      <c r="A17" s="2">
        <v>45267.367361111108</v>
      </c>
      <c r="B17" s="1" t="s">
        <v>69</v>
      </c>
      <c r="C17" s="1" t="s">
        <v>195</v>
      </c>
      <c r="D17" s="1" t="s">
        <v>196</v>
      </c>
      <c r="E17" s="1" t="s">
        <v>47</v>
      </c>
      <c r="F17" s="1"/>
      <c r="G17" s="2">
        <v>45268.833333333336</v>
      </c>
      <c r="H17" s="2">
        <v>45271.291666666664</v>
      </c>
      <c r="I17" s="2">
        <v>45271.854166666664</v>
      </c>
      <c r="J17" s="1" t="s">
        <v>126</v>
      </c>
      <c r="K17" s="2">
        <v>45261.833333333336</v>
      </c>
      <c r="L17" s="2">
        <v>45269.291666666664</v>
      </c>
      <c r="M17" s="2">
        <v>45262.000694444447</v>
      </c>
      <c r="N17" s="2">
        <v>45270.5</v>
      </c>
      <c r="O17" s="2">
        <v>45260.333333333336</v>
      </c>
      <c r="P17" s="2">
        <v>45266.333333333336</v>
      </c>
    </row>
    <row r="18" spans="1:16" x14ac:dyDescent="0.3">
      <c r="A18" s="2">
        <v>45267.367361111108</v>
      </c>
      <c r="B18" s="1" t="s">
        <v>176</v>
      </c>
      <c r="C18" s="1" t="s">
        <v>177</v>
      </c>
      <c r="D18" s="1" t="s">
        <v>178</v>
      </c>
      <c r="E18" s="1" t="s">
        <v>82</v>
      </c>
      <c r="F18" s="1" t="s">
        <v>14</v>
      </c>
      <c r="G18" s="2">
        <v>45268.000694444447</v>
      </c>
      <c r="H18" s="2">
        <v>45271.78125</v>
      </c>
      <c r="I18" s="2">
        <v>45272.541666666664</v>
      </c>
      <c r="J18" s="1" t="s">
        <v>81</v>
      </c>
      <c r="K18" s="2">
        <v>45261.000694444447</v>
      </c>
      <c r="L18" s="2">
        <v>45269.78125</v>
      </c>
      <c r="M18" s="2">
        <v>45262.000694444447</v>
      </c>
      <c r="N18" s="2">
        <v>45269.625</v>
      </c>
      <c r="O18" s="2">
        <v>45259.500694444447</v>
      </c>
      <c r="P18" s="2">
        <v>45265.500694444447</v>
      </c>
    </row>
    <row r="19" spans="1:16" x14ac:dyDescent="0.3">
      <c r="A19" s="2">
        <v>45267.367361111108</v>
      </c>
      <c r="B19" s="1" t="s">
        <v>210</v>
      </c>
      <c r="C19" s="1" t="s">
        <v>147</v>
      </c>
      <c r="D19" s="1" t="s">
        <v>171</v>
      </c>
      <c r="E19" s="1" t="s">
        <v>211</v>
      </c>
      <c r="F19" s="1" t="s">
        <v>212</v>
      </c>
      <c r="G19" s="2">
        <v>45272.25</v>
      </c>
      <c r="H19" s="2">
        <v>45272.3125</v>
      </c>
      <c r="I19" s="2">
        <v>45274.4375</v>
      </c>
      <c r="J19" s="1"/>
      <c r="K19" s="2">
        <v>45265.25</v>
      </c>
      <c r="L19" s="2">
        <v>45270.3125</v>
      </c>
      <c r="M19" s="2">
        <v>45266.000694444447</v>
      </c>
      <c r="N19" s="2">
        <v>45270.625</v>
      </c>
      <c r="O19" s="2">
        <v>45263.75</v>
      </c>
      <c r="P19" s="2">
        <v>45269.75</v>
      </c>
    </row>
    <row r="20" spans="1:16" x14ac:dyDescent="0.3">
      <c r="A20" s="2">
        <v>45267.367361111108</v>
      </c>
      <c r="B20" s="1" t="s">
        <v>64</v>
      </c>
      <c r="C20" s="1" t="s">
        <v>146</v>
      </c>
      <c r="D20" s="1" t="s">
        <v>140</v>
      </c>
      <c r="E20" s="1" t="s">
        <v>43</v>
      </c>
      <c r="F20" s="1" t="s">
        <v>21</v>
      </c>
      <c r="G20" s="2">
        <v>45271.708333333336</v>
      </c>
      <c r="H20" s="2">
        <v>45272.552083333336</v>
      </c>
      <c r="I20" s="2">
        <v>45273.333333333336</v>
      </c>
      <c r="J20" s="1" t="s">
        <v>23</v>
      </c>
      <c r="K20" s="2">
        <v>45264.708333333336</v>
      </c>
      <c r="L20" s="2">
        <v>45270.552083333336</v>
      </c>
      <c r="M20" s="2">
        <v>45265.000694444447</v>
      </c>
      <c r="N20" s="2">
        <v>45270.625</v>
      </c>
      <c r="O20" s="2">
        <v>45263.208333333336</v>
      </c>
      <c r="P20" s="2">
        <v>45269.208333333336</v>
      </c>
    </row>
    <row r="21" spans="1:16" x14ac:dyDescent="0.3">
      <c r="A21" s="2">
        <v>45267.367361111108</v>
      </c>
      <c r="B21" s="1" t="s">
        <v>203</v>
      </c>
      <c r="C21" s="1" t="s">
        <v>204</v>
      </c>
      <c r="D21" s="1" t="s">
        <v>205</v>
      </c>
      <c r="E21" s="1" t="s">
        <v>142</v>
      </c>
      <c r="F21" s="1" t="s">
        <v>14</v>
      </c>
      <c r="G21" s="2">
        <v>45272.25</v>
      </c>
      <c r="H21" s="2">
        <v>45272.572916666664</v>
      </c>
      <c r="I21" s="2">
        <v>45273.03125</v>
      </c>
      <c r="J21" s="1" t="s">
        <v>17</v>
      </c>
      <c r="K21" s="2">
        <v>45265.25</v>
      </c>
      <c r="L21" s="2">
        <v>45270.572916666664</v>
      </c>
      <c r="M21" s="2">
        <v>45266.000694444447</v>
      </c>
      <c r="N21" s="2">
        <v>45270.625</v>
      </c>
      <c r="O21" s="2">
        <v>45263.75</v>
      </c>
      <c r="P21" s="2">
        <v>45269.75</v>
      </c>
    </row>
    <row r="22" spans="1:16" x14ac:dyDescent="0.3">
      <c r="A22" s="2">
        <v>45267.367361111108</v>
      </c>
      <c r="B22" s="1" t="s">
        <v>169</v>
      </c>
      <c r="C22" s="1" t="s">
        <v>181</v>
      </c>
      <c r="D22" s="1" t="s">
        <v>181</v>
      </c>
      <c r="E22" s="1" t="s">
        <v>85</v>
      </c>
      <c r="F22" s="1" t="s">
        <v>141</v>
      </c>
      <c r="G22" s="2">
        <v>45273.416666666664</v>
      </c>
      <c r="H22" s="2">
        <v>45273.416666666664</v>
      </c>
      <c r="I22" s="2">
        <v>45274.291666666664</v>
      </c>
      <c r="J22" s="1" t="s">
        <v>86</v>
      </c>
      <c r="K22" s="2">
        <v>45266.416666666664</v>
      </c>
      <c r="L22" s="2">
        <v>45271.416666666664</v>
      </c>
      <c r="M22" s="2">
        <v>45267.000694444447</v>
      </c>
      <c r="N22" s="2">
        <v>45271.625</v>
      </c>
      <c r="O22" s="2">
        <v>45264.916666666664</v>
      </c>
      <c r="P22" s="2">
        <v>45270.916666666664</v>
      </c>
    </row>
    <row r="23" spans="1:16" x14ac:dyDescent="0.3">
      <c r="A23" s="2">
        <v>45267.367361111108</v>
      </c>
      <c r="B23" s="1" t="s">
        <v>227</v>
      </c>
      <c r="C23" s="1" t="s">
        <v>206</v>
      </c>
      <c r="D23" s="1" t="s">
        <v>206</v>
      </c>
      <c r="E23" s="1" t="s">
        <v>79</v>
      </c>
      <c r="F23" s="1" t="s">
        <v>80</v>
      </c>
      <c r="G23" s="2">
        <v>45274.666666666664</v>
      </c>
      <c r="H23" s="2">
        <v>45274.666666666664</v>
      </c>
      <c r="I23" s="2">
        <v>45275.291666666664</v>
      </c>
      <c r="J23" s="1" t="s">
        <v>13</v>
      </c>
      <c r="K23" s="2">
        <v>45267.666666666664</v>
      </c>
      <c r="L23" s="2">
        <v>45272.666666666664</v>
      </c>
      <c r="M23" s="2">
        <v>45268.000694444447</v>
      </c>
      <c r="N23" s="2">
        <v>45273.5</v>
      </c>
      <c r="O23" s="2">
        <v>45266.166666666664</v>
      </c>
      <c r="P23" s="2">
        <v>45272.166666666664</v>
      </c>
    </row>
    <row r="24" spans="1:16" x14ac:dyDescent="0.3">
      <c r="A24" s="2">
        <v>45267.367361111108</v>
      </c>
      <c r="B24" s="1" t="s">
        <v>135</v>
      </c>
      <c r="C24" s="1" t="s">
        <v>191</v>
      </c>
      <c r="D24" s="1" t="s">
        <v>192</v>
      </c>
      <c r="E24" s="1" t="s">
        <v>82</v>
      </c>
      <c r="F24" s="1" t="s">
        <v>14</v>
      </c>
      <c r="G24" s="2">
        <v>45275.958333333336</v>
      </c>
      <c r="H24" s="2">
        <v>45274.958333333336</v>
      </c>
      <c r="I24" s="2">
        <v>45275.833333333336</v>
      </c>
      <c r="J24" s="1" t="s">
        <v>81</v>
      </c>
      <c r="K24" s="2">
        <v>45268.958333333336</v>
      </c>
      <c r="L24" s="2">
        <v>45272.958333333336</v>
      </c>
      <c r="M24" s="2">
        <v>45269.000694444447</v>
      </c>
      <c r="N24" s="2">
        <v>45273.625</v>
      </c>
      <c r="O24" s="2">
        <v>45267.458333333336</v>
      </c>
      <c r="P24" s="2">
        <v>45273.458333333336</v>
      </c>
    </row>
    <row r="25" spans="1:16" x14ac:dyDescent="0.3">
      <c r="A25" s="2">
        <v>45267.367361111108</v>
      </c>
      <c r="B25" s="1" t="s">
        <v>213</v>
      </c>
      <c r="C25" s="1" t="s">
        <v>214</v>
      </c>
      <c r="D25" s="1" t="s">
        <v>215</v>
      </c>
      <c r="E25" s="1" t="s">
        <v>18</v>
      </c>
      <c r="F25" s="1" t="s">
        <v>19</v>
      </c>
      <c r="G25" s="2">
        <v>45275.208333333336</v>
      </c>
      <c r="H25" s="2">
        <v>45275.208333333336</v>
      </c>
      <c r="I25" s="2">
        <v>45276</v>
      </c>
      <c r="J25" s="1" t="s">
        <v>132</v>
      </c>
      <c r="K25" s="2">
        <v>45268.208333333336</v>
      </c>
      <c r="L25" s="2">
        <v>45273.208333333336</v>
      </c>
      <c r="M25" s="2">
        <v>45269.000694444447</v>
      </c>
      <c r="N25" s="2">
        <v>45273.625</v>
      </c>
      <c r="O25" s="2">
        <v>45266.708333333336</v>
      </c>
      <c r="P25" s="2">
        <v>45273.5</v>
      </c>
    </row>
    <row r="26" spans="1:16" x14ac:dyDescent="0.3">
      <c r="A26" s="2">
        <v>45267.367361111108</v>
      </c>
      <c r="B26" s="1" t="s">
        <v>231</v>
      </c>
      <c r="C26" s="1" t="s">
        <v>232</v>
      </c>
      <c r="D26" s="1" t="s">
        <v>232</v>
      </c>
      <c r="E26" s="1" t="s">
        <v>127</v>
      </c>
      <c r="F26" s="1" t="s">
        <v>128</v>
      </c>
      <c r="G26" s="2">
        <v>45275.833333333336</v>
      </c>
      <c r="H26" s="2">
        <v>45275.875</v>
      </c>
      <c r="I26" s="2">
        <v>45276.604166666664</v>
      </c>
      <c r="J26" s="1" t="s">
        <v>233</v>
      </c>
      <c r="K26" s="2">
        <v>45268.833333333336</v>
      </c>
      <c r="L26" s="2">
        <v>45273.875</v>
      </c>
      <c r="M26" s="2">
        <v>45269.000694444447</v>
      </c>
      <c r="N26" s="2">
        <v>45273.625</v>
      </c>
      <c r="O26" s="2">
        <v>45267.333333333336</v>
      </c>
      <c r="P26" s="2">
        <v>45273.333333333336</v>
      </c>
    </row>
    <row r="27" spans="1:16" x14ac:dyDescent="0.3">
      <c r="A27" s="2">
        <v>45267.367361111108</v>
      </c>
      <c r="B27" s="1" t="s">
        <v>234</v>
      </c>
      <c r="C27" s="1" t="s">
        <v>229</v>
      </c>
      <c r="D27" s="1" t="s">
        <v>235</v>
      </c>
      <c r="E27" s="1" t="s">
        <v>83</v>
      </c>
      <c r="F27" s="1" t="s">
        <v>13</v>
      </c>
      <c r="G27" s="2">
        <v>45276.75</v>
      </c>
      <c r="H27" s="2">
        <v>45276.75</v>
      </c>
      <c r="I27" s="2">
        <v>45278.208333333336</v>
      </c>
      <c r="J27" s="1" t="s">
        <v>14</v>
      </c>
      <c r="K27" s="2">
        <v>45269.75</v>
      </c>
      <c r="L27" s="2">
        <v>45274.75</v>
      </c>
      <c r="M27" s="2">
        <v>45270.000694444447</v>
      </c>
      <c r="N27" s="2">
        <v>45274.625</v>
      </c>
      <c r="O27" s="2">
        <v>45267.25</v>
      </c>
      <c r="P27" s="2">
        <v>45273.25</v>
      </c>
    </row>
    <row r="28" spans="1:16" x14ac:dyDescent="0.3">
      <c r="A28" s="2">
        <v>45267.367361111108</v>
      </c>
      <c r="B28" s="1" t="s">
        <v>67</v>
      </c>
      <c r="C28" s="1" t="s">
        <v>218</v>
      </c>
      <c r="D28" s="1" t="s">
        <v>219</v>
      </c>
      <c r="E28" s="1" t="s">
        <v>52</v>
      </c>
      <c r="F28" s="1"/>
      <c r="G28" s="2">
        <v>45275.916666666664</v>
      </c>
      <c r="H28" s="2">
        <v>45276.166666666664</v>
      </c>
      <c r="I28" s="2">
        <v>45276.875</v>
      </c>
      <c r="J28" s="1" t="s">
        <v>63</v>
      </c>
      <c r="K28" s="2">
        <v>45268.916666666664</v>
      </c>
      <c r="L28" s="2">
        <v>45274.166666666664</v>
      </c>
      <c r="M28" s="2">
        <v>45269.000694444447</v>
      </c>
      <c r="N28" s="2">
        <v>45274.708333333336</v>
      </c>
      <c r="O28" s="2">
        <v>45265.916666666664</v>
      </c>
      <c r="P28" s="2">
        <v>45274.166666666664</v>
      </c>
    </row>
    <row r="29" spans="1:16" x14ac:dyDescent="0.3">
      <c r="A29" s="2">
        <v>45267.367361111108</v>
      </c>
      <c r="B29" s="1" t="s">
        <v>220</v>
      </c>
      <c r="C29" s="1" t="s">
        <v>221</v>
      </c>
      <c r="D29" s="1" t="s">
        <v>222</v>
      </c>
      <c r="E29" s="1" t="s">
        <v>42</v>
      </c>
      <c r="F29" s="1" t="s">
        <v>14</v>
      </c>
      <c r="G29" s="2">
        <v>45277.291666666664</v>
      </c>
      <c r="H29" s="2">
        <v>45277.291666666664</v>
      </c>
      <c r="I29" s="2">
        <v>45277.958333333336</v>
      </c>
      <c r="J29" s="1" t="s">
        <v>17</v>
      </c>
      <c r="K29" s="2">
        <v>45270.291666666664</v>
      </c>
      <c r="L29" s="2">
        <v>45275.291666666664</v>
      </c>
      <c r="M29" s="2">
        <v>45271.000694444447</v>
      </c>
      <c r="N29" s="2">
        <v>45275.625</v>
      </c>
      <c r="O29" s="2">
        <v>45268.791666666664</v>
      </c>
      <c r="P29" s="2">
        <v>45274.791666666664</v>
      </c>
    </row>
    <row r="30" spans="1:16" x14ac:dyDescent="0.3">
      <c r="A30" s="2">
        <v>45267.367361111108</v>
      </c>
      <c r="B30" s="1" t="s">
        <v>182</v>
      </c>
      <c r="C30" s="1" t="s">
        <v>183</v>
      </c>
      <c r="D30" s="1" t="s">
        <v>184</v>
      </c>
      <c r="E30" s="1" t="s">
        <v>84</v>
      </c>
      <c r="F30" s="1" t="s">
        <v>14</v>
      </c>
      <c r="G30" s="2">
        <v>45276.5</v>
      </c>
      <c r="H30" s="2">
        <v>45278</v>
      </c>
      <c r="I30" s="2">
        <v>45278.802083333336</v>
      </c>
      <c r="J30" s="1" t="s">
        <v>16</v>
      </c>
      <c r="K30" s="2">
        <v>45269.5</v>
      </c>
      <c r="L30" s="2">
        <v>45276</v>
      </c>
      <c r="M30" s="2">
        <v>45270.000694444447</v>
      </c>
      <c r="N30" s="2">
        <v>45275.416666666664</v>
      </c>
      <c r="O30" s="2">
        <v>45268</v>
      </c>
      <c r="P30" s="2">
        <v>45274</v>
      </c>
    </row>
    <row r="31" spans="1:16" x14ac:dyDescent="0.3">
      <c r="A31" s="2">
        <v>45267.367361111108</v>
      </c>
      <c r="B31" s="1" t="s">
        <v>68</v>
      </c>
      <c r="C31" s="1" t="s">
        <v>225</v>
      </c>
      <c r="D31" s="1" t="s">
        <v>226</v>
      </c>
      <c r="E31" s="1" t="s">
        <v>44</v>
      </c>
      <c r="F31" s="1" t="s">
        <v>30</v>
      </c>
      <c r="G31" s="2">
        <v>45278.208333333336</v>
      </c>
      <c r="H31" s="2">
        <v>45278.25</v>
      </c>
      <c r="I31" s="2">
        <v>45278.875</v>
      </c>
      <c r="J31" s="1" t="s">
        <v>13</v>
      </c>
      <c r="K31" s="2">
        <v>45271.208333333336</v>
      </c>
      <c r="L31" s="2">
        <v>45276.25</v>
      </c>
      <c r="M31" s="2">
        <v>45272.000694444447</v>
      </c>
      <c r="N31" s="2">
        <v>45276.625</v>
      </c>
      <c r="O31" s="2">
        <v>45269.708333333336</v>
      </c>
      <c r="P31" s="2">
        <v>45275.708333333336</v>
      </c>
    </row>
    <row r="32" spans="1:16" x14ac:dyDescent="0.3">
      <c r="A32" s="2">
        <v>45267.367361111108</v>
      </c>
      <c r="B32" s="1" t="s">
        <v>210</v>
      </c>
      <c r="C32" s="1" t="s">
        <v>230</v>
      </c>
      <c r="D32" s="1" t="s">
        <v>230</v>
      </c>
      <c r="E32" s="1" t="s">
        <v>211</v>
      </c>
      <c r="F32" s="1" t="s">
        <v>212</v>
      </c>
      <c r="G32" s="2">
        <v>45279.291666666664</v>
      </c>
      <c r="H32" s="2">
        <v>45279.291666666664</v>
      </c>
      <c r="I32" s="2">
        <v>45280.25</v>
      </c>
      <c r="J32" s="1"/>
      <c r="K32" s="2">
        <v>45272.291666666664</v>
      </c>
      <c r="L32" s="2">
        <v>45277.291666666664</v>
      </c>
      <c r="M32" s="2">
        <v>45273.000694444447</v>
      </c>
      <c r="N32" s="2">
        <v>45277.625</v>
      </c>
      <c r="O32" s="2">
        <v>45270.791666666664</v>
      </c>
      <c r="P32" s="2">
        <v>45276.791666666664</v>
      </c>
    </row>
    <row r="33" spans="1:16" x14ac:dyDescent="0.3">
      <c r="A33" s="2">
        <v>45267.367361111108</v>
      </c>
      <c r="B33" s="1" t="s">
        <v>175</v>
      </c>
      <c r="C33" s="1" t="s">
        <v>207</v>
      </c>
      <c r="D33" s="1" t="s">
        <v>207</v>
      </c>
      <c r="E33" s="1" t="s">
        <v>85</v>
      </c>
      <c r="F33" s="1" t="s">
        <v>141</v>
      </c>
      <c r="G33" s="2">
        <v>45280.375</v>
      </c>
      <c r="H33" s="2">
        <v>45280.416666666664</v>
      </c>
      <c r="I33" s="2">
        <v>45281</v>
      </c>
      <c r="J33" s="1" t="s">
        <v>86</v>
      </c>
      <c r="K33" s="2">
        <v>45273.375</v>
      </c>
      <c r="L33" s="2">
        <v>45278.416666666664</v>
      </c>
      <c r="M33" s="2">
        <v>45274.000694444447</v>
      </c>
      <c r="N33" s="2">
        <v>45278.625</v>
      </c>
      <c r="O33" s="2">
        <v>45271.875</v>
      </c>
      <c r="P33" s="2">
        <v>45277.875</v>
      </c>
    </row>
    <row r="34" spans="1:16" x14ac:dyDescent="0.3">
      <c r="A34" s="2">
        <v>45267.367361111108</v>
      </c>
      <c r="B34" s="1" t="s">
        <v>290</v>
      </c>
      <c r="C34" s="1" t="s">
        <v>206</v>
      </c>
      <c r="D34" s="1" t="s">
        <v>291</v>
      </c>
      <c r="E34" s="1" t="s">
        <v>211</v>
      </c>
      <c r="F34" s="1" t="s">
        <v>13</v>
      </c>
      <c r="G34" s="2">
        <v>45280.416666666664</v>
      </c>
      <c r="H34" s="2">
        <v>45280.416666666664</v>
      </c>
      <c r="I34" s="2">
        <v>45280.958333333336</v>
      </c>
      <c r="J34" s="1" t="s">
        <v>292</v>
      </c>
      <c r="K34" s="2">
        <v>45273.416666666664</v>
      </c>
      <c r="L34" s="2">
        <v>45278.416666666664</v>
      </c>
      <c r="M34" s="2">
        <v>45274.000694444447</v>
      </c>
      <c r="N34" s="2">
        <v>45277.416666666664</v>
      </c>
      <c r="O34" s="2">
        <v>45271.916666666664</v>
      </c>
      <c r="P34" s="2">
        <v>45277.916666666664</v>
      </c>
    </row>
    <row r="35" spans="1:16" x14ac:dyDescent="0.3">
      <c r="A35" s="2">
        <v>45267.367361111108</v>
      </c>
      <c r="B35" s="1" t="s">
        <v>145</v>
      </c>
      <c r="C35" s="1" t="s">
        <v>242</v>
      </c>
      <c r="D35" s="1" t="s">
        <v>243</v>
      </c>
      <c r="E35" s="1" t="s">
        <v>168</v>
      </c>
      <c r="F35" s="1" t="s">
        <v>21</v>
      </c>
      <c r="G35" s="2">
        <v>45280.75</v>
      </c>
      <c r="H35" s="2">
        <v>45280.75</v>
      </c>
      <c r="I35" s="2">
        <v>45281.208333333336</v>
      </c>
      <c r="J35" s="1" t="s">
        <v>19</v>
      </c>
      <c r="K35" s="2">
        <v>45273.75</v>
      </c>
      <c r="L35" s="2">
        <v>45278.75</v>
      </c>
      <c r="M35" s="2">
        <v>45274.000694444447</v>
      </c>
      <c r="N35" s="2">
        <v>45277.75</v>
      </c>
      <c r="O35" s="2">
        <v>45272.25</v>
      </c>
      <c r="P35" s="2">
        <v>45278.25</v>
      </c>
    </row>
    <row r="36" spans="1:16" x14ac:dyDescent="0.3">
      <c r="A36" s="2">
        <v>45267.367361111108</v>
      </c>
      <c r="B36" s="1" t="s">
        <v>136</v>
      </c>
      <c r="C36" s="1" t="s">
        <v>160</v>
      </c>
      <c r="D36" s="1" t="s">
        <v>161</v>
      </c>
      <c r="E36" s="1" t="s">
        <v>42</v>
      </c>
      <c r="F36" s="1" t="s">
        <v>14</v>
      </c>
      <c r="G36" s="2">
        <v>45281.291666666664</v>
      </c>
      <c r="H36" s="2">
        <v>45281.041666666664</v>
      </c>
      <c r="I36" s="2">
        <v>45281.5625</v>
      </c>
      <c r="J36" s="1" t="s">
        <v>17</v>
      </c>
      <c r="K36" s="2">
        <v>45274.291666666664</v>
      </c>
      <c r="L36" s="2">
        <v>45279.041666666664</v>
      </c>
      <c r="M36" s="2">
        <v>45275.000694444447</v>
      </c>
      <c r="N36" s="2">
        <v>45278.041666666664</v>
      </c>
      <c r="O36" s="2">
        <v>45272.791666666664</v>
      </c>
      <c r="P36" s="2">
        <v>45278.791666666664</v>
      </c>
    </row>
    <row r="37" spans="1:16" x14ac:dyDescent="0.3">
      <c r="A37" s="2">
        <v>45267.367361111108</v>
      </c>
      <c r="B37" s="1" t="s">
        <v>217</v>
      </c>
      <c r="C37" s="1" t="s">
        <v>154</v>
      </c>
      <c r="D37" s="1" t="s">
        <v>154</v>
      </c>
      <c r="E37" s="1" t="s">
        <v>46</v>
      </c>
      <c r="F37" s="1" t="s">
        <v>13</v>
      </c>
      <c r="G37" s="2">
        <v>45280.000694444447</v>
      </c>
      <c r="H37" s="2">
        <v>45281.458333333336</v>
      </c>
      <c r="I37" s="2">
        <v>45282.333333333336</v>
      </c>
      <c r="J37" s="1" t="s">
        <v>27</v>
      </c>
      <c r="K37" s="2">
        <v>45273.000694444447</v>
      </c>
      <c r="L37" s="2">
        <v>45279.458333333336</v>
      </c>
      <c r="M37" s="2">
        <v>45274.000694444447</v>
      </c>
      <c r="N37" s="2">
        <v>45278.625</v>
      </c>
      <c r="O37" s="2">
        <v>45271.500694444447</v>
      </c>
      <c r="P37" s="2">
        <v>45277.500694444447</v>
      </c>
    </row>
    <row r="38" spans="1:16" x14ac:dyDescent="0.3">
      <c r="A38" s="2">
        <v>45267.367361111108</v>
      </c>
      <c r="B38" s="1" t="s">
        <v>245</v>
      </c>
      <c r="C38" s="1" t="s">
        <v>229</v>
      </c>
      <c r="D38" s="1" t="s">
        <v>229</v>
      </c>
      <c r="E38" s="1" t="s">
        <v>79</v>
      </c>
      <c r="F38" s="1" t="s">
        <v>80</v>
      </c>
      <c r="G38" s="2">
        <v>45281.666666666664</v>
      </c>
      <c r="H38" s="2">
        <v>45281.604166666664</v>
      </c>
      <c r="I38" s="2">
        <v>45282.229166666664</v>
      </c>
      <c r="J38" s="1" t="s">
        <v>13</v>
      </c>
      <c r="K38" s="2">
        <v>45274.666666666664</v>
      </c>
      <c r="L38" s="2">
        <v>45279.604166666664</v>
      </c>
      <c r="M38" s="2">
        <v>45275.000694444447</v>
      </c>
      <c r="N38" s="2">
        <v>45280.5</v>
      </c>
      <c r="O38" s="2">
        <v>45273.166666666664</v>
      </c>
      <c r="P38" s="2">
        <v>45279.166666666664</v>
      </c>
    </row>
    <row r="39" spans="1:16" x14ac:dyDescent="0.3">
      <c r="A39" s="2">
        <v>45267.367361111108</v>
      </c>
      <c r="B39" s="1" t="s">
        <v>268</v>
      </c>
      <c r="C39" s="1" t="s">
        <v>263</v>
      </c>
      <c r="D39" s="1" t="s">
        <v>264</v>
      </c>
      <c r="E39" s="1" t="s">
        <v>47</v>
      </c>
      <c r="F39" s="1"/>
      <c r="G39" s="2">
        <v>45282.833333333336</v>
      </c>
      <c r="H39" s="2">
        <v>45282.270833333336</v>
      </c>
      <c r="I39" s="2">
        <v>45283</v>
      </c>
      <c r="J39" s="1" t="s">
        <v>126</v>
      </c>
      <c r="K39" s="2">
        <v>45275.833333333336</v>
      </c>
      <c r="L39" s="2">
        <v>45280.270833333336</v>
      </c>
      <c r="M39" s="2">
        <v>45276.000694444447</v>
      </c>
      <c r="N39" s="2">
        <v>45279.270833333336</v>
      </c>
      <c r="O39" s="2">
        <v>45274.333333333336</v>
      </c>
      <c r="P39" s="2">
        <v>45280.333333333336</v>
      </c>
    </row>
    <row r="40" spans="1:16" x14ac:dyDescent="0.3">
      <c r="A40" s="2">
        <v>45267.367361111108</v>
      </c>
      <c r="B40" s="1" t="s">
        <v>228</v>
      </c>
      <c r="C40" s="1" t="s">
        <v>229</v>
      </c>
      <c r="D40" s="1" t="s">
        <v>230</v>
      </c>
      <c r="E40" s="1" t="s">
        <v>82</v>
      </c>
      <c r="F40" s="1" t="s">
        <v>14</v>
      </c>
      <c r="G40" s="2">
        <v>45282.958333333336</v>
      </c>
      <c r="H40" s="2">
        <v>45282.583333333336</v>
      </c>
      <c r="I40" s="2">
        <v>45283.375</v>
      </c>
      <c r="J40" s="1" t="s">
        <v>81</v>
      </c>
      <c r="K40" s="2">
        <v>45275.958333333336</v>
      </c>
      <c r="L40" s="2">
        <v>45280.583333333336</v>
      </c>
      <c r="M40" s="2">
        <v>45276.000694444447</v>
      </c>
      <c r="N40" s="2">
        <v>45279.583333333336</v>
      </c>
      <c r="O40" s="2">
        <v>45274.458333333336</v>
      </c>
      <c r="P40" s="2">
        <v>45280.458333333336</v>
      </c>
    </row>
    <row r="41" spans="1:16" x14ac:dyDescent="0.3">
      <c r="A41" s="2">
        <v>45267.367361111108</v>
      </c>
      <c r="B41" s="1" t="s">
        <v>65</v>
      </c>
      <c r="C41" s="1" t="s">
        <v>197</v>
      </c>
      <c r="D41" s="1" t="s">
        <v>149</v>
      </c>
      <c r="E41" s="1" t="s">
        <v>43</v>
      </c>
      <c r="F41" s="1" t="s">
        <v>21</v>
      </c>
      <c r="G41" s="2">
        <v>45283.583333333336</v>
      </c>
      <c r="H41" s="2">
        <v>45283.520833333336</v>
      </c>
      <c r="I41" s="2">
        <v>45284.25</v>
      </c>
      <c r="J41" s="1" t="s">
        <v>23</v>
      </c>
      <c r="K41" s="2">
        <v>45276.583333333336</v>
      </c>
      <c r="L41" s="2">
        <v>45281.520833333336</v>
      </c>
      <c r="M41" s="2">
        <v>45277.000694444447</v>
      </c>
      <c r="N41" s="2">
        <v>45282.5</v>
      </c>
      <c r="O41" s="2">
        <v>45275.083333333336</v>
      </c>
      <c r="P41" s="2">
        <v>45281.083333333336</v>
      </c>
    </row>
    <row r="42" spans="1:16" x14ac:dyDescent="0.3">
      <c r="A42" s="2">
        <v>45267.367361111108</v>
      </c>
      <c r="B42" s="1" t="s">
        <v>257</v>
      </c>
      <c r="C42" s="1" t="s">
        <v>258</v>
      </c>
      <c r="D42" s="1" t="s">
        <v>230</v>
      </c>
      <c r="E42" s="1" t="s">
        <v>83</v>
      </c>
      <c r="F42" s="1" t="s">
        <v>13</v>
      </c>
      <c r="G42" s="2">
        <v>45283.75</v>
      </c>
      <c r="H42" s="2">
        <v>45283.75</v>
      </c>
      <c r="I42" s="2">
        <v>45285.166666666664</v>
      </c>
      <c r="J42" s="1" t="s">
        <v>14</v>
      </c>
      <c r="K42" s="2">
        <v>45276.75</v>
      </c>
      <c r="L42" s="2">
        <v>45281.75</v>
      </c>
      <c r="M42" s="2">
        <v>45277.000694444447</v>
      </c>
      <c r="N42" s="2">
        <v>45281.625</v>
      </c>
      <c r="O42" s="2">
        <v>45274.25</v>
      </c>
      <c r="P42" s="2">
        <v>45280.25</v>
      </c>
    </row>
    <row r="43" spans="1:16" x14ac:dyDescent="0.3">
      <c r="A43" s="2">
        <v>45267.367361111108</v>
      </c>
      <c r="B43" s="1" t="s">
        <v>67</v>
      </c>
      <c r="C43" s="1" t="s">
        <v>249</v>
      </c>
      <c r="D43" s="1" t="s">
        <v>250</v>
      </c>
      <c r="E43" s="1" t="s">
        <v>52</v>
      </c>
      <c r="F43" s="1"/>
      <c r="G43" s="2">
        <v>45282.916666666664</v>
      </c>
      <c r="H43" s="2">
        <v>45282.791666666664</v>
      </c>
      <c r="I43" s="2">
        <v>45283.5</v>
      </c>
      <c r="J43" s="1" t="s">
        <v>63</v>
      </c>
      <c r="K43" s="2">
        <v>45275.916666666664</v>
      </c>
      <c r="L43" s="2">
        <v>45280.791666666664</v>
      </c>
      <c r="M43" s="2">
        <v>45276.000694444447</v>
      </c>
      <c r="N43" s="2">
        <v>45279.791666666664</v>
      </c>
      <c r="O43" s="2">
        <v>45272.916666666664</v>
      </c>
      <c r="P43" s="2">
        <v>45280.791666666664</v>
      </c>
    </row>
    <row r="44" spans="1:16" x14ac:dyDescent="0.3">
      <c r="A44" s="2">
        <v>45267.367361111108</v>
      </c>
      <c r="B44" s="1" t="s">
        <v>239</v>
      </c>
      <c r="C44" s="1" t="s">
        <v>240</v>
      </c>
      <c r="D44" s="1" t="s">
        <v>241</v>
      </c>
      <c r="E44" s="1" t="s">
        <v>18</v>
      </c>
      <c r="F44" s="1" t="s">
        <v>13</v>
      </c>
      <c r="G44" s="2">
        <v>45283.833333333336</v>
      </c>
      <c r="H44" s="2">
        <v>45283.854166666664</v>
      </c>
      <c r="I44" s="2">
        <v>45284.5625</v>
      </c>
      <c r="J44" s="1" t="s">
        <v>132</v>
      </c>
      <c r="K44" s="2">
        <v>45276.833333333336</v>
      </c>
      <c r="L44" s="2">
        <v>45281.854166666664</v>
      </c>
      <c r="M44" s="2">
        <v>45277.000694444447</v>
      </c>
      <c r="N44" s="2">
        <v>45281.625</v>
      </c>
      <c r="O44" s="2">
        <v>45275.333333333336</v>
      </c>
      <c r="P44" s="2">
        <v>45281.333333333336</v>
      </c>
    </row>
    <row r="45" spans="1:16" x14ac:dyDescent="0.3">
      <c r="A45" s="2">
        <v>45267.367361111108</v>
      </c>
      <c r="B45" s="1" t="s">
        <v>251</v>
      </c>
      <c r="C45" s="1" t="s">
        <v>252</v>
      </c>
      <c r="D45" s="1" t="s">
        <v>253</v>
      </c>
      <c r="E45" s="1" t="s">
        <v>42</v>
      </c>
      <c r="F45" s="1" t="s">
        <v>14</v>
      </c>
      <c r="G45" s="2">
        <v>45284.291666666664</v>
      </c>
      <c r="H45" s="2">
        <v>45284.291666666664</v>
      </c>
      <c r="I45" s="2">
        <v>45284.958333333336</v>
      </c>
      <c r="J45" s="1" t="s">
        <v>17</v>
      </c>
      <c r="K45" s="2">
        <v>45277.291666666664</v>
      </c>
      <c r="L45" s="2">
        <v>45282.291666666664</v>
      </c>
      <c r="M45" s="2">
        <v>45278.000694444447</v>
      </c>
      <c r="N45" s="2">
        <v>45282.625</v>
      </c>
      <c r="O45" s="2">
        <v>45275.791666666664</v>
      </c>
      <c r="P45" s="2">
        <v>45281.791666666664</v>
      </c>
    </row>
    <row r="46" spans="1:16" x14ac:dyDescent="0.3">
      <c r="A46" s="2">
        <v>45267.367361111108</v>
      </c>
      <c r="B46" s="1" t="s">
        <v>254</v>
      </c>
      <c r="C46" s="1" t="s">
        <v>255</v>
      </c>
      <c r="D46" s="1" t="s">
        <v>256</v>
      </c>
      <c r="E46" s="1" t="s">
        <v>45</v>
      </c>
      <c r="F46" s="1" t="s">
        <v>14</v>
      </c>
      <c r="G46" s="2">
        <v>45286.000694444447</v>
      </c>
      <c r="H46" s="2">
        <v>45286.166666666664</v>
      </c>
      <c r="I46" s="2">
        <v>45286.875</v>
      </c>
      <c r="J46" s="1" t="s">
        <v>16</v>
      </c>
      <c r="K46" s="2">
        <v>45279.000694444447</v>
      </c>
      <c r="L46" s="2">
        <v>45284.166666666664</v>
      </c>
      <c r="M46" s="2">
        <v>45280.000694444447</v>
      </c>
      <c r="N46" s="2">
        <v>45283.166666666664</v>
      </c>
      <c r="O46" s="2">
        <v>45277.500694444447</v>
      </c>
      <c r="P46" s="2">
        <v>45283.500694444447</v>
      </c>
    </row>
    <row r="47" spans="1:16" x14ac:dyDescent="0.3">
      <c r="A47" s="2">
        <v>45267.367361111108</v>
      </c>
      <c r="B47" s="1" t="s">
        <v>244</v>
      </c>
      <c r="C47" s="1" t="s">
        <v>171</v>
      </c>
      <c r="D47" s="1" t="s">
        <v>171</v>
      </c>
      <c r="E47" s="1" t="s">
        <v>46</v>
      </c>
      <c r="F47" s="1" t="s">
        <v>13</v>
      </c>
      <c r="G47" s="2">
        <v>45286.000694444447</v>
      </c>
      <c r="H47" s="2">
        <v>45286.167361111111</v>
      </c>
      <c r="I47" s="2">
        <v>45287.041666666664</v>
      </c>
      <c r="J47" s="1" t="s">
        <v>28</v>
      </c>
      <c r="K47" s="2">
        <v>45279.000694444447</v>
      </c>
      <c r="L47" s="2">
        <v>45284.167361111111</v>
      </c>
      <c r="M47" s="2">
        <v>45280.000694444447</v>
      </c>
      <c r="N47" s="2">
        <v>45283.167361111111</v>
      </c>
      <c r="O47" s="2">
        <v>45277.500694444447</v>
      </c>
      <c r="P47" s="2">
        <v>45283.500694444447</v>
      </c>
    </row>
    <row r="48" spans="1:16" x14ac:dyDescent="0.3">
      <c r="A48" s="2">
        <v>45267.367361111108</v>
      </c>
      <c r="B48" s="1" t="s">
        <v>152</v>
      </c>
      <c r="C48" s="1" t="s">
        <v>225</v>
      </c>
      <c r="D48" s="1" t="s">
        <v>226</v>
      </c>
      <c r="E48" s="1" t="s">
        <v>44</v>
      </c>
      <c r="F48" s="1" t="s">
        <v>30</v>
      </c>
      <c r="G48" s="2">
        <v>45286.208333333336</v>
      </c>
      <c r="H48" s="2">
        <v>45286.229166666664</v>
      </c>
      <c r="I48" s="2">
        <v>45286.854166666664</v>
      </c>
      <c r="J48" s="1" t="s">
        <v>13</v>
      </c>
      <c r="K48" s="2">
        <v>45279.208333333336</v>
      </c>
      <c r="L48" s="2">
        <v>45284.229166666664</v>
      </c>
      <c r="M48" s="2">
        <v>45280.000694444447</v>
      </c>
      <c r="N48" s="2">
        <v>45283.229166666664</v>
      </c>
      <c r="O48" s="2">
        <v>45277.708333333336</v>
      </c>
      <c r="P48" s="2">
        <v>45283.708333333336</v>
      </c>
    </row>
    <row r="49" spans="1:16" x14ac:dyDescent="0.3">
      <c r="A49" s="2">
        <v>45267.367361111108</v>
      </c>
      <c r="B49" s="1" t="s">
        <v>138</v>
      </c>
      <c r="C49" s="1" t="s">
        <v>208</v>
      </c>
      <c r="D49" s="1" t="s">
        <v>209</v>
      </c>
      <c r="E49" s="1" t="s">
        <v>84</v>
      </c>
      <c r="F49" s="1" t="s">
        <v>14</v>
      </c>
      <c r="G49" s="2">
        <v>45286.916666666664</v>
      </c>
      <c r="H49" s="2">
        <v>45286.916666666664</v>
      </c>
      <c r="I49" s="2">
        <v>45287.583333333336</v>
      </c>
      <c r="J49" s="1" t="s">
        <v>16</v>
      </c>
      <c r="K49" s="2">
        <v>45279.916666666664</v>
      </c>
      <c r="L49" s="2">
        <v>45284.916666666664</v>
      </c>
      <c r="M49" s="2">
        <v>45280.000694444447</v>
      </c>
      <c r="N49" s="2">
        <v>45282.416666666664</v>
      </c>
      <c r="O49" s="2">
        <v>45278.416666666664</v>
      </c>
      <c r="P49" s="2">
        <v>45284.416666666664</v>
      </c>
    </row>
    <row r="50" spans="1:16" x14ac:dyDescent="0.3">
      <c r="A50" s="2">
        <v>45267.367361111108</v>
      </c>
      <c r="B50" s="1" t="s">
        <v>150</v>
      </c>
      <c r="C50" s="1" t="s">
        <v>266</v>
      </c>
      <c r="D50" s="1" t="s">
        <v>267</v>
      </c>
      <c r="E50" s="1" t="s">
        <v>168</v>
      </c>
      <c r="F50" s="1" t="s">
        <v>21</v>
      </c>
      <c r="G50" s="2">
        <v>45287.75</v>
      </c>
      <c r="H50" s="2">
        <v>45287.75</v>
      </c>
      <c r="I50" s="2">
        <v>45288.208333333336</v>
      </c>
      <c r="J50" s="1" t="s">
        <v>19</v>
      </c>
      <c r="K50" s="2">
        <v>45280.75</v>
      </c>
      <c r="L50" s="2">
        <v>45285.75</v>
      </c>
      <c r="M50" s="2">
        <v>45281.000694444447</v>
      </c>
      <c r="N50" s="2">
        <v>45284.75</v>
      </c>
      <c r="O50" s="2">
        <v>45279.25</v>
      </c>
      <c r="P50" s="2">
        <v>45285.25</v>
      </c>
    </row>
    <row r="51" spans="1:16" x14ac:dyDescent="0.3">
      <c r="A51" s="2">
        <v>45267.367361111108</v>
      </c>
      <c r="B51" s="1" t="s">
        <v>190</v>
      </c>
      <c r="C51" s="1" t="s">
        <v>235</v>
      </c>
      <c r="D51" s="1" t="s">
        <v>235</v>
      </c>
      <c r="E51" s="1" t="s">
        <v>85</v>
      </c>
      <c r="F51" s="1" t="s">
        <v>141</v>
      </c>
      <c r="G51" s="2">
        <v>45287.416666666664</v>
      </c>
      <c r="H51" s="2">
        <v>45287.958333333336</v>
      </c>
      <c r="I51" s="2">
        <v>45288.916666666664</v>
      </c>
      <c r="J51" s="1" t="s">
        <v>86</v>
      </c>
      <c r="K51" s="2">
        <v>45280.416666666664</v>
      </c>
      <c r="L51" s="2">
        <v>45285.958333333336</v>
      </c>
      <c r="M51" s="2">
        <v>45281.000694444447</v>
      </c>
      <c r="N51" s="2">
        <v>45285.625</v>
      </c>
      <c r="O51" s="2">
        <v>45278.916666666664</v>
      </c>
      <c r="P51" s="2">
        <v>45284.916666666664</v>
      </c>
    </row>
    <row r="52" spans="1:16" x14ac:dyDescent="0.3">
      <c r="A52" s="2">
        <v>45267.367361111108</v>
      </c>
      <c r="B52" s="1" t="s">
        <v>246</v>
      </c>
      <c r="C52" s="1" t="s">
        <v>247</v>
      </c>
      <c r="D52" s="1" t="s">
        <v>248</v>
      </c>
      <c r="E52" s="1" t="s">
        <v>82</v>
      </c>
      <c r="F52" s="1" t="s">
        <v>14</v>
      </c>
      <c r="G52" s="2">
        <v>45288.958333333336</v>
      </c>
      <c r="H52" s="2">
        <v>45288.958333333336</v>
      </c>
      <c r="I52" s="2">
        <v>45289.75</v>
      </c>
      <c r="J52" s="1" t="s">
        <v>81</v>
      </c>
      <c r="K52" s="2">
        <v>45281.958333333336</v>
      </c>
      <c r="L52" s="2">
        <v>45286.958333333336</v>
      </c>
      <c r="M52" s="2">
        <v>45282.000694444447</v>
      </c>
      <c r="N52" s="2">
        <v>45285.958333333336</v>
      </c>
      <c r="O52" s="2">
        <v>45280.458333333336</v>
      </c>
      <c r="P52" s="2">
        <v>45286.458333333336</v>
      </c>
    </row>
    <row r="53" spans="1:16" x14ac:dyDescent="0.3">
      <c r="A53" s="2">
        <v>45267.367361111108</v>
      </c>
      <c r="B53" s="1" t="s">
        <v>269</v>
      </c>
      <c r="C53" s="1" t="s">
        <v>258</v>
      </c>
      <c r="D53" s="1" t="s">
        <v>258</v>
      </c>
      <c r="E53" s="1" t="s">
        <v>79</v>
      </c>
      <c r="F53" s="1" t="s">
        <v>80</v>
      </c>
      <c r="G53" s="2">
        <v>45289.666666666664</v>
      </c>
      <c r="H53" s="2">
        <v>45289.166666666664</v>
      </c>
      <c r="I53" s="2">
        <v>45289.791666666664</v>
      </c>
      <c r="J53" s="1" t="s">
        <v>13</v>
      </c>
      <c r="K53" s="2">
        <v>45282.666666666664</v>
      </c>
      <c r="L53" s="2">
        <v>45287.166666666664</v>
      </c>
      <c r="M53" s="2">
        <v>45283.000694444447</v>
      </c>
      <c r="N53" s="2">
        <v>45286.166666666664</v>
      </c>
      <c r="O53" s="2">
        <v>45281.166666666664</v>
      </c>
      <c r="P53" s="2">
        <v>45287.166666666664</v>
      </c>
    </row>
    <row r="54" spans="1:16" x14ac:dyDescent="0.3">
      <c r="A54" s="2">
        <v>45267.367361111108</v>
      </c>
      <c r="B54" s="1" t="s">
        <v>281</v>
      </c>
      <c r="C54" s="1" t="s">
        <v>282</v>
      </c>
      <c r="D54" s="1" t="s">
        <v>282</v>
      </c>
      <c r="E54" s="1" t="s">
        <v>127</v>
      </c>
      <c r="F54" s="1" t="s">
        <v>128</v>
      </c>
      <c r="G54" s="2">
        <v>45289.833333333336</v>
      </c>
      <c r="H54" s="2">
        <v>45289.833333333336</v>
      </c>
      <c r="I54" s="2">
        <v>45290.5625</v>
      </c>
      <c r="J54" s="1" t="s">
        <v>16</v>
      </c>
      <c r="K54" s="2">
        <v>45282.833333333336</v>
      </c>
      <c r="L54" s="2">
        <v>45287.833333333336</v>
      </c>
      <c r="M54" s="2">
        <v>45283.000694444447</v>
      </c>
      <c r="N54" s="2">
        <v>45286.833333333336</v>
      </c>
      <c r="O54" s="2">
        <v>45281.333333333336</v>
      </c>
      <c r="P54" s="2">
        <v>45287.333333333336</v>
      </c>
    </row>
    <row r="55" spans="1:16" x14ac:dyDescent="0.3">
      <c r="A55" s="2">
        <v>45267.367361111108</v>
      </c>
      <c r="B55" s="1" t="s">
        <v>265</v>
      </c>
      <c r="C55" s="1" t="s">
        <v>153</v>
      </c>
      <c r="D55" s="1" t="s">
        <v>181</v>
      </c>
      <c r="E55" s="1" t="s">
        <v>46</v>
      </c>
      <c r="F55" s="1" t="s">
        <v>13</v>
      </c>
      <c r="G55" s="2">
        <v>45288.000694444447</v>
      </c>
      <c r="H55" s="2">
        <v>45290.364583333336</v>
      </c>
      <c r="I55" s="2">
        <v>45291.239583333336</v>
      </c>
      <c r="J55" s="1" t="s">
        <v>27</v>
      </c>
      <c r="K55" s="2">
        <v>45281.000694444447</v>
      </c>
      <c r="L55" s="2">
        <v>45288.364583333336</v>
      </c>
      <c r="M55" s="2">
        <v>45282.000694444447</v>
      </c>
      <c r="N55" s="2">
        <v>45286.5</v>
      </c>
      <c r="O55" s="2">
        <v>45279.500694444447</v>
      </c>
      <c r="P55" s="2">
        <v>45285.500694444447</v>
      </c>
    </row>
    <row r="56" spans="1:16" x14ac:dyDescent="0.3">
      <c r="A56" s="2">
        <v>45267.367361111108</v>
      </c>
      <c r="B56" s="1" t="s">
        <v>283</v>
      </c>
      <c r="C56" s="1" t="s">
        <v>247</v>
      </c>
      <c r="D56" s="1" t="s">
        <v>284</v>
      </c>
      <c r="E56" s="1" t="s">
        <v>83</v>
      </c>
      <c r="F56" s="1" t="s">
        <v>13</v>
      </c>
      <c r="G56" s="2">
        <v>45290.75</v>
      </c>
      <c r="H56" s="2">
        <v>45290.75</v>
      </c>
      <c r="I56" s="2">
        <v>45292.25</v>
      </c>
      <c r="J56" s="1" t="s">
        <v>14</v>
      </c>
      <c r="K56" s="2">
        <v>45283.75</v>
      </c>
      <c r="L56" s="2">
        <v>45288.75</v>
      </c>
      <c r="M56" s="2">
        <v>45284.000694444447</v>
      </c>
      <c r="N56" s="2">
        <v>45288.625</v>
      </c>
      <c r="O56" s="2">
        <v>45281.25</v>
      </c>
      <c r="P56" s="2">
        <v>45287.25</v>
      </c>
    </row>
    <row r="57" spans="1:16" x14ac:dyDescent="0.3">
      <c r="A57" s="2">
        <v>45267.367361111108</v>
      </c>
      <c r="B57" s="1" t="s">
        <v>273</v>
      </c>
      <c r="C57" s="1" t="s">
        <v>274</v>
      </c>
      <c r="D57" s="1" t="s">
        <v>275</v>
      </c>
      <c r="E57" s="1" t="s">
        <v>42</v>
      </c>
      <c r="F57" s="1" t="s">
        <v>14</v>
      </c>
      <c r="G57" s="2">
        <v>45291.291666666664</v>
      </c>
      <c r="H57" s="2">
        <v>45291.291666666664</v>
      </c>
      <c r="I57" s="2">
        <v>45291.958333333336</v>
      </c>
      <c r="J57" s="1" t="s">
        <v>17</v>
      </c>
      <c r="K57" s="2">
        <v>45284.291666666664</v>
      </c>
      <c r="L57" s="2">
        <v>45289.291666666664</v>
      </c>
      <c r="M57" s="2">
        <v>45285.000694444447</v>
      </c>
      <c r="N57" s="2">
        <v>45289.625</v>
      </c>
      <c r="O57" s="2">
        <v>45282.791666666664</v>
      </c>
      <c r="P57" s="2">
        <v>45288.791666666664</v>
      </c>
    </row>
    <row r="58" spans="1:16" x14ac:dyDescent="0.3">
      <c r="A58" s="2">
        <v>45267.367361111108</v>
      </c>
      <c r="B58" s="1" t="s">
        <v>67</v>
      </c>
      <c r="C58" s="1" t="s">
        <v>270</v>
      </c>
      <c r="D58" s="1" t="s">
        <v>271</v>
      </c>
      <c r="E58" s="1" t="s">
        <v>52</v>
      </c>
      <c r="F58" s="1"/>
      <c r="G58" s="2">
        <v>45289.916666666664</v>
      </c>
      <c r="H58" s="2">
        <v>45289.916666666664</v>
      </c>
      <c r="I58" s="2">
        <v>45290.5</v>
      </c>
      <c r="J58" s="1" t="s">
        <v>63</v>
      </c>
      <c r="K58" s="2">
        <v>45282.916666666664</v>
      </c>
      <c r="L58" s="2">
        <v>45287.916666666664</v>
      </c>
      <c r="M58" s="2">
        <v>45283.000694444447</v>
      </c>
      <c r="N58" s="2">
        <v>45286.916666666664</v>
      </c>
      <c r="O58" s="2">
        <v>45279.916666666664</v>
      </c>
      <c r="P58" s="2">
        <v>45287.916666666664</v>
      </c>
    </row>
    <row r="59" spans="1:16" x14ac:dyDescent="0.3">
      <c r="A59" s="2">
        <v>45267.367361111108</v>
      </c>
      <c r="B59" s="1" t="s">
        <v>276</v>
      </c>
      <c r="C59" s="1" t="s">
        <v>277</v>
      </c>
      <c r="D59" s="1" t="s">
        <v>278</v>
      </c>
      <c r="E59" s="1" t="s">
        <v>45</v>
      </c>
      <c r="F59" s="1" t="s">
        <v>14</v>
      </c>
      <c r="G59" s="2">
        <v>45292.000694444447</v>
      </c>
      <c r="H59" s="2">
        <v>45292.000694444447</v>
      </c>
      <c r="I59" s="2">
        <v>45292.708333333336</v>
      </c>
      <c r="J59" s="1" t="s">
        <v>16</v>
      </c>
      <c r="K59" s="2">
        <v>45285.000694444447</v>
      </c>
      <c r="L59" s="2">
        <v>45290.000694444447</v>
      </c>
      <c r="M59" s="2">
        <v>45286.000694444447</v>
      </c>
      <c r="N59" s="2">
        <v>45289.000694444447</v>
      </c>
      <c r="O59" s="2">
        <v>45283.500694444447</v>
      </c>
      <c r="P59" s="2">
        <v>45289.500694444447</v>
      </c>
    </row>
    <row r="60" spans="1:16" x14ac:dyDescent="0.3">
      <c r="A60" s="2">
        <v>45267.367361111108</v>
      </c>
      <c r="B60" s="1" t="s">
        <v>68</v>
      </c>
      <c r="C60" s="1" t="s">
        <v>279</v>
      </c>
      <c r="D60" s="1" t="s">
        <v>280</v>
      </c>
      <c r="E60" s="1" t="s">
        <v>44</v>
      </c>
      <c r="F60" s="1" t="s">
        <v>30</v>
      </c>
      <c r="G60" s="2">
        <v>45292.208333333336</v>
      </c>
      <c r="H60" s="2">
        <v>45292.329861111109</v>
      </c>
      <c r="I60" s="2">
        <v>45292.954861111109</v>
      </c>
      <c r="J60" s="1" t="s">
        <v>13</v>
      </c>
      <c r="K60" s="2">
        <v>45285.208333333336</v>
      </c>
      <c r="L60" s="2">
        <v>45290.329861111109</v>
      </c>
      <c r="M60" s="2">
        <v>45286.000694444447</v>
      </c>
      <c r="N60" s="2">
        <v>45289.329861111109</v>
      </c>
      <c r="O60" s="2">
        <v>45283.708333333336</v>
      </c>
      <c r="P60" s="2">
        <v>45289.708333333336</v>
      </c>
    </row>
    <row r="61" spans="1:16" x14ac:dyDescent="0.3">
      <c r="A61" s="2">
        <v>45267.367361111108</v>
      </c>
      <c r="B61" s="1" t="s">
        <v>236</v>
      </c>
      <c r="C61" s="1" t="s">
        <v>237</v>
      </c>
      <c r="D61" s="1" t="s">
        <v>238</v>
      </c>
      <c r="E61" s="1" t="s">
        <v>84</v>
      </c>
      <c r="F61" s="1" t="s">
        <v>14</v>
      </c>
      <c r="G61" s="2">
        <v>45292.791666666664</v>
      </c>
      <c r="H61" s="2">
        <v>45292.791666666664</v>
      </c>
      <c r="I61" s="2">
        <v>45293.291666666664</v>
      </c>
      <c r="J61" s="1" t="s">
        <v>16</v>
      </c>
      <c r="K61" s="2">
        <v>45285.791666666664</v>
      </c>
      <c r="L61" s="2">
        <v>45290.791666666664</v>
      </c>
      <c r="M61" s="2">
        <v>45286.000694444447</v>
      </c>
      <c r="N61" s="2">
        <v>45289.791666666664</v>
      </c>
      <c r="O61" s="2">
        <v>45284.291666666664</v>
      </c>
      <c r="P61" s="2">
        <v>45290.291666666664</v>
      </c>
    </row>
    <row r="62" spans="1:16" x14ac:dyDescent="0.3">
      <c r="A62" s="2">
        <v>45267.367361111108</v>
      </c>
      <c r="B62" s="1" t="s">
        <v>285</v>
      </c>
      <c r="C62" s="1" t="s">
        <v>286</v>
      </c>
      <c r="D62" s="1" t="s">
        <v>287</v>
      </c>
      <c r="E62" s="1" t="s">
        <v>18</v>
      </c>
      <c r="F62" s="1" t="s">
        <v>272</v>
      </c>
      <c r="G62" s="2">
        <v>45293.5</v>
      </c>
      <c r="H62" s="2">
        <v>45293.083333333336</v>
      </c>
      <c r="I62" s="2">
        <v>45294.125</v>
      </c>
      <c r="J62" s="1" t="s">
        <v>132</v>
      </c>
      <c r="K62" s="2">
        <v>45286.5</v>
      </c>
      <c r="L62" s="2">
        <v>45291.083333333336</v>
      </c>
      <c r="M62" s="2">
        <v>45287.000694444447</v>
      </c>
      <c r="N62" s="2">
        <v>45291.625</v>
      </c>
      <c r="O62" s="2">
        <v>45285</v>
      </c>
      <c r="P62" s="2">
        <v>45291</v>
      </c>
    </row>
    <row r="63" spans="1:16" x14ac:dyDescent="0.3">
      <c r="A63" s="2">
        <v>45267.367361111108</v>
      </c>
      <c r="B63" s="1" t="s">
        <v>66</v>
      </c>
      <c r="C63" s="1" t="s">
        <v>197</v>
      </c>
      <c r="D63" s="1" t="s">
        <v>149</v>
      </c>
      <c r="E63" s="1" t="s">
        <v>43</v>
      </c>
      <c r="F63" s="1" t="s">
        <v>14</v>
      </c>
      <c r="G63" s="2">
        <v>45293.166666666664</v>
      </c>
      <c r="H63" s="2">
        <v>45293.583333333336</v>
      </c>
      <c r="I63" s="2">
        <v>45294.25</v>
      </c>
      <c r="J63" s="1" t="s">
        <v>13</v>
      </c>
      <c r="K63" s="2">
        <v>45286.166666666664</v>
      </c>
      <c r="L63" s="2">
        <v>45291.583333333336</v>
      </c>
      <c r="M63" s="2">
        <v>45287.000694444447</v>
      </c>
      <c r="N63" s="2">
        <v>45290.583333333336</v>
      </c>
      <c r="O63" s="2">
        <v>45284.666666666664</v>
      </c>
      <c r="P63" s="2">
        <v>45290.666666666664</v>
      </c>
    </row>
    <row r="64" spans="1:16" x14ac:dyDescent="0.3">
      <c r="A64" s="2">
        <v>45267.367361111108</v>
      </c>
      <c r="B64" s="1" t="s">
        <v>227</v>
      </c>
      <c r="C64" s="1" t="s">
        <v>230</v>
      </c>
      <c r="D64" s="1" t="s">
        <v>230</v>
      </c>
      <c r="E64" s="1" t="s">
        <v>85</v>
      </c>
      <c r="F64" s="1" t="s">
        <v>141</v>
      </c>
      <c r="G64" s="2">
        <v>45294.416666666664</v>
      </c>
      <c r="H64" s="2">
        <v>45294.416666666664</v>
      </c>
      <c r="I64" s="2">
        <v>45295.375</v>
      </c>
      <c r="J64" s="1" t="s">
        <v>86</v>
      </c>
      <c r="K64" s="2">
        <v>45287.416666666664</v>
      </c>
      <c r="L64" s="2">
        <v>45292.416666666664</v>
      </c>
      <c r="M64" s="2">
        <v>45288.000694444447</v>
      </c>
      <c r="N64" s="2">
        <v>45291.416666666664</v>
      </c>
      <c r="O64" s="2">
        <v>45285.916666666664</v>
      </c>
      <c r="P64" s="2">
        <v>45291.916666666664</v>
      </c>
    </row>
    <row r="65" spans="1:16" x14ac:dyDescent="0.3">
      <c r="A65" s="2">
        <v>45267.367361111108</v>
      </c>
      <c r="B65" s="1" t="s">
        <v>289</v>
      </c>
      <c r="C65" s="1" t="s">
        <v>170</v>
      </c>
      <c r="D65" s="1" t="s">
        <v>207</v>
      </c>
      <c r="E65" s="1" t="s">
        <v>46</v>
      </c>
      <c r="F65" s="1" t="s">
        <v>13</v>
      </c>
      <c r="G65" s="2">
        <v>45295.000694444447</v>
      </c>
      <c r="H65" s="2">
        <v>45295.000694444447</v>
      </c>
      <c r="I65" s="2">
        <v>45296.875</v>
      </c>
      <c r="J65" s="1" t="s">
        <v>28</v>
      </c>
      <c r="K65" s="2">
        <v>45288.000694444447</v>
      </c>
      <c r="L65" s="2">
        <v>45293.000694444447</v>
      </c>
      <c r="M65" s="2">
        <v>45289.000694444447</v>
      </c>
      <c r="N65" s="2">
        <v>45292.000694444447</v>
      </c>
      <c r="O65" s="2">
        <v>45286.500694444447</v>
      </c>
      <c r="P65" s="2">
        <v>45292.500694444447</v>
      </c>
    </row>
    <row r="66" spans="1:16" x14ac:dyDescent="0.3">
      <c r="A66" s="2">
        <v>45267.367361111108</v>
      </c>
      <c r="B66" s="1" t="s">
        <v>293</v>
      </c>
      <c r="C66" s="1" t="s">
        <v>247</v>
      </c>
      <c r="D66" s="1" t="s">
        <v>247</v>
      </c>
      <c r="E66" s="1" t="s">
        <v>79</v>
      </c>
      <c r="F66" s="1" t="s">
        <v>80</v>
      </c>
      <c r="G66" s="2">
        <v>45295.666666666664</v>
      </c>
      <c r="H66" s="2">
        <v>45295.666666666664</v>
      </c>
      <c r="I66" s="2">
        <v>45296.291666666664</v>
      </c>
      <c r="J66" s="1" t="s">
        <v>13</v>
      </c>
      <c r="K66" s="2">
        <v>45288.666666666664</v>
      </c>
      <c r="L66" s="2">
        <v>45293.666666666664</v>
      </c>
      <c r="M66" s="2">
        <v>45289.000694444447</v>
      </c>
      <c r="N66" s="2">
        <v>45292.666666666664</v>
      </c>
      <c r="O66" s="2">
        <v>45287.166666666664</v>
      </c>
      <c r="P66" s="2">
        <v>45293.166666666664</v>
      </c>
    </row>
    <row r="67" spans="1:16" x14ac:dyDescent="0.3">
      <c r="A67" s="2">
        <v>45267.367361111108</v>
      </c>
      <c r="B67" s="1" t="s">
        <v>294</v>
      </c>
      <c r="C67" s="1" t="s">
        <v>295</v>
      </c>
      <c r="D67" s="1" t="s">
        <v>296</v>
      </c>
      <c r="E67" s="1" t="s">
        <v>82</v>
      </c>
      <c r="F67" s="1" t="s">
        <v>14</v>
      </c>
      <c r="G67" s="2">
        <v>45295.958333333336</v>
      </c>
      <c r="H67" s="2">
        <v>45295.958333333336</v>
      </c>
      <c r="I67" s="2">
        <v>45296.666666666664</v>
      </c>
      <c r="J67" s="1" t="s">
        <v>81</v>
      </c>
      <c r="K67" s="2">
        <v>45288.958333333336</v>
      </c>
      <c r="L67" s="2">
        <v>45293.958333333336</v>
      </c>
      <c r="M67" s="2">
        <v>45289.000694444447</v>
      </c>
      <c r="N67" s="2">
        <v>45292.958333333336</v>
      </c>
      <c r="O67" s="2">
        <v>45287.458333333336</v>
      </c>
      <c r="P67" s="2">
        <v>45293.458333333336</v>
      </c>
    </row>
    <row r="68" spans="1:16" x14ac:dyDescent="0.3">
      <c r="A68" s="2">
        <v>45264.375694444447</v>
      </c>
      <c r="B68" s="1" t="s">
        <v>159</v>
      </c>
      <c r="C68" s="1" t="s">
        <v>143</v>
      </c>
      <c r="D68" s="1" t="s">
        <v>144</v>
      </c>
      <c r="E68" s="1" t="s">
        <v>46</v>
      </c>
      <c r="F68" s="1" t="s">
        <v>13</v>
      </c>
      <c r="G68" s="2">
        <v>45260.000694444447</v>
      </c>
      <c r="H68" s="2">
        <v>45263.304166666669</v>
      </c>
      <c r="I68" s="2">
        <v>45264.375</v>
      </c>
      <c r="J68" s="1" t="s">
        <v>27</v>
      </c>
      <c r="K68" s="2">
        <v>45253.000694444447</v>
      </c>
      <c r="L68" s="2">
        <v>45261.291666666664</v>
      </c>
      <c r="M68" s="2">
        <v>45254.000694444447</v>
      </c>
      <c r="N68" s="2">
        <v>45261.5</v>
      </c>
      <c r="O68" s="2">
        <v>45251.500694444447</v>
      </c>
      <c r="P68" s="2">
        <v>45257.500694444447</v>
      </c>
    </row>
    <row r="69" spans="1:16" x14ac:dyDescent="0.3">
      <c r="A69" s="2">
        <v>45264.375694444447</v>
      </c>
      <c r="B69" s="1" t="s">
        <v>179</v>
      </c>
      <c r="C69" s="1" t="s">
        <v>180</v>
      </c>
      <c r="D69" s="1" t="s">
        <v>181</v>
      </c>
      <c r="E69" s="1" t="s">
        <v>83</v>
      </c>
      <c r="F69" s="1" t="s">
        <v>16</v>
      </c>
      <c r="G69" s="2">
        <v>45262.75</v>
      </c>
      <c r="H69" s="2">
        <v>45262.520833333336</v>
      </c>
      <c r="I69" s="2">
        <v>45263.96875</v>
      </c>
      <c r="J69" s="1" t="s">
        <v>14</v>
      </c>
      <c r="K69" s="2">
        <v>45255.75</v>
      </c>
      <c r="L69" s="2">
        <v>45260.5</v>
      </c>
      <c r="M69" s="2">
        <v>45256.000694444447</v>
      </c>
      <c r="N69" s="2">
        <v>45260.625</v>
      </c>
      <c r="O69" s="2">
        <v>45253.25</v>
      </c>
      <c r="P69" s="2">
        <v>45259.25</v>
      </c>
    </row>
    <row r="70" spans="1:16" x14ac:dyDescent="0.3">
      <c r="A70" s="2">
        <v>45264.375694444447</v>
      </c>
      <c r="B70" s="1" t="s">
        <v>172</v>
      </c>
      <c r="C70" s="1" t="s">
        <v>173</v>
      </c>
      <c r="D70" s="1" t="s">
        <v>174</v>
      </c>
      <c r="E70" s="1" t="s">
        <v>84</v>
      </c>
      <c r="F70" s="1" t="s">
        <v>14</v>
      </c>
      <c r="G70" s="2">
        <v>45261.5</v>
      </c>
      <c r="H70" s="2">
        <v>45262.743055555555</v>
      </c>
      <c r="I70" s="2">
        <v>45263.24722222222</v>
      </c>
      <c r="J70" s="1" t="s">
        <v>16</v>
      </c>
      <c r="K70" s="2">
        <v>45254.5</v>
      </c>
      <c r="L70" s="2">
        <v>45260.708333333336</v>
      </c>
      <c r="M70" s="2">
        <v>45255.000694444447</v>
      </c>
      <c r="N70" s="2">
        <v>45261.416666666664</v>
      </c>
      <c r="O70" s="2">
        <v>45253</v>
      </c>
      <c r="P70" s="2">
        <v>45259</v>
      </c>
    </row>
    <row r="71" spans="1:16" x14ac:dyDescent="0.3">
      <c r="A71" s="2">
        <v>45264.375694444447</v>
      </c>
      <c r="B71" s="1" t="s">
        <v>156</v>
      </c>
      <c r="C71" s="1" t="s">
        <v>157</v>
      </c>
      <c r="D71" s="1" t="s">
        <v>158</v>
      </c>
      <c r="E71" s="1" t="s">
        <v>18</v>
      </c>
      <c r="F71" s="1" t="s">
        <v>19</v>
      </c>
      <c r="G71" s="2">
        <v>45258.791666666664</v>
      </c>
      <c r="H71" s="2">
        <v>45264.227083333331</v>
      </c>
      <c r="I71" s="2">
        <v>45264.770833333336</v>
      </c>
      <c r="J71" s="1" t="s">
        <v>132</v>
      </c>
      <c r="K71" s="2">
        <v>45251.791666666664</v>
      </c>
      <c r="L71" s="2">
        <v>45262.208333333336</v>
      </c>
      <c r="M71" s="2">
        <v>45252.000694444447</v>
      </c>
      <c r="N71" s="2">
        <v>45261.625</v>
      </c>
      <c r="O71" s="2">
        <v>45250.291666666664</v>
      </c>
      <c r="P71" s="2">
        <v>45256.291666666664</v>
      </c>
    </row>
    <row r="72" spans="1:16" x14ac:dyDescent="0.3">
      <c r="A72" s="2">
        <v>45264.375694444447</v>
      </c>
      <c r="B72" s="1" t="s">
        <v>68</v>
      </c>
      <c r="C72" s="1" t="s">
        <v>216</v>
      </c>
      <c r="D72" s="1" t="s">
        <v>164</v>
      </c>
      <c r="E72" s="1" t="s">
        <v>44</v>
      </c>
      <c r="F72" s="1" t="s">
        <v>30</v>
      </c>
      <c r="G72" s="2">
        <v>45264.5</v>
      </c>
      <c r="H72" s="2">
        <v>45264.416666666664</v>
      </c>
      <c r="I72" s="2">
        <v>45265.020833333336</v>
      </c>
      <c r="J72" s="1" t="s">
        <v>13</v>
      </c>
      <c r="K72" s="2">
        <v>45257.5</v>
      </c>
      <c r="L72" s="2">
        <v>45262.416666666664</v>
      </c>
      <c r="M72" s="2">
        <v>45258.000694444447</v>
      </c>
      <c r="N72" s="2">
        <v>45262.625</v>
      </c>
      <c r="O72" s="2">
        <v>45256</v>
      </c>
      <c r="P72" s="2">
        <v>45262</v>
      </c>
    </row>
    <row r="73" spans="1:16" x14ac:dyDescent="0.3">
      <c r="A73" s="2">
        <v>45264.375694444447</v>
      </c>
      <c r="B73" s="1" t="s">
        <v>185</v>
      </c>
      <c r="C73" s="1" t="s">
        <v>186</v>
      </c>
      <c r="D73" s="1" t="s">
        <v>186</v>
      </c>
      <c r="E73" s="1" t="s">
        <v>133</v>
      </c>
      <c r="F73" s="1" t="s">
        <v>134</v>
      </c>
      <c r="G73" s="2">
        <v>45265.5</v>
      </c>
      <c r="H73" s="2">
        <v>45265.291666666664</v>
      </c>
      <c r="I73" s="2">
        <v>45266.583333333336</v>
      </c>
      <c r="J73" s="1" t="s">
        <v>17</v>
      </c>
      <c r="K73" s="2">
        <v>45258.5</v>
      </c>
      <c r="L73" s="2">
        <v>45263.291666666664</v>
      </c>
      <c r="M73" s="2">
        <v>45259.000694444447</v>
      </c>
      <c r="N73" s="2">
        <v>45263.625</v>
      </c>
      <c r="O73" s="2">
        <v>45257</v>
      </c>
      <c r="P73" s="2">
        <v>45263</v>
      </c>
    </row>
    <row r="74" spans="1:16" x14ac:dyDescent="0.3">
      <c r="A74" s="2">
        <v>45264.375694444447</v>
      </c>
      <c r="B74" s="1" t="s">
        <v>137</v>
      </c>
      <c r="C74" s="1" t="s">
        <v>162</v>
      </c>
      <c r="D74" s="1" t="s">
        <v>163</v>
      </c>
      <c r="E74" s="1" t="s">
        <v>45</v>
      </c>
      <c r="F74" s="1" t="s">
        <v>14</v>
      </c>
      <c r="G74" s="2">
        <v>45265.75</v>
      </c>
      <c r="H74" s="2">
        <v>45265.875</v>
      </c>
      <c r="I74" s="2">
        <v>45266.65625</v>
      </c>
      <c r="J74" s="1" t="s">
        <v>16</v>
      </c>
      <c r="K74" s="2">
        <v>45258.75</v>
      </c>
      <c r="L74" s="2">
        <v>45263.875</v>
      </c>
      <c r="M74" s="2">
        <v>45259.000694444447</v>
      </c>
      <c r="N74" s="2">
        <v>45263.625</v>
      </c>
      <c r="O74" s="2">
        <v>45257.25</v>
      </c>
      <c r="P74" s="2">
        <v>45263.25</v>
      </c>
    </row>
    <row r="75" spans="1:16" x14ac:dyDescent="0.3">
      <c r="A75" s="2">
        <v>45264.375694444447</v>
      </c>
      <c r="B75" s="1" t="s">
        <v>151</v>
      </c>
      <c r="C75" s="1" t="s">
        <v>171</v>
      </c>
      <c r="D75" s="1" t="s">
        <v>171</v>
      </c>
      <c r="E75" s="1" t="s">
        <v>85</v>
      </c>
      <c r="F75" s="1" t="s">
        <v>141</v>
      </c>
      <c r="G75" s="2">
        <v>45266.416666666664</v>
      </c>
      <c r="H75" s="2">
        <v>45266.625</v>
      </c>
      <c r="I75" s="2">
        <v>45267.270833333336</v>
      </c>
      <c r="J75" s="1" t="s">
        <v>86</v>
      </c>
      <c r="K75" s="2">
        <v>45259.416666666664</v>
      </c>
      <c r="L75" s="2">
        <v>45264.625</v>
      </c>
      <c r="M75" s="2">
        <v>45260.000694444447</v>
      </c>
      <c r="N75" s="2">
        <v>45264.625</v>
      </c>
      <c r="O75" s="2">
        <v>45257.916666666664</v>
      </c>
      <c r="P75" s="2">
        <v>45263.916666666664</v>
      </c>
    </row>
    <row r="76" spans="1:16" x14ac:dyDescent="0.3">
      <c r="A76" s="2">
        <v>45264.375694444447</v>
      </c>
      <c r="B76" s="1" t="s">
        <v>187</v>
      </c>
      <c r="C76" s="1" t="s">
        <v>148</v>
      </c>
      <c r="D76" s="1" t="s">
        <v>148</v>
      </c>
      <c r="E76" s="1" t="s">
        <v>46</v>
      </c>
      <c r="F76" s="1" t="s">
        <v>19</v>
      </c>
      <c r="G76" s="2">
        <v>45267.25</v>
      </c>
      <c r="H76" s="2">
        <v>45266.958333333336</v>
      </c>
      <c r="I76" s="2">
        <v>45267.8125</v>
      </c>
      <c r="J76" s="1" t="s">
        <v>28</v>
      </c>
      <c r="K76" s="2">
        <v>45260.25</v>
      </c>
      <c r="L76" s="2">
        <v>45264.958333333336</v>
      </c>
      <c r="M76" s="2">
        <v>45261.000694444447</v>
      </c>
      <c r="N76" s="2">
        <v>45265.5</v>
      </c>
      <c r="O76" s="2">
        <v>45258.75</v>
      </c>
      <c r="P76" s="2">
        <v>45264.75</v>
      </c>
    </row>
    <row r="77" spans="1:16" x14ac:dyDescent="0.3">
      <c r="A77" s="2">
        <v>45264.375694444447</v>
      </c>
      <c r="B77" s="1" t="s">
        <v>190</v>
      </c>
      <c r="C77" s="1" t="s">
        <v>180</v>
      </c>
      <c r="D77" s="1" t="s">
        <v>180</v>
      </c>
      <c r="E77" s="1" t="s">
        <v>79</v>
      </c>
      <c r="F77" s="1" t="s">
        <v>80</v>
      </c>
      <c r="G77" s="2">
        <v>45267.666666666664</v>
      </c>
      <c r="H77" s="2">
        <v>45267.6875</v>
      </c>
      <c r="I77" s="2">
        <v>45268.416666666664</v>
      </c>
      <c r="J77" s="1" t="s">
        <v>13</v>
      </c>
      <c r="K77" s="2">
        <v>45260.666666666664</v>
      </c>
      <c r="L77" s="2">
        <v>45265.6875</v>
      </c>
      <c r="M77" s="2">
        <v>45261.000694444447</v>
      </c>
      <c r="N77" s="2">
        <v>45265.625</v>
      </c>
      <c r="O77" s="2">
        <v>45259.166666666664</v>
      </c>
      <c r="P77" s="2">
        <v>45265.166666666664</v>
      </c>
    </row>
    <row r="78" spans="1:16" x14ac:dyDescent="0.3">
      <c r="A78" s="2">
        <v>45264.375694444447</v>
      </c>
      <c r="B78" s="1" t="s">
        <v>176</v>
      </c>
      <c r="C78" s="1" t="s">
        <v>177</v>
      </c>
      <c r="D78" s="1" t="s">
        <v>178</v>
      </c>
      <c r="E78" s="1" t="s">
        <v>82</v>
      </c>
      <c r="F78" s="1" t="s">
        <v>14</v>
      </c>
      <c r="G78" s="2">
        <v>45268.000694444447</v>
      </c>
      <c r="H78" s="2">
        <v>45267.895833333336</v>
      </c>
      <c r="I78" s="2">
        <v>45268.604166666664</v>
      </c>
      <c r="J78" s="1" t="s">
        <v>81</v>
      </c>
      <c r="K78" s="2">
        <v>45261.000694444447</v>
      </c>
      <c r="L78" s="2">
        <v>45265.895833333336</v>
      </c>
      <c r="M78" s="2">
        <v>45262.000694444447</v>
      </c>
      <c r="N78" s="2">
        <v>45265.625</v>
      </c>
      <c r="O78" s="2">
        <v>45259.500694444447</v>
      </c>
      <c r="P78" s="2">
        <v>45265.500694444447</v>
      </c>
    </row>
    <row r="79" spans="1:16" x14ac:dyDescent="0.3">
      <c r="A79" s="2">
        <v>45264.375694444447</v>
      </c>
      <c r="B79" s="1" t="s">
        <v>69</v>
      </c>
      <c r="C79" s="1" t="s">
        <v>195</v>
      </c>
      <c r="D79" s="1" t="s">
        <v>196</v>
      </c>
      <c r="E79" s="1" t="s">
        <v>47</v>
      </c>
      <c r="F79" s="1"/>
      <c r="G79" s="2">
        <v>45268.833333333336</v>
      </c>
      <c r="H79" s="2">
        <v>45268.6875</v>
      </c>
      <c r="I79" s="2">
        <v>45269.416666666664</v>
      </c>
      <c r="J79" s="1" t="s">
        <v>126</v>
      </c>
      <c r="K79" s="2">
        <v>45261.833333333336</v>
      </c>
      <c r="L79" s="2">
        <v>45266.6875</v>
      </c>
      <c r="M79" s="2">
        <v>45262.000694444447</v>
      </c>
      <c r="N79" s="2">
        <v>45266.625</v>
      </c>
      <c r="O79" s="2">
        <v>45260.333333333336</v>
      </c>
      <c r="P79" s="2">
        <v>45266.333333333336</v>
      </c>
    </row>
    <row r="80" spans="1:16" x14ac:dyDescent="0.3">
      <c r="A80" s="2">
        <v>45264.375694444447</v>
      </c>
      <c r="B80" s="1" t="s">
        <v>150</v>
      </c>
      <c r="C80" s="1" t="s">
        <v>188</v>
      </c>
      <c r="D80" s="1" t="s">
        <v>189</v>
      </c>
      <c r="E80" s="1" t="s">
        <v>168</v>
      </c>
      <c r="F80" s="1" t="s">
        <v>21</v>
      </c>
      <c r="G80" s="2">
        <v>45266.75</v>
      </c>
      <c r="H80" s="2">
        <v>45268.770833333336</v>
      </c>
      <c r="I80" s="2">
        <v>45269.1875</v>
      </c>
      <c r="J80" s="1" t="s">
        <v>19</v>
      </c>
      <c r="K80" s="2">
        <v>45259.75</v>
      </c>
      <c r="L80" s="2">
        <v>45266.770833333336</v>
      </c>
      <c r="M80" s="2">
        <v>45260.000694444447</v>
      </c>
      <c r="N80" s="2">
        <v>45264.625</v>
      </c>
      <c r="O80" s="2">
        <v>45258.25</v>
      </c>
      <c r="P80" s="2">
        <v>45264.25</v>
      </c>
    </row>
    <row r="81" spans="1:16" x14ac:dyDescent="0.3">
      <c r="A81" s="2">
        <v>45264.375694444447</v>
      </c>
      <c r="B81" s="1" t="s">
        <v>165</v>
      </c>
      <c r="C81" s="1" t="s">
        <v>166</v>
      </c>
      <c r="D81" s="1" t="s">
        <v>167</v>
      </c>
      <c r="E81" s="1" t="s">
        <v>18</v>
      </c>
      <c r="F81" s="1" t="s">
        <v>272</v>
      </c>
      <c r="G81" s="2">
        <v>45271.5</v>
      </c>
      <c r="H81" s="2">
        <v>45269.458333333336</v>
      </c>
      <c r="I81" s="2">
        <v>45270.125</v>
      </c>
      <c r="J81" s="1" t="s">
        <v>132</v>
      </c>
      <c r="K81" s="2">
        <v>45264.5</v>
      </c>
      <c r="L81" s="2">
        <v>45267.458333333336</v>
      </c>
      <c r="M81" s="2">
        <v>45265.000694444447</v>
      </c>
      <c r="N81" s="2">
        <v>45268.625</v>
      </c>
      <c r="O81" s="2">
        <v>45263</v>
      </c>
      <c r="P81" s="2">
        <v>45268.5</v>
      </c>
    </row>
    <row r="82" spans="1:16" x14ac:dyDescent="0.3">
      <c r="A82" s="2">
        <v>45264.375694444447</v>
      </c>
      <c r="B82" s="1" t="s">
        <v>67</v>
      </c>
      <c r="C82" s="1" t="s">
        <v>193</v>
      </c>
      <c r="D82" s="1" t="s">
        <v>194</v>
      </c>
      <c r="E82" s="1" t="s">
        <v>52</v>
      </c>
      <c r="F82" s="1"/>
      <c r="G82" s="2">
        <v>45268.916666666664</v>
      </c>
      <c r="H82" s="2">
        <v>45268.791666666664</v>
      </c>
      <c r="I82" s="2">
        <v>45269.3125</v>
      </c>
      <c r="J82" s="1" t="s">
        <v>63</v>
      </c>
      <c r="K82" s="2">
        <v>45261.916666666664</v>
      </c>
      <c r="L82" s="2">
        <v>45266.791666666664</v>
      </c>
      <c r="M82" s="2">
        <v>45262.000694444447</v>
      </c>
      <c r="N82" s="2">
        <v>45267.708333333336</v>
      </c>
      <c r="O82" s="2">
        <v>45258.916666666664</v>
      </c>
      <c r="P82" s="2">
        <v>45266.791666666664</v>
      </c>
    </row>
    <row r="83" spans="1:16" x14ac:dyDescent="0.3">
      <c r="A83" s="2">
        <v>45264.375694444447</v>
      </c>
      <c r="B83" s="1" t="s">
        <v>139</v>
      </c>
      <c r="C83" s="1" t="s">
        <v>206</v>
      </c>
      <c r="D83" s="1" t="s">
        <v>207</v>
      </c>
      <c r="E83" s="1" t="s">
        <v>83</v>
      </c>
      <c r="F83" s="1" t="s">
        <v>13</v>
      </c>
      <c r="G83" s="2">
        <v>45270.75</v>
      </c>
      <c r="H83" s="2">
        <v>45269.75</v>
      </c>
      <c r="I83" s="2">
        <v>45271.416666666664</v>
      </c>
      <c r="J83" s="1" t="s">
        <v>14</v>
      </c>
      <c r="K83" s="2">
        <v>45263.75</v>
      </c>
      <c r="L83" s="2">
        <v>45267.75</v>
      </c>
      <c r="M83" s="2">
        <v>45264.000694444447</v>
      </c>
      <c r="N83" s="2">
        <v>45267.625</v>
      </c>
      <c r="O83" s="2">
        <v>45261.25</v>
      </c>
      <c r="P83" s="2">
        <v>45267.25</v>
      </c>
    </row>
    <row r="84" spans="1:16" x14ac:dyDescent="0.3">
      <c r="A84" s="2">
        <v>45264.375694444447</v>
      </c>
      <c r="B84" s="1" t="s">
        <v>198</v>
      </c>
      <c r="C84" s="1" t="s">
        <v>199</v>
      </c>
      <c r="D84" s="1" t="s">
        <v>200</v>
      </c>
      <c r="E84" s="1" t="s">
        <v>42</v>
      </c>
      <c r="F84" s="1" t="s">
        <v>14</v>
      </c>
      <c r="G84" s="2">
        <v>45271.208333333336</v>
      </c>
      <c r="H84" s="2">
        <v>45270.229166666664</v>
      </c>
      <c r="I84" s="2">
        <v>45270.895833333336</v>
      </c>
      <c r="J84" s="1" t="s">
        <v>17</v>
      </c>
      <c r="K84" s="2">
        <v>45264.208333333336</v>
      </c>
      <c r="L84" s="2">
        <v>45268.229166666664</v>
      </c>
      <c r="M84" s="2">
        <v>45265.000694444447</v>
      </c>
      <c r="N84" s="2">
        <v>45269.5</v>
      </c>
      <c r="O84" s="2">
        <v>45262.708333333336</v>
      </c>
      <c r="P84" s="2">
        <v>45268.708333333336</v>
      </c>
    </row>
    <row r="85" spans="1:16" x14ac:dyDescent="0.3">
      <c r="A85" s="2">
        <v>45264.375694444447</v>
      </c>
      <c r="B85" s="1" t="s">
        <v>131</v>
      </c>
      <c r="C85" s="1" t="s">
        <v>201</v>
      </c>
      <c r="D85" s="1" t="s">
        <v>202</v>
      </c>
      <c r="E85" s="1" t="s">
        <v>45</v>
      </c>
      <c r="F85" s="1" t="s">
        <v>14</v>
      </c>
      <c r="G85" s="2">
        <v>45271.000694444447</v>
      </c>
      <c r="H85" s="2">
        <v>45271.020833333336</v>
      </c>
      <c r="I85" s="2">
        <v>45271.729166666664</v>
      </c>
      <c r="J85" s="1" t="s">
        <v>16</v>
      </c>
      <c r="K85" s="2">
        <v>45264.000694444447</v>
      </c>
      <c r="L85" s="2">
        <v>45269.020833333336</v>
      </c>
      <c r="M85" s="2">
        <v>45265.000694444447</v>
      </c>
      <c r="N85" s="2">
        <v>45269.5</v>
      </c>
      <c r="O85" s="2">
        <v>45262.500694444447</v>
      </c>
      <c r="P85" s="2">
        <v>45268.500694444447</v>
      </c>
    </row>
    <row r="86" spans="1:16" x14ac:dyDescent="0.3">
      <c r="A86" s="2">
        <v>45264.375694444447</v>
      </c>
      <c r="B86" s="1" t="s">
        <v>152</v>
      </c>
      <c r="C86" s="1" t="s">
        <v>216</v>
      </c>
      <c r="D86" s="1" t="s">
        <v>164</v>
      </c>
      <c r="E86" s="1" t="s">
        <v>44</v>
      </c>
      <c r="F86" s="1" t="s">
        <v>30</v>
      </c>
      <c r="G86" s="2">
        <v>45271.208333333336</v>
      </c>
      <c r="H86" s="2">
        <v>45271.458333333336</v>
      </c>
      <c r="I86" s="2">
        <v>45272.083333333336</v>
      </c>
      <c r="J86" s="1" t="s">
        <v>13</v>
      </c>
      <c r="K86" s="2">
        <v>45264.208333333336</v>
      </c>
      <c r="L86" s="2">
        <v>45269.458333333336</v>
      </c>
      <c r="M86" s="2">
        <v>45265.000694444447</v>
      </c>
      <c r="N86" s="2">
        <v>45268.458333333336</v>
      </c>
      <c r="O86" s="2">
        <v>45262.708333333336</v>
      </c>
      <c r="P86" s="2">
        <v>45268.708333333336</v>
      </c>
    </row>
    <row r="87" spans="1:16" x14ac:dyDescent="0.3">
      <c r="A87" s="2">
        <v>45264.375694444447</v>
      </c>
      <c r="B87" s="1" t="s">
        <v>64</v>
      </c>
      <c r="C87" s="1" t="s">
        <v>146</v>
      </c>
      <c r="D87" s="1" t="s">
        <v>140</v>
      </c>
      <c r="E87" s="1" t="s">
        <v>43</v>
      </c>
      <c r="F87" s="1" t="s">
        <v>21</v>
      </c>
      <c r="G87" s="2">
        <v>45271.708333333336</v>
      </c>
      <c r="H87" s="2">
        <v>45271.708333333336</v>
      </c>
      <c r="I87" s="2">
        <v>45272.25</v>
      </c>
      <c r="J87" s="1" t="s">
        <v>23</v>
      </c>
      <c r="K87" s="2">
        <v>45264.708333333336</v>
      </c>
      <c r="L87" s="2">
        <v>45269.708333333336</v>
      </c>
      <c r="M87" s="2">
        <v>45265.000694444447</v>
      </c>
      <c r="N87" s="2">
        <v>45269.625</v>
      </c>
      <c r="O87" s="2">
        <v>45263.208333333336</v>
      </c>
      <c r="P87" s="2">
        <v>45269.208333333336</v>
      </c>
    </row>
    <row r="88" spans="1:16" x14ac:dyDescent="0.3">
      <c r="A88" s="2">
        <v>45264.375694444447</v>
      </c>
      <c r="B88" s="1" t="s">
        <v>203</v>
      </c>
      <c r="C88" s="1" t="s">
        <v>204</v>
      </c>
      <c r="D88" s="1" t="s">
        <v>205</v>
      </c>
      <c r="E88" s="1" t="s">
        <v>142</v>
      </c>
      <c r="F88" s="1" t="s">
        <v>14</v>
      </c>
      <c r="G88" s="2">
        <v>45272.25</v>
      </c>
      <c r="H88" s="2">
        <v>45272.291666666664</v>
      </c>
      <c r="I88" s="2">
        <v>45272.708333333336</v>
      </c>
      <c r="J88" s="1" t="s">
        <v>17</v>
      </c>
      <c r="K88" s="2">
        <v>45265.25</v>
      </c>
      <c r="L88" s="2">
        <v>45270.291666666664</v>
      </c>
      <c r="M88" s="2">
        <v>45266.000694444447</v>
      </c>
      <c r="N88" s="2">
        <v>45269.291666666664</v>
      </c>
      <c r="O88" s="2">
        <v>45263.75</v>
      </c>
      <c r="P88" s="2">
        <v>45269.75</v>
      </c>
    </row>
    <row r="89" spans="1:16" x14ac:dyDescent="0.3">
      <c r="A89" s="2">
        <v>45264.375694444447</v>
      </c>
      <c r="B89" s="1" t="s">
        <v>213</v>
      </c>
      <c r="C89" s="1" t="s">
        <v>214</v>
      </c>
      <c r="D89" s="1" t="s">
        <v>215</v>
      </c>
      <c r="E89" s="1" t="s">
        <v>18</v>
      </c>
      <c r="F89" s="1" t="s">
        <v>19</v>
      </c>
      <c r="G89" s="2">
        <v>45279.5</v>
      </c>
      <c r="H89" s="2">
        <v>45275.208333333336</v>
      </c>
      <c r="I89" s="2">
        <v>45276</v>
      </c>
      <c r="J89" s="1" t="s">
        <v>132</v>
      </c>
      <c r="K89" s="2">
        <v>45272.5</v>
      </c>
      <c r="L89" s="2">
        <v>45273.208333333336</v>
      </c>
      <c r="M89" s="2">
        <v>45273.000694444447</v>
      </c>
      <c r="N89" s="2">
        <v>45273.625</v>
      </c>
      <c r="O89" s="2">
        <v>45271</v>
      </c>
      <c r="P89" s="2">
        <v>45273.5</v>
      </c>
    </row>
    <row r="90" spans="1:16" x14ac:dyDescent="0.3">
      <c r="A90" s="2">
        <v>45264.375694444447</v>
      </c>
      <c r="B90" s="1" t="s">
        <v>231</v>
      </c>
      <c r="C90" s="1" t="s">
        <v>232</v>
      </c>
      <c r="D90" s="1" t="s">
        <v>232</v>
      </c>
      <c r="E90" s="1" t="s">
        <v>127</v>
      </c>
      <c r="F90" s="1" t="s">
        <v>128</v>
      </c>
      <c r="G90" s="2">
        <v>45275.833333333336</v>
      </c>
      <c r="H90" s="2">
        <v>45275.875</v>
      </c>
      <c r="I90" s="2">
        <v>45276.604166666664</v>
      </c>
      <c r="J90" s="1" t="s">
        <v>233</v>
      </c>
      <c r="K90" s="2">
        <v>45268.833333333336</v>
      </c>
      <c r="L90" s="2">
        <v>45273.875</v>
      </c>
      <c r="M90" s="2">
        <v>45269.000694444447</v>
      </c>
      <c r="N90" s="2">
        <v>45272.875</v>
      </c>
      <c r="O90" s="2">
        <v>45267.333333333336</v>
      </c>
      <c r="P90" s="2">
        <v>45273.333333333336</v>
      </c>
    </row>
    <row r="91" spans="1:16" x14ac:dyDescent="0.3">
      <c r="A91" s="2">
        <v>45264.375694444447</v>
      </c>
      <c r="B91" s="1" t="s">
        <v>182</v>
      </c>
      <c r="C91" s="1" t="s">
        <v>183</v>
      </c>
      <c r="D91" s="1" t="s">
        <v>184</v>
      </c>
      <c r="E91" s="1" t="s">
        <v>84</v>
      </c>
      <c r="F91" s="1" t="s">
        <v>14</v>
      </c>
      <c r="G91" s="2">
        <v>45276.5</v>
      </c>
      <c r="H91" s="2">
        <v>45276.041666666664</v>
      </c>
      <c r="I91" s="2">
        <v>45276.84375</v>
      </c>
      <c r="J91" s="1" t="s">
        <v>16</v>
      </c>
      <c r="K91" s="2">
        <v>45269.5</v>
      </c>
      <c r="L91" s="2">
        <v>45274.041666666664</v>
      </c>
      <c r="M91" s="2">
        <v>45270.000694444447</v>
      </c>
      <c r="N91" s="2">
        <v>45274.416666666664</v>
      </c>
      <c r="O91" s="2">
        <v>45268</v>
      </c>
      <c r="P91" s="2">
        <v>45274</v>
      </c>
    </row>
    <row r="92" spans="1:16" x14ac:dyDescent="0.3">
      <c r="A92" s="2">
        <v>45264.375694444447</v>
      </c>
      <c r="B92" s="1" t="s">
        <v>67</v>
      </c>
      <c r="C92" s="1" t="s">
        <v>218</v>
      </c>
      <c r="D92" s="1" t="s">
        <v>219</v>
      </c>
      <c r="E92" s="1" t="s">
        <v>52</v>
      </c>
      <c r="F92" s="1"/>
      <c r="G92" s="2">
        <v>45275.916666666664</v>
      </c>
      <c r="H92" s="2">
        <v>45275.916666666664</v>
      </c>
      <c r="I92" s="2">
        <v>45276.625</v>
      </c>
      <c r="J92" s="1" t="s">
        <v>63</v>
      </c>
      <c r="K92" s="2">
        <v>45268.916666666664</v>
      </c>
      <c r="L92" s="2">
        <v>45273.916666666664</v>
      </c>
      <c r="M92" s="2">
        <v>45269.000694444447</v>
      </c>
      <c r="N92" s="2">
        <v>45272.916666666664</v>
      </c>
      <c r="O92" s="2">
        <v>45265.916666666664</v>
      </c>
      <c r="P92" s="2">
        <v>45273.916666666664</v>
      </c>
    </row>
    <row r="93" spans="1:16" x14ac:dyDescent="0.3">
      <c r="A93" s="2">
        <v>45264.375694444447</v>
      </c>
      <c r="B93" s="1" t="s">
        <v>68</v>
      </c>
      <c r="C93" s="1" t="s">
        <v>225</v>
      </c>
      <c r="D93" s="1" t="s">
        <v>226</v>
      </c>
      <c r="E93" s="1" t="s">
        <v>44</v>
      </c>
      <c r="F93" s="1" t="s">
        <v>30</v>
      </c>
      <c r="G93" s="2">
        <v>45278.208333333336</v>
      </c>
      <c r="H93" s="2">
        <v>45278.25</v>
      </c>
      <c r="I93" s="2">
        <v>45278.875</v>
      </c>
      <c r="J93" s="1" t="s">
        <v>13</v>
      </c>
      <c r="K93" s="2">
        <v>45271.208333333336</v>
      </c>
      <c r="L93" s="2">
        <v>45276.25</v>
      </c>
      <c r="M93" s="2">
        <v>45272.000694444447</v>
      </c>
      <c r="N93" s="2">
        <v>45275.25</v>
      </c>
      <c r="O93" s="2">
        <v>45269.708333333336</v>
      </c>
      <c r="P93" s="2">
        <v>45275.708333333336</v>
      </c>
    </row>
    <row r="94" spans="1:16" x14ac:dyDescent="0.3">
      <c r="A94" s="2">
        <v>45264.375694444447</v>
      </c>
      <c r="B94" s="1" t="s">
        <v>138</v>
      </c>
      <c r="C94" s="1" t="s">
        <v>208</v>
      </c>
      <c r="D94" s="1" t="s">
        <v>209</v>
      </c>
      <c r="E94" s="1" t="s">
        <v>84</v>
      </c>
      <c r="F94" s="1" t="s">
        <v>14</v>
      </c>
      <c r="G94" s="2">
        <v>45279</v>
      </c>
      <c r="H94" s="2">
        <v>45279.042361111111</v>
      </c>
      <c r="I94" s="2">
        <v>45279.708333333336</v>
      </c>
      <c r="J94" s="1" t="s">
        <v>16</v>
      </c>
      <c r="K94" s="2">
        <v>45272</v>
      </c>
      <c r="L94" s="2">
        <v>45277.042361111111</v>
      </c>
      <c r="M94" s="2">
        <v>45273.000694444447</v>
      </c>
      <c r="N94" s="2">
        <v>45275.416666666664</v>
      </c>
      <c r="O94" s="2">
        <v>45270.5</v>
      </c>
      <c r="P94" s="2">
        <v>45276.5</v>
      </c>
    </row>
    <row r="95" spans="1:16" x14ac:dyDescent="0.3">
      <c r="A95" s="2">
        <v>45264.375694444447</v>
      </c>
      <c r="B95" s="1" t="s">
        <v>239</v>
      </c>
      <c r="C95" s="1" t="s">
        <v>240</v>
      </c>
      <c r="D95" s="1" t="s">
        <v>241</v>
      </c>
      <c r="E95" s="1" t="s">
        <v>18</v>
      </c>
      <c r="F95" s="1" t="s">
        <v>19</v>
      </c>
      <c r="G95" s="2">
        <v>45279.916666666664</v>
      </c>
      <c r="H95" s="2">
        <v>45279.916666666664</v>
      </c>
      <c r="I95" s="2">
        <v>45280.625</v>
      </c>
      <c r="J95" s="1" t="s">
        <v>132</v>
      </c>
      <c r="K95" s="2">
        <v>45272.916666666664</v>
      </c>
      <c r="L95" s="2">
        <v>45277.916666666664</v>
      </c>
      <c r="M95" s="2">
        <v>45273.000694444447</v>
      </c>
      <c r="N95" s="2">
        <v>45277.625</v>
      </c>
      <c r="O95" s="2">
        <v>45271.416666666664</v>
      </c>
      <c r="P95" s="2">
        <v>45277.416666666664</v>
      </c>
    </row>
    <row r="96" spans="1:16" x14ac:dyDescent="0.3">
      <c r="A96" s="2">
        <v>45264.375694444447</v>
      </c>
      <c r="B96" s="1" t="s">
        <v>217</v>
      </c>
      <c r="C96" s="1" t="s">
        <v>154</v>
      </c>
      <c r="D96" s="1" t="s">
        <v>154</v>
      </c>
      <c r="E96" s="1" t="s">
        <v>46</v>
      </c>
      <c r="F96" s="1" t="s">
        <v>13</v>
      </c>
      <c r="G96" s="2">
        <v>45280.000694444447</v>
      </c>
      <c r="H96" s="2">
        <v>45280.75</v>
      </c>
      <c r="I96" s="2">
        <v>45281.625</v>
      </c>
      <c r="J96" s="1" t="s">
        <v>27</v>
      </c>
      <c r="K96" s="2">
        <v>45273.000694444447</v>
      </c>
      <c r="L96" s="2">
        <v>45278.75</v>
      </c>
      <c r="M96" s="2">
        <v>45274.000694444447</v>
      </c>
      <c r="N96" s="2">
        <v>45277.75</v>
      </c>
      <c r="O96" s="2">
        <v>45271.500694444447</v>
      </c>
      <c r="P96" s="2">
        <v>45277.500694444447</v>
      </c>
    </row>
    <row r="97" spans="1:16" x14ac:dyDescent="0.3">
      <c r="A97" s="2">
        <v>45264.375694444447</v>
      </c>
      <c r="B97" s="1" t="s">
        <v>228</v>
      </c>
      <c r="C97" s="1" t="s">
        <v>229</v>
      </c>
      <c r="D97" s="1" t="s">
        <v>230</v>
      </c>
      <c r="E97" s="1" t="s">
        <v>82</v>
      </c>
      <c r="F97" s="1" t="s">
        <v>14</v>
      </c>
      <c r="G97" s="2">
        <v>45282.958333333336</v>
      </c>
      <c r="H97" s="2">
        <v>45282.166666666664</v>
      </c>
      <c r="I97" s="2">
        <v>45282.958333333336</v>
      </c>
      <c r="J97" s="1" t="s">
        <v>81</v>
      </c>
      <c r="K97" s="2">
        <v>45275.958333333336</v>
      </c>
      <c r="L97" s="2">
        <v>45280.166666666664</v>
      </c>
      <c r="M97" s="2">
        <v>45276.000694444447</v>
      </c>
      <c r="N97" s="2">
        <v>45279.166666666664</v>
      </c>
      <c r="O97" s="2">
        <v>45274.458333333336</v>
      </c>
      <c r="P97" s="2">
        <v>45280.458333333336</v>
      </c>
    </row>
    <row r="98" spans="1:16" x14ac:dyDescent="0.3">
      <c r="A98" s="2">
        <v>45264.375694444447</v>
      </c>
      <c r="B98" s="1" t="s">
        <v>251</v>
      </c>
      <c r="C98" s="1" t="s">
        <v>252</v>
      </c>
      <c r="D98" s="1" t="s">
        <v>253</v>
      </c>
      <c r="E98" s="1" t="s">
        <v>42</v>
      </c>
      <c r="F98" s="1" t="s">
        <v>14</v>
      </c>
      <c r="G98" s="2">
        <v>45284.291666666664</v>
      </c>
      <c r="H98" s="2">
        <v>45284.291666666664</v>
      </c>
      <c r="I98" s="2">
        <v>45284.958333333336</v>
      </c>
      <c r="J98" s="1" t="s">
        <v>17</v>
      </c>
      <c r="K98" s="2">
        <v>45277.291666666664</v>
      </c>
      <c r="L98" s="2">
        <v>45282.291666666664</v>
      </c>
      <c r="M98" s="2">
        <v>45278.000694444447</v>
      </c>
      <c r="N98" s="2">
        <v>45313.625</v>
      </c>
      <c r="O98" s="2">
        <v>45275.791666666664</v>
      </c>
      <c r="P98" s="2">
        <v>45281.791666666664</v>
      </c>
    </row>
    <row r="99" spans="1:16" x14ac:dyDescent="0.3">
      <c r="A99" s="2">
        <v>45264.375694444447</v>
      </c>
      <c r="B99" s="1" t="s">
        <v>67</v>
      </c>
      <c r="C99" s="1" t="s">
        <v>249</v>
      </c>
      <c r="D99" s="1" t="s">
        <v>250</v>
      </c>
      <c r="E99" s="1" t="s">
        <v>52</v>
      </c>
      <c r="F99" s="1"/>
      <c r="G99" s="2">
        <v>45282.916666666664</v>
      </c>
      <c r="H99" s="2">
        <v>45283</v>
      </c>
      <c r="I99" s="2">
        <v>45283.708333333336</v>
      </c>
      <c r="J99" s="1" t="s">
        <v>63</v>
      </c>
      <c r="K99" s="2">
        <v>45275.916666666664</v>
      </c>
      <c r="L99" s="2">
        <v>45281</v>
      </c>
      <c r="M99" s="2">
        <v>45276.000694444447</v>
      </c>
      <c r="N99" s="2">
        <v>45280</v>
      </c>
      <c r="O99" s="2">
        <v>45272.916666666664</v>
      </c>
      <c r="P99" s="2">
        <v>45281</v>
      </c>
    </row>
    <row r="100" spans="1:16" x14ac:dyDescent="0.3">
      <c r="A100" s="2">
        <v>45264.375694444447</v>
      </c>
      <c r="B100" s="1" t="s">
        <v>236</v>
      </c>
      <c r="C100" s="1" t="s">
        <v>237</v>
      </c>
      <c r="D100" s="1" t="s">
        <v>238</v>
      </c>
      <c r="E100" s="1" t="s">
        <v>84</v>
      </c>
      <c r="F100" s="1" t="s">
        <v>14</v>
      </c>
      <c r="G100" s="2">
        <v>45285.000694444447</v>
      </c>
      <c r="H100" s="2">
        <v>45285.958333333336</v>
      </c>
      <c r="I100" s="2">
        <v>45286.625</v>
      </c>
      <c r="J100" s="1" t="s">
        <v>16</v>
      </c>
      <c r="K100" s="2">
        <v>45278.000694444447</v>
      </c>
      <c r="L100" s="2">
        <v>45283.958333333336</v>
      </c>
      <c r="M100" s="2">
        <v>45279.000694444447</v>
      </c>
      <c r="N100" s="2">
        <v>45282.958333333336</v>
      </c>
      <c r="O100" s="2">
        <v>45276.500694444447</v>
      </c>
      <c r="P100" s="2">
        <v>45282.500694444447</v>
      </c>
    </row>
    <row r="101" spans="1:16" x14ac:dyDescent="0.3">
      <c r="A101" s="2">
        <v>45264.375694444447</v>
      </c>
      <c r="B101" s="1" t="s">
        <v>254</v>
      </c>
      <c r="C101" s="1" t="s">
        <v>255</v>
      </c>
      <c r="D101" s="1" t="s">
        <v>256</v>
      </c>
      <c r="E101" s="1" t="s">
        <v>45</v>
      </c>
      <c r="F101" s="1" t="s">
        <v>14</v>
      </c>
      <c r="G101" s="2">
        <v>45286.000694444447</v>
      </c>
      <c r="H101" s="2">
        <v>45286.667361111111</v>
      </c>
      <c r="I101" s="2">
        <v>45287.375</v>
      </c>
      <c r="J101" s="1" t="s">
        <v>16</v>
      </c>
      <c r="K101" s="2">
        <v>45279.000694444447</v>
      </c>
      <c r="L101" s="2">
        <v>45284.667361111111</v>
      </c>
      <c r="M101" s="2">
        <v>45280.000694444447</v>
      </c>
      <c r="N101" s="2">
        <v>45283.667361111111</v>
      </c>
      <c r="O101" s="2">
        <v>45277.500694444447</v>
      </c>
      <c r="P101" s="2">
        <v>45283.500694444447</v>
      </c>
    </row>
    <row r="102" spans="1:16" x14ac:dyDescent="0.3">
      <c r="A102" s="2">
        <v>45264.375694444447</v>
      </c>
      <c r="B102" s="1" t="s">
        <v>265</v>
      </c>
      <c r="C102" s="1" t="s">
        <v>153</v>
      </c>
      <c r="D102" s="1" t="s">
        <v>181</v>
      </c>
      <c r="E102" s="1" t="s">
        <v>46</v>
      </c>
      <c r="F102" s="1" t="s">
        <v>13</v>
      </c>
      <c r="G102" s="2">
        <v>45288.000694444447</v>
      </c>
      <c r="H102" s="2">
        <v>45288.000694444447</v>
      </c>
      <c r="I102" s="2">
        <v>45288.875</v>
      </c>
      <c r="J102" s="1" t="s">
        <v>27</v>
      </c>
      <c r="K102" s="2">
        <v>45281.000694444447</v>
      </c>
      <c r="L102" s="2">
        <v>45286.000694444447</v>
      </c>
      <c r="M102" s="2">
        <v>45282.000694444447</v>
      </c>
      <c r="N102" s="2">
        <v>45286.5</v>
      </c>
      <c r="O102" s="2">
        <v>45279.500694444447</v>
      </c>
      <c r="P102" s="2">
        <v>45285.500694444447</v>
      </c>
    </row>
    <row r="103" spans="1:16" x14ac:dyDescent="0.3">
      <c r="A103" s="2">
        <v>45264.375694444447</v>
      </c>
      <c r="B103" s="1" t="s">
        <v>273</v>
      </c>
      <c r="C103" s="1" t="s">
        <v>274</v>
      </c>
      <c r="D103" s="1" t="s">
        <v>275</v>
      </c>
      <c r="E103" s="1" t="s">
        <v>42</v>
      </c>
      <c r="F103" s="1" t="s">
        <v>14</v>
      </c>
      <c r="G103" s="2">
        <v>45291.291666666664</v>
      </c>
      <c r="H103" s="2">
        <v>45291.291666666664</v>
      </c>
      <c r="I103" s="2">
        <v>45291.958333333336</v>
      </c>
      <c r="J103" s="1" t="s">
        <v>17</v>
      </c>
      <c r="K103" s="2">
        <v>45284.291666666664</v>
      </c>
      <c r="L103" s="2">
        <v>45289.291666666664</v>
      </c>
      <c r="M103" s="2">
        <v>45285.000694444447</v>
      </c>
      <c r="N103" s="2">
        <v>45320.625</v>
      </c>
      <c r="O103" s="2">
        <v>45282.791666666664</v>
      </c>
      <c r="P103" s="2">
        <v>45288.791666666664</v>
      </c>
    </row>
    <row r="104" spans="1:16" x14ac:dyDescent="0.3">
      <c r="A104" s="2">
        <v>45260.361111111109</v>
      </c>
      <c r="B104" s="1" t="s">
        <v>172</v>
      </c>
      <c r="C104" s="1" t="s">
        <v>173</v>
      </c>
      <c r="D104" s="1" t="s">
        <v>174</v>
      </c>
      <c r="E104" s="1" t="s">
        <v>84</v>
      </c>
      <c r="F104" s="1" t="s">
        <v>14</v>
      </c>
      <c r="G104" s="2">
        <v>45261.5</v>
      </c>
      <c r="H104" s="2">
        <v>45262.5</v>
      </c>
      <c r="I104" s="2">
        <v>45263.0625</v>
      </c>
      <c r="J104" s="1" t="s">
        <v>16</v>
      </c>
      <c r="K104" s="2">
        <v>45254.5</v>
      </c>
      <c r="L104" s="2">
        <v>45260.5</v>
      </c>
      <c r="M104" s="2">
        <v>45255.000694444447</v>
      </c>
      <c r="N104" s="2">
        <v>45261.416666666664</v>
      </c>
      <c r="O104" s="2">
        <v>45253</v>
      </c>
      <c r="P104" s="2">
        <v>45259</v>
      </c>
    </row>
    <row r="105" spans="1:16" x14ac:dyDescent="0.3">
      <c r="A105" s="2">
        <v>45260.361111111109</v>
      </c>
      <c r="B105" s="1" t="s">
        <v>179</v>
      </c>
      <c r="C105" s="1" t="s">
        <v>180</v>
      </c>
      <c r="D105" s="1" t="s">
        <v>181</v>
      </c>
      <c r="E105" s="1" t="s">
        <v>83</v>
      </c>
      <c r="F105" s="1" t="s">
        <v>16</v>
      </c>
      <c r="G105" s="2">
        <v>45262.75</v>
      </c>
      <c r="H105" s="2">
        <v>45262.75</v>
      </c>
      <c r="I105" s="2">
        <v>45263.979166666664</v>
      </c>
      <c r="J105" s="1" t="s">
        <v>14</v>
      </c>
      <c r="K105" s="2">
        <v>45255.75</v>
      </c>
      <c r="L105" s="2">
        <v>45260.75</v>
      </c>
      <c r="M105" s="2">
        <v>45256.000694444447</v>
      </c>
      <c r="N105" s="2">
        <v>45260.625</v>
      </c>
      <c r="O105" s="2">
        <v>45253.25</v>
      </c>
      <c r="P105" s="2">
        <v>45259.25</v>
      </c>
    </row>
    <row r="106" spans="1:16" x14ac:dyDescent="0.3">
      <c r="A106" s="2">
        <v>45260.361111111109</v>
      </c>
      <c r="B106" s="1" t="s">
        <v>159</v>
      </c>
      <c r="C106" s="1" t="s">
        <v>143</v>
      </c>
      <c r="D106" s="1" t="s">
        <v>144</v>
      </c>
      <c r="E106" s="1" t="s">
        <v>46</v>
      </c>
      <c r="F106" s="1" t="s">
        <v>13</v>
      </c>
      <c r="G106" s="2">
        <v>45260.000694444447</v>
      </c>
      <c r="H106" s="2">
        <v>45263.104166666664</v>
      </c>
      <c r="I106" s="2">
        <v>45264</v>
      </c>
      <c r="J106" s="1" t="s">
        <v>27</v>
      </c>
      <c r="K106" s="2">
        <v>45253.000694444447</v>
      </c>
      <c r="L106" s="2">
        <v>45261.104166666664</v>
      </c>
      <c r="M106" s="2">
        <v>45254.000694444447</v>
      </c>
      <c r="N106" s="2">
        <v>45261.5</v>
      </c>
      <c r="O106" s="2">
        <v>45251.500694444447</v>
      </c>
      <c r="P106" s="2">
        <v>45257.500694444447</v>
      </c>
    </row>
    <row r="107" spans="1:16" x14ac:dyDescent="0.3">
      <c r="A107" s="2">
        <v>45260.361111111109</v>
      </c>
      <c r="B107" s="1" t="s">
        <v>156</v>
      </c>
      <c r="C107" s="1" t="s">
        <v>157</v>
      </c>
      <c r="D107" s="1" t="s">
        <v>158</v>
      </c>
      <c r="E107" s="1" t="s">
        <v>18</v>
      </c>
      <c r="F107" s="1" t="s">
        <v>19</v>
      </c>
      <c r="G107" s="2">
        <v>45258.791666666664</v>
      </c>
      <c r="H107" s="2">
        <v>45264.041666666664</v>
      </c>
      <c r="I107" s="2">
        <v>45264.75</v>
      </c>
      <c r="J107" s="1" t="s">
        <v>132</v>
      </c>
      <c r="K107" s="2">
        <v>45251.791666666664</v>
      </c>
      <c r="L107" s="2">
        <v>45262.041666666664</v>
      </c>
      <c r="M107" s="2">
        <v>45252.000694444447</v>
      </c>
      <c r="N107" s="2">
        <v>45261.625</v>
      </c>
      <c r="O107" s="2">
        <v>45250.291666666664</v>
      </c>
      <c r="P107" s="2">
        <v>45256.291666666664</v>
      </c>
    </row>
    <row r="108" spans="1:16" x14ac:dyDescent="0.3">
      <c r="A108" s="2">
        <v>45260.361111111109</v>
      </c>
      <c r="B108" s="1" t="s">
        <v>68</v>
      </c>
      <c r="C108" s="1" t="s">
        <v>216</v>
      </c>
      <c r="D108" s="1" t="s">
        <v>164</v>
      </c>
      <c r="E108" s="1" t="s">
        <v>44</v>
      </c>
      <c r="F108" s="1" t="s">
        <v>30</v>
      </c>
      <c r="G108" s="2">
        <v>45264.5</v>
      </c>
      <c r="H108" s="2">
        <v>45264.25</v>
      </c>
      <c r="I108" s="2">
        <v>45264.875</v>
      </c>
      <c r="J108" s="1" t="s">
        <v>13</v>
      </c>
      <c r="K108" s="2">
        <v>45257.5</v>
      </c>
      <c r="L108" s="2">
        <v>45262.25</v>
      </c>
      <c r="M108" s="2">
        <v>45258.000694444447</v>
      </c>
      <c r="N108" s="2">
        <v>45262.625</v>
      </c>
      <c r="O108" s="2">
        <v>45256</v>
      </c>
      <c r="P108" s="2">
        <v>45262</v>
      </c>
    </row>
    <row r="109" spans="1:16" x14ac:dyDescent="0.3">
      <c r="A109" s="2">
        <v>45260.361111111109</v>
      </c>
      <c r="B109" s="1" t="s">
        <v>185</v>
      </c>
      <c r="C109" s="1" t="s">
        <v>186</v>
      </c>
      <c r="D109" s="1" t="s">
        <v>186</v>
      </c>
      <c r="E109" s="1" t="s">
        <v>133</v>
      </c>
      <c r="F109" s="1" t="s">
        <v>134</v>
      </c>
      <c r="G109" s="2">
        <v>45265.5</v>
      </c>
      <c r="H109" s="2">
        <v>45265.25</v>
      </c>
      <c r="I109" s="2">
        <v>45266.3125</v>
      </c>
      <c r="J109" s="1" t="s">
        <v>17</v>
      </c>
      <c r="K109" s="2">
        <v>45258.5</v>
      </c>
      <c r="L109" s="2">
        <v>45263.25</v>
      </c>
      <c r="M109" s="2">
        <v>45259.000694444447</v>
      </c>
      <c r="N109" s="2">
        <v>45263.625</v>
      </c>
      <c r="O109" s="2">
        <v>45257</v>
      </c>
      <c r="P109" s="2">
        <v>45263</v>
      </c>
    </row>
    <row r="110" spans="1:16" x14ac:dyDescent="0.3">
      <c r="A110" s="2">
        <v>45260.361111111109</v>
      </c>
      <c r="B110" s="1" t="s">
        <v>137</v>
      </c>
      <c r="C110" s="1" t="s">
        <v>162</v>
      </c>
      <c r="D110" s="1" t="s">
        <v>163</v>
      </c>
      <c r="E110" s="1" t="s">
        <v>45</v>
      </c>
      <c r="F110" s="1" t="s">
        <v>14</v>
      </c>
      <c r="G110" s="2">
        <v>45265.75</v>
      </c>
      <c r="H110" s="2">
        <v>45265.71875</v>
      </c>
      <c r="I110" s="2">
        <v>45266.71875</v>
      </c>
      <c r="J110" s="1" t="s">
        <v>16</v>
      </c>
      <c r="K110" s="2">
        <v>45258.75</v>
      </c>
      <c r="L110" s="2">
        <v>45263.71875</v>
      </c>
      <c r="M110" s="2">
        <v>45259.000694444447</v>
      </c>
      <c r="N110" s="2">
        <v>45263.625</v>
      </c>
      <c r="O110" s="2">
        <v>45257.25</v>
      </c>
      <c r="P110" s="2">
        <v>45263.25</v>
      </c>
    </row>
    <row r="111" spans="1:16" x14ac:dyDescent="0.3">
      <c r="A111" s="2">
        <v>45260.361111111109</v>
      </c>
      <c r="B111" s="1" t="s">
        <v>151</v>
      </c>
      <c r="C111" s="1" t="s">
        <v>171</v>
      </c>
      <c r="D111" s="1" t="s">
        <v>171</v>
      </c>
      <c r="E111" s="1" t="s">
        <v>85</v>
      </c>
      <c r="F111" s="1" t="s">
        <v>141</v>
      </c>
      <c r="G111" s="2">
        <v>45266.416666666664</v>
      </c>
      <c r="H111" s="2">
        <v>45266.416666666664</v>
      </c>
      <c r="I111" s="2">
        <v>45267.0625</v>
      </c>
      <c r="J111" s="1" t="s">
        <v>86</v>
      </c>
      <c r="K111" s="2">
        <v>45259.416666666664</v>
      </c>
      <c r="L111" s="2">
        <v>45264.416666666664</v>
      </c>
      <c r="M111" s="2">
        <v>45260.000694444447</v>
      </c>
      <c r="N111" s="2">
        <v>45264.625</v>
      </c>
      <c r="O111" s="2">
        <v>45257.916666666664</v>
      </c>
      <c r="P111" s="2">
        <v>45263.916666666664</v>
      </c>
    </row>
    <row r="112" spans="1:16" x14ac:dyDescent="0.3">
      <c r="A112" s="2">
        <v>45260.361111111109</v>
      </c>
      <c r="B112" s="1" t="s">
        <v>187</v>
      </c>
      <c r="C112" s="1" t="s">
        <v>148</v>
      </c>
      <c r="D112" s="1" t="s">
        <v>148</v>
      </c>
      <c r="E112" s="1" t="s">
        <v>46</v>
      </c>
      <c r="F112" s="1" t="s">
        <v>19</v>
      </c>
      <c r="G112" s="2">
        <v>45267.25</v>
      </c>
      <c r="H112" s="2">
        <v>45267.000694444447</v>
      </c>
      <c r="I112" s="2">
        <v>45267.875</v>
      </c>
      <c r="J112" s="1" t="s">
        <v>28</v>
      </c>
      <c r="K112" s="2">
        <v>45260.25</v>
      </c>
      <c r="L112" s="2">
        <v>45265.000694444447</v>
      </c>
      <c r="M112" s="2">
        <v>45261.000694444447</v>
      </c>
      <c r="N112" s="2">
        <v>45265.5</v>
      </c>
      <c r="O112" s="2">
        <v>45258.75</v>
      </c>
      <c r="P112" s="2">
        <v>45264.75</v>
      </c>
    </row>
    <row r="113" spans="1:16" x14ac:dyDescent="0.3">
      <c r="A113" s="2">
        <v>45260.361111111109</v>
      </c>
      <c r="B113" s="1" t="s">
        <v>150</v>
      </c>
      <c r="C113" s="1" t="s">
        <v>188</v>
      </c>
      <c r="D113" s="1" t="s">
        <v>189</v>
      </c>
      <c r="E113" s="1" t="s">
        <v>168</v>
      </c>
      <c r="F113" s="1" t="s">
        <v>21</v>
      </c>
      <c r="G113" s="2">
        <v>45266.75</v>
      </c>
      <c r="H113" s="2">
        <v>45267.4375</v>
      </c>
      <c r="I113" s="2">
        <v>45267.854166666664</v>
      </c>
      <c r="J113" s="1" t="s">
        <v>19</v>
      </c>
      <c r="K113" s="2">
        <v>45259.75</v>
      </c>
      <c r="L113" s="2">
        <v>45265.4375</v>
      </c>
      <c r="M113" s="2">
        <v>45260.000694444447</v>
      </c>
      <c r="N113" s="2">
        <v>45264.625</v>
      </c>
      <c r="O113" s="2">
        <v>45258.25</v>
      </c>
      <c r="P113" s="2">
        <v>45264.25</v>
      </c>
    </row>
    <row r="114" spans="1:16" x14ac:dyDescent="0.3">
      <c r="A114" s="2">
        <v>45260.361111111109</v>
      </c>
      <c r="B114" s="1" t="s">
        <v>190</v>
      </c>
      <c r="C114" s="1" t="s">
        <v>180</v>
      </c>
      <c r="D114" s="1" t="s">
        <v>180</v>
      </c>
      <c r="E114" s="1" t="s">
        <v>79</v>
      </c>
      <c r="F114" s="1" t="s">
        <v>80</v>
      </c>
      <c r="G114" s="2">
        <v>45267.666666666664</v>
      </c>
      <c r="H114" s="2">
        <v>45267.916666666664</v>
      </c>
      <c r="I114" s="2">
        <v>45268.541666666664</v>
      </c>
      <c r="J114" s="1" t="s">
        <v>13</v>
      </c>
      <c r="K114" s="2">
        <v>45260.666666666664</v>
      </c>
      <c r="L114" s="2">
        <v>45265.916666666664</v>
      </c>
      <c r="M114" s="2">
        <v>45261.000694444447</v>
      </c>
      <c r="N114" s="2">
        <v>45265.625</v>
      </c>
      <c r="O114" s="2">
        <v>45259.166666666664</v>
      </c>
      <c r="P114" s="2">
        <v>45265.166666666664</v>
      </c>
    </row>
    <row r="115" spans="1:16" x14ac:dyDescent="0.3">
      <c r="A115" s="2">
        <v>45260.361111111109</v>
      </c>
      <c r="B115" s="1" t="s">
        <v>176</v>
      </c>
      <c r="C115" s="1" t="s">
        <v>177</v>
      </c>
      <c r="D115" s="1" t="s">
        <v>178</v>
      </c>
      <c r="E115" s="1" t="s">
        <v>82</v>
      </c>
      <c r="F115" s="1" t="s">
        <v>14</v>
      </c>
      <c r="G115" s="2">
        <v>45268.000694444447</v>
      </c>
      <c r="H115" s="2">
        <v>45268</v>
      </c>
      <c r="I115" s="2">
        <v>45268.708333333336</v>
      </c>
      <c r="J115" s="1" t="s">
        <v>81</v>
      </c>
      <c r="K115" s="2">
        <v>45261.000694444447</v>
      </c>
      <c r="L115" s="2">
        <v>45266</v>
      </c>
      <c r="M115" s="2">
        <v>45262.000694444447</v>
      </c>
      <c r="N115" s="2">
        <v>45265.625</v>
      </c>
      <c r="O115" s="2">
        <v>45259.500694444447</v>
      </c>
      <c r="P115" s="2">
        <v>45265.500694444447</v>
      </c>
    </row>
    <row r="116" spans="1:16" x14ac:dyDescent="0.3">
      <c r="A116" s="2">
        <v>45260.361111111109</v>
      </c>
      <c r="B116" s="1" t="s">
        <v>69</v>
      </c>
      <c r="C116" s="1" t="s">
        <v>195</v>
      </c>
      <c r="D116" s="1" t="s">
        <v>196</v>
      </c>
      <c r="E116" s="1" t="s">
        <v>47</v>
      </c>
      <c r="F116" s="1"/>
      <c r="G116" s="2">
        <v>45268.833333333336</v>
      </c>
      <c r="H116" s="2">
        <v>45268.854166666664</v>
      </c>
      <c r="I116" s="2">
        <v>45269.583333333336</v>
      </c>
      <c r="J116" s="1" t="s">
        <v>126</v>
      </c>
      <c r="K116" s="2">
        <v>45261.833333333336</v>
      </c>
      <c r="L116" s="2">
        <v>45266.854166666664</v>
      </c>
      <c r="M116" s="2">
        <v>45262.000694444447</v>
      </c>
      <c r="N116" s="2">
        <v>45266.625</v>
      </c>
      <c r="O116" s="2">
        <v>45260.333333333336</v>
      </c>
      <c r="P116" s="2">
        <v>45266.333333333336</v>
      </c>
    </row>
    <row r="117" spans="1:16" x14ac:dyDescent="0.3">
      <c r="A117" s="2">
        <v>45260.361111111109</v>
      </c>
      <c r="B117" s="1" t="s">
        <v>165</v>
      </c>
      <c r="C117" s="1" t="s">
        <v>166</v>
      </c>
      <c r="D117" s="1" t="s">
        <v>167</v>
      </c>
      <c r="E117" s="1" t="s">
        <v>18</v>
      </c>
      <c r="F117" s="1" t="s">
        <v>19</v>
      </c>
      <c r="G117" s="2">
        <v>45271.5</v>
      </c>
      <c r="H117" s="2">
        <v>45269.6875</v>
      </c>
      <c r="I117" s="2">
        <v>45270.354166666664</v>
      </c>
      <c r="J117" s="1" t="s">
        <v>132</v>
      </c>
      <c r="K117" s="2">
        <v>45264.5</v>
      </c>
      <c r="L117" s="2">
        <v>45267.6875</v>
      </c>
      <c r="M117" s="2">
        <v>45265.000694444447</v>
      </c>
      <c r="N117" s="2">
        <v>45268.625</v>
      </c>
      <c r="O117" s="2">
        <v>45263</v>
      </c>
      <c r="P117" s="2">
        <v>45269</v>
      </c>
    </row>
    <row r="118" spans="1:16" x14ac:dyDescent="0.3">
      <c r="A118" s="2">
        <v>45260.361111111109</v>
      </c>
      <c r="B118" s="1" t="s">
        <v>198</v>
      </c>
      <c r="C118" s="1" t="s">
        <v>199</v>
      </c>
      <c r="D118" s="1" t="s">
        <v>200</v>
      </c>
      <c r="E118" s="1" t="s">
        <v>42</v>
      </c>
      <c r="F118" s="1" t="s">
        <v>14</v>
      </c>
      <c r="G118" s="2">
        <v>45271.208333333336</v>
      </c>
      <c r="H118" s="2">
        <v>45270.395833333336</v>
      </c>
      <c r="I118" s="2">
        <v>45271.0625</v>
      </c>
      <c r="J118" s="1" t="s">
        <v>17</v>
      </c>
      <c r="K118" s="2">
        <v>45264.208333333336</v>
      </c>
      <c r="L118" s="2">
        <v>45268.395833333336</v>
      </c>
      <c r="M118" s="2">
        <v>45265.000694444447</v>
      </c>
      <c r="N118" s="2">
        <v>45269.5</v>
      </c>
      <c r="O118" s="2">
        <v>45262.708333333336</v>
      </c>
      <c r="P118" s="2">
        <v>45268.708333333336</v>
      </c>
    </row>
    <row r="119" spans="1:16" x14ac:dyDescent="0.3">
      <c r="A119" s="2">
        <v>45260.361111111109</v>
      </c>
      <c r="B119" s="1" t="s">
        <v>131</v>
      </c>
      <c r="C119" s="1" t="s">
        <v>201</v>
      </c>
      <c r="D119" s="1" t="s">
        <v>202</v>
      </c>
      <c r="E119" s="1" t="s">
        <v>45</v>
      </c>
      <c r="F119" s="1" t="s">
        <v>14</v>
      </c>
      <c r="G119" s="2">
        <v>45271.000694444447</v>
      </c>
      <c r="H119" s="2">
        <v>45271.104166666664</v>
      </c>
      <c r="I119" s="2">
        <v>45271.8125</v>
      </c>
      <c r="J119" s="1" t="s">
        <v>16</v>
      </c>
      <c r="K119" s="2">
        <v>45264.000694444447</v>
      </c>
      <c r="L119" s="2">
        <v>45269.104166666664</v>
      </c>
      <c r="M119" s="2">
        <v>45265.000694444447</v>
      </c>
      <c r="N119" s="2">
        <v>45268.104166666664</v>
      </c>
      <c r="O119" s="2">
        <v>45262.500694444447</v>
      </c>
      <c r="P119" s="2">
        <v>45268.500694444447</v>
      </c>
    </row>
    <row r="120" spans="1:16" x14ac:dyDescent="0.3">
      <c r="A120" s="2">
        <v>45260.361111111109</v>
      </c>
      <c r="B120" s="1" t="s">
        <v>210</v>
      </c>
      <c r="C120" s="1" t="s">
        <v>147</v>
      </c>
      <c r="D120" s="1" t="s">
        <v>171</v>
      </c>
      <c r="E120" s="1" t="s">
        <v>211</v>
      </c>
      <c r="F120" s="1" t="s">
        <v>212</v>
      </c>
      <c r="G120" s="2">
        <v>45272.25</v>
      </c>
      <c r="H120" s="2">
        <v>45272.25</v>
      </c>
      <c r="I120" s="2">
        <v>45273.25</v>
      </c>
      <c r="J120" s="1"/>
      <c r="K120" s="2">
        <v>45265.25</v>
      </c>
      <c r="L120" s="2">
        <v>45270.25</v>
      </c>
      <c r="M120" s="2">
        <v>45266.000694444447</v>
      </c>
      <c r="N120" s="2">
        <v>45270.625</v>
      </c>
      <c r="O120" s="2">
        <v>45263.75</v>
      </c>
      <c r="P120" s="2">
        <v>45269.75</v>
      </c>
    </row>
    <row r="121" spans="1:16" x14ac:dyDescent="0.3">
      <c r="A121" s="2">
        <v>45260.361111111109</v>
      </c>
      <c r="B121" s="1" t="s">
        <v>213</v>
      </c>
      <c r="C121" s="1" t="s">
        <v>214</v>
      </c>
      <c r="D121" s="1" t="s">
        <v>215</v>
      </c>
      <c r="E121" s="1" t="s">
        <v>18</v>
      </c>
      <c r="F121" s="1" t="s">
        <v>19</v>
      </c>
      <c r="G121" s="2">
        <v>45275.166666666664</v>
      </c>
      <c r="H121" s="2">
        <v>45275.208333333336</v>
      </c>
      <c r="I121" s="2">
        <v>45276</v>
      </c>
      <c r="J121" s="1" t="s">
        <v>132</v>
      </c>
      <c r="K121" s="2">
        <v>45268.166666666664</v>
      </c>
      <c r="L121" s="2">
        <v>45273.208333333336</v>
      </c>
      <c r="M121" s="2">
        <v>45269.000694444447</v>
      </c>
      <c r="N121" s="2">
        <v>45273.625</v>
      </c>
      <c r="O121" s="2">
        <v>45266.666666666664</v>
      </c>
      <c r="P121" s="2">
        <v>45272.666666666664</v>
      </c>
    </row>
    <row r="122" spans="1:16" x14ac:dyDescent="0.3">
      <c r="A122" s="2">
        <v>45260.361111111109</v>
      </c>
      <c r="B122" s="1" t="s">
        <v>245</v>
      </c>
      <c r="C122" s="1" t="s">
        <v>229</v>
      </c>
      <c r="D122" s="1" t="s">
        <v>229</v>
      </c>
      <c r="E122" s="1" t="s">
        <v>79</v>
      </c>
      <c r="F122" s="1" t="s">
        <v>80</v>
      </c>
      <c r="G122" s="2">
        <v>45281.666666666664</v>
      </c>
      <c r="H122" s="2">
        <v>45281.666666666664</v>
      </c>
      <c r="I122" s="2">
        <v>45282.291666666664</v>
      </c>
      <c r="J122" s="1" t="s">
        <v>13</v>
      </c>
      <c r="K122" s="2">
        <v>45274.666666666664</v>
      </c>
      <c r="L122" s="2">
        <v>45279.666666666664</v>
      </c>
      <c r="M122" s="2">
        <v>45275.000694444447</v>
      </c>
      <c r="N122" s="2">
        <v>45280.5</v>
      </c>
      <c r="O122" s="2">
        <v>45273.166666666664</v>
      </c>
      <c r="P122" s="2">
        <v>45279.166666666664</v>
      </c>
    </row>
    <row r="123" spans="1:16" x14ac:dyDescent="0.3">
      <c r="A123" s="2">
        <v>45260.361111111109</v>
      </c>
      <c r="B123" s="1" t="s">
        <v>228</v>
      </c>
      <c r="C123" s="1" t="s">
        <v>229</v>
      </c>
      <c r="D123" s="1" t="s">
        <v>230</v>
      </c>
      <c r="E123" s="1" t="s">
        <v>82</v>
      </c>
      <c r="F123" s="1" t="s">
        <v>14</v>
      </c>
      <c r="G123" s="2">
        <v>45282.958333333336</v>
      </c>
      <c r="H123" s="2">
        <v>45282.333333333336</v>
      </c>
      <c r="I123" s="2">
        <v>45283.125</v>
      </c>
      <c r="J123" s="1" t="s">
        <v>81</v>
      </c>
      <c r="K123" s="2">
        <v>45275.958333333336</v>
      </c>
      <c r="L123" s="2">
        <v>45280.333333333336</v>
      </c>
      <c r="M123" s="2">
        <v>45276.000694444447</v>
      </c>
      <c r="N123" s="2">
        <v>45279.333333333336</v>
      </c>
      <c r="O123" s="2">
        <v>45274.458333333336</v>
      </c>
      <c r="P123" s="2">
        <v>45280.458333333336</v>
      </c>
    </row>
    <row r="124" spans="1:16" x14ac:dyDescent="0.3">
      <c r="A124" s="2">
        <v>45260.361111111109</v>
      </c>
      <c r="B124" s="1" t="s">
        <v>155</v>
      </c>
      <c r="C124" s="1" t="s">
        <v>223</v>
      </c>
      <c r="D124" s="1" t="s">
        <v>224</v>
      </c>
      <c r="E124" s="1" t="s">
        <v>45</v>
      </c>
      <c r="F124" s="1" t="s">
        <v>14</v>
      </c>
      <c r="G124" s="2">
        <v>45282.25</v>
      </c>
      <c r="H124" s="2">
        <v>45282.344444444447</v>
      </c>
      <c r="I124" s="2">
        <v>45283.052083333336</v>
      </c>
      <c r="J124" s="1" t="s">
        <v>16</v>
      </c>
      <c r="K124" s="2">
        <v>45275.25</v>
      </c>
      <c r="L124" s="2">
        <v>45280.344444444447</v>
      </c>
      <c r="M124" s="2">
        <v>45276.000694444447</v>
      </c>
      <c r="N124" s="2">
        <v>45279.344444444447</v>
      </c>
      <c r="O124" s="2">
        <v>45273.75</v>
      </c>
      <c r="P124" s="2">
        <v>45279.75</v>
      </c>
    </row>
    <row r="125" spans="1:16" x14ac:dyDescent="0.3">
      <c r="A125" s="2">
        <v>45260.361111111109</v>
      </c>
      <c r="B125" s="1" t="s">
        <v>268</v>
      </c>
      <c r="C125" s="1" t="s">
        <v>263</v>
      </c>
      <c r="D125" s="1" t="s">
        <v>264</v>
      </c>
      <c r="E125" s="1" t="s">
        <v>47</v>
      </c>
      <c r="F125" s="1"/>
      <c r="G125" s="2">
        <v>45282.833333333336</v>
      </c>
      <c r="H125" s="2">
        <v>45282.875</v>
      </c>
      <c r="I125" s="2">
        <v>45283.604166666664</v>
      </c>
      <c r="J125" s="1" t="s">
        <v>126</v>
      </c>
      <c r="K125" s="2">
        <v>45275.833333333336</v>
      </c>
      <c r="L125" s="2">
        <v>45280.875</v>
      </c>
      <c r="M125" s="2">
        <v>45276.000694444447</v>
      </c>
      <c r="N125" s="2">
        <v>45279.875</v>
      </c>
      <c r="O125" s="2">
        <v>45274.333333333336</v>
      </c>
      <c r="P125" s="2">
        <v>45280.333333333336</v>
      </c>
    </row>
    <row r="126" spans="1:16" x14ac:dyDescent="0.3">
      <c r="A126" s="2">
        <v>45260.361111111109</v>
      </c>
      <c r="B126" s="1" t="s">
        <v>67</v>
      </c>
      <c r="C126" s="1" t="s">
        <v>249</v>
      </c>
      <c r="D126" s="1" t="s">
        <v>250</v>
      </c>
      <c r="E126" s="1" t="s">
        <v>52</v>
      </c>
      <c r="F126" s="1"/>
      <c r="G126" s="2">
        <v>45282.916666666664</v>
      </c>
      <c r="H126" s="2">
        <v>45282.916666666664</v>
      </c>
      <c r="I126" s="2">
        <v>45283.625</v>
      </c>
      <c r="J126" s="1" t="s">
        <v>63</v>
      </c>
      <c r="K126" s="2">
        <v>45275.916666666664</v>
      </c>
      <c r="L126" s="2">
        <v>45280.916666666664</v>
      </c>
      <c r="M126" s="2">
        <v>45276.000694444447</v>
      </c>
      <c r="N126" s="2">
        <v>45279.916666666664</v>
      </c>
      <c r="O126" s="2">
        <v>45272.916666666664</v>
      </c>
      <c r="P126" s="2">
        <v>45280.916666666664</v>
      </c>
    </row>
    <row r="127" spans="1:16" x14ac:dyDescent="0.3">
      <c r="A127" s="2">
        <v>45259.481249999997</v>
      </c>
      <c r="B127" s="1" t="s">
        <v>156</v>
      </c>
      <c r="C127" s="1" t="s">
        <v>157</v>
      </c>
      <c r="D127" s="1" t="s">
        <v>158</v>
      </c>
      <c r="E127" s="1" t="s">
        <v>18</v>
      </c>
      <c r="F127" s="1" t="s">
        <v>19</v>
      </c>
      <c r="G127" s="2">
        <v>45258.791666666664</v>
      </c>
      <c r="H127" s="2">
        <v>45262.46875</v>
      </c>
      <c r="I127" s="2">
        <v>45263.177083333336</v>
      </c>
      <c r="J127" s="1" t="s">
        <v>132</v>
      </c>
      <c r="K127" s="2">
        <v>45251.791666666664</v>
      </c>
      <c r="L127" s="2">
        <v>45260.46875</v>
      </c>
      <c r="M127" s="2">
        <v>45252.000694444447</v>
      </c>
      <c r="N127" s="2">
        <v>45260.625</v>
      </c>
      <c r="O127" s="2">
        <v>45250.291666666664</v>
      </c>
      <c r="P127" s="2">
        <v>45256.291666666664</v>
      </c>
    </row>
    <row r="128" spans="1:16" x14ac:dyDescent="0.3">
      <c r="A128" s="2">
        <v>45259.481249999997</v>
      </c>
      <c r="B128" s="1" t="s">
        <v>159</v>
      </c>
      <c r="C128" s="1" t="s">
        <v>143</v>
      </c>
      <c r="D128" s="1" t="s">
        <v>144</v>
      </c>
      <c r="E128" s="1" t="s">
        <v>46</v>
      </c>
      <c r="F128" s="1" t="s">
        <v>13</v>
      </c>
      <c r="G128" s="2">
        <v>45260.000694444447</v>
      </c>
      <c r="H128" s="2">
        <v>45263.21875</v>
      </c>
      <c r="I128" s="2">
        <v>45264.114583333336</v>
      </c>
      <c r="J128" s="1" t="s">
        <v>27</v>
      </c>
      <c r="K128" s="2">
        <v>45253.000694444447</v>
      </c>
      <c r="L128" s="2">
        <v>45261.21875</v>
      </c>
      <c r="M128" s="2">
        <v>45254.000694444447</v>
      </c>
      <c r="N128" s="2">
        <v>45261.5</v>
      </c>
      <c r="O128" s="2">
        <v>45251.500694444447</v>
      </c>
      <c r="P128" s="2">
        <v>45257.500694444447</v>
      </c>
    </row>
    <row r="129" spans="1:16" x14ac:dyDescent="0.3">
      <c r="A129" s="2">
        <v>45259.481249999997</v>
      </c>
      <c r="B129" s="1" t="s">
        <v>64</v>
      </c>
      <c r="C129" s="1" t="s">
        <v>146</v>
      </c>
      <c r="D129" s="1" t="s">
        <v>140</v>
      </c>
      <c r="E129" s="1" t="s">
        <v>43</v>
      </c>
      <c r="F129" s="1" t="s">
        <v>21</v>
      </c>
      <c r="G129" s="2">
        <v>45269.583333333336</v>
      </c>
      <c r="H129" s="2">
        <v>45269.583333333336</v>
      </c>
      <c r="I129" s="2">
        <v>45270.25</v>
      </c>
      <c r="J129" s="1" t="s">
        <v>23</v>
      </c>
      <c r="K129" s="2">
        <v>45262.583333333336</v>
      </c>
      <c r="L129" s="2">
        <v>45267.583333333336</v>
      </c>
      <c r="M129" s="2">
        <v>45263.000694444447</v>
      </c>
      <c r="N129" s="2">
        <v>45268.625</v>
      </c>
      <c r="O129" s="2">
        <v>45261.083333333336</v>
      </c>
      <c r="P129" s="2">
        <v>45267.083333333336</v>
      </c>
    </row>
    <row r="130" spans="1:16" x14ac:dyDescent="0.3">
      <c r="A130" s="2">
        <v>45259.481249999997</v>
      </c>
      <c r="B130" s="1" t="s">
        <v>165</v>
      </c>
      <c r="C130" s="1" t="s">
        <v>166</v>
      </c>
      <c r="D130" s="1" t="s">
        <v>167</v>
      </c>
      <c r="E130" s="1" t="s">
        <v>18</v>
      </c>
      <c r="F130" s="1" t="s">
        <v>19</v>
      </c>
      <c r="G130" s="2">
        <v>45272.5</v>
      </c>
      <c r="H130" s="2">
        <v>45270.291666666664</v>
      </c>
      <c r="I130" s="2">
        <v>45270.958333333336</v>
      </c>
      <c r="J130" s="1" t="s">
        <v>132</v>
      </c>
      <c r="K130" s="2">
        <v>45265.5</v>
      </c>
      <c r="L130" s="2">
        <v>45268.291666666664</v>
      </c>
      <c r="M130" s="2">
        <v>45266.000694444447</v>
      </c>
      <c r="N130" s="2">
        <v>45268.625</v>
      </c>
      <c r="O130" s="2">
        <v>45264</v>
      </c>
      <c r="P130" s="2">
        <v>45270</v>
      </c>
    </row>
    <row r="131" spans="1:16" x14ac:dyDescent="0.3">
      <c r="A131" s="2">
        <v>45259.481249999997</v>
      </c>
      <c r="B131" s="1" t="s">
        <v>131</v>
      </c>
      <c r="C131" s="1" t="s">
        <v>201</v>
      </c>
      <c r="D131" s="1" t="s">
        <v>202</v>
      </c>
      <c r="E131" s="1" t="s">
        <v>45</v>
      </c>
      <c r="F131" s="1" t="s">
        <v>14</v>
      </c>
      <c r="G131" s="2">
        <v>45271.000694444447</v>
      </c>
      <c r="H131" s="2">
        <v>45271.000694444447</v>
      </c>
      <c r="I131" s="2">
        <v>45271.708333333336</v>
      </c>
      <c r="J131" s="1" t="s">
        <v>16</v>
      </c>
      <c r="K131" s="2">
        <v>45264.000694444447</v>
      </c>
      <c r="L131" s="2">
        <v>45269.000694444447</v>
      </c>
      <c r="M131" s="2">
        <v>45265.000694444447</v>
      </c>
      <c r="N131" s="2">
        <v>45268.000694444447</v>
      </c>
      <c r="O131" s="2">
        <v>45262.500694444447</v>
      </c>
      <c r="P131" s="2">
        <v>45268.500694444447</v>
      </c>
    </row>
    <row r="132" spans="1:16" x14ac:dyDescent="0.3">
      <c r="A132" s="2">
        <v>45259.481249999997</v>
      </c>
      <c r="B132" s="1" t="s">
        <v>152</v>
      </c>
      <c r="C132" s="1" t="s">
        <v>216</v>
      </c>
      <c r="D132" s="1" t="s">
        <v>164</v>
      </c>
      <c r="E132" s="1" t="s">
        <v>44</v>
      </c>
      <c r="F132" s="1" t="s">
        <v>30</v>
      </c>
      <c r="G132" s="2">
        <v>45271.208333333336</v>
      </c>
      <c r="H132" s="2">
        <v>45271.451388888891</v>
      </c>
      <c r="I132" s="2">
        <v>45272.076388888891</v>
      </c>
      <c r="J132" s="1" t="s">
        <v>13</v>
      </c>
      <c r="K132" s="2">
        <v>45264.208333333336</v>
      </c>
      <c r="L132" s="2">
        <v>45269.451388888891</v>
      </c>
      <c r="M132" s="2">
        <v>45265.000694444447</v>
      </c>
      <c r="N132" s="2">
        <v>45268.451388888891</v>
      </c>
      <c r="O132" s="2">
        <v>45262.708333333336</v>
      </c>
      <c r="P132" s="2">
        <v>45268.708333333336</v>
      </c>
    </row>
    <row r="133" spans="1:16" x14ac:dyDescent="0.3">
      <c r="A133" s="2">
        <v>45259.481249999997</v>
      </c>
      <c r="B133" s="1" t="s">
        <v>198</v>
      </c>
      <c r="C133" s="1" t="s">
        <v>199</v>
      </c>
      <c r="D133" s="1" t="s">
        <v>200</v>
      </c>
      <c r="E133" s="1" t="s">
        <v>42</v>
      </c>
      <c r="F133" s="1" t="s">
        <v>14</v>
      </c>
      <c r="G133" s="2">
        <v>45271.208333333336</v>
      </c>
      <c r="H133" s="2">
        <v>45271.472222222219</v>
      </c>
      <c r="I133" s="2">
        <v>45272.138888888891</v>
      </c>
      <c r="J133" s="1" t="s">
        <v>17</v>
      </c>
      <c r="K133" s="2">
        <v>45264.208333333336</v>
      </c>
      <c r="L133" s="2">
        <v>45269.472222222219</v>
      </c>
      <c r="M133" s="2">
        <v>45265.000694444447</v>
      </c>
      <c r="N133" s="2">
        <v>45269.5</v>
      </c>
      <c r="O133" s="2">
        <v>45262.708333333336</v>
      </c>
      <c r="P133" s="2">
        <v>45268.708333333336</v>
      </c>
    </row>
    <row r="134" spans="1:16" x14ac:dyDescent="0.3">
      <c r="A134" s="2">
        <v>45259.481249999997</v>
      </c>
      <c r="B134" s="1" t="s">
        <v>213</v>
      </c>
      <c r="C134" s="1" t="s">
        <v>214</v>
      </c>
      <c r="D134" s="1" t="s">
        <v>215</v>
      </c>
      <c r="E134" s="1" t="s">
        <v>18</v>
      </c>
      <c r="F134" s="1" t="s">
        <v>19</v>
      </c>
      <c r="G134" s="2">
        <v>45273.916666666664</v>
      </c>
      <c r="H134" s="2">
        <v>45272.416666666664</v>
      </c>
      <c r="I134" s="2">
        <v>45273.208333333336</v>
      </c>
      <c r="J134" s="1" t="s">
        <v>132</v>
      </c>
      <c r="K134" s="2">
        <v>45266.916666666664</v>
      </c>
      <c r="L134" s="2">
        <v>45270.416666666664</v>
      </c>
      <c r="M134" s="2">
        <v>45267.000694444447</v>
      </c>
      <c r="N134" s="2">
        <v>45270.625</v>
      </c>
      <c r="O134" s="2">
        <v>45265.416666666664</v>
      </c>
      <c r="P134" s="2">
        <v>45271.416666666664</v>
      </c>
    </row>
    <row r="135" spans="1:16" x14ac:dyDescent="0.3">
      <c r="A135" s="2">
        <v>45259.481249999997</v>
      </c>
      <c r="B135" s="1" t="s">
        <v>203</v>
      </c>
      <c r="C135" s="1" t="s">
        <v>204</v>
      </c>
      <c r="D135" s="1" t="s">
        <v>205</v>
      </c>
      <c r="E135" s="1" t="s">
        <v>142</v>
      </c>
      <c r="F135" s="1" t="s">
        <v>14</v>
      </c>
      <c r="G135" s="2">
        <v>45273.75</v>
      </c>
      <c r="H135" s="2">
        <v>45273.291666666664</v>
      </c>
      <c r="I135" s="2">
        <v>45273.708333333336</v>
      </c>
      <c r="J135" s="1" t="s">
        <v>17</v>
      </c>
      <c r="K135" s="2">
        <v>45266.75</v>
      </c>
      <c r="L135" s="2">
        <v>45271.291666666664</v>
      </c>
      <c r="M135" s="2">
        <v>45267.000694444447</v>
      </c>
      <c r="N135" s="2">
        <v>45270.291666666664</v>
      </c>
      <c r="O135" s="2">
        <v>45265.25</v>
      </c>
      <c r="P135" s="2">
        <v>45271.25</v>
      </c>
    </row>
    <row r="136" spans="1:16" x14ac:dyDescent="0.3">
      <c r="A136" s="2">
        <v>45259.481249999997</v>
      </c>
      <c r="B136" s="1" t="s">
        <v>217</v>
      </c>
      <c r="C136" s="1" t="s">
        <v>154</v>
      </c>
      <c r="D136" s="1" t="s">
        <v>154</v>
      </c>
      <c r="E136" s="1" t="s">
        <v>46</v>
      </c>
      <c r="F136" s="1" t="s">
        <v>13</v>
      </c>
      <c r="G136" s="2">
        <v>45274.000694444447</v>
      </c>
      <c r="H136" s="2">
        <v>45274.000694444447</v>
      </c>
      <c r="I136" s="2">
        <v>45274.875</v>
      </c>
      <c r="J136" s="1" t="s">
        <v>27</v>
      </c>
      <c r="K136" s="2">
        <v>45267.000694444447</v>
      </c>
      <c r="L136" s="2">
        <v>45272.000694444447</v>
      </c>
      <c r="M136" s="2">
        <v>45268.000694444447</v>
      </c>
      <c r="N136" s="2">
        <v>45271.000694444447</v>
      </c>
      <c r="O136" s="2">
        <v>45265.500694444447</v>
      </c>
      <c r="P136" s="2">
        <v>45271.500694444447</v>
      </c>
    </row>
    <row r="137" spans="1:16" x14ac:dyDescent="0.3">
      <c r="A137" s="2">
        <v>45259.481249999997</v>
      </c>
      <c r="B137" s="1" t="s">
        <v>135</v>
      </c>
      <c r="C137" s="1" t="s">
        <v>191</v>
      </c>
      <c r="D137" s="1" t="s">
        <v>192</v>
      </c>
      <c r="E137" s="1" t="s">
        <v>82</v>
      </c>
      <c r="F137" s="1" t="s">
        <v>14</v>
      </c>
      <c r="G137" s="2">
        <v>45275.958333333336</v>
      </c>
      <c r="H137" s="2">
        <v>45275.166666666664</v>
      </c>
      <c r="I137" s="2">
        <v>45276.041666666664</v>
      </c>
      <c r="J137" s="1" t="s">
        <v>81</v>
      </c>
      <c r="K137" s="2">
        <v>45268.958333333336</v>
      </c>
      <c r="L137" s="2">
        <v>45273.166666666664</v>
      </c>
      <c r="M137" s="2">
        <v>45269.000694444447</v>
      </c>
      <c r="N137" s="2">
        <v>45273.625</v>
      </c>
      <c r="O137" s="2">
        <v>45267.458333333336</v>
      </c>
      <c r="P137" s="2">
        <v>45273.458333333336</v>
      </c>
    </row>
    <row r="138" spans="1:16" x14ac:dyDescent="0.3">
      <c r="A138" s="2">
        <v>45259.481249999997</v>
      </c>
      <c r="B138" s="1" t="s">
        <v>231</v>
      </c>
      <c r="C138" s="1" t="s">
        <v>232</v>
      </c>
      <c r="D138" s="1" t="s">
        <v>232</v>
      </c>
      <c r="E138" s="1" t="s">
        <v>127</v>
      </c>
      <c r="F138" s="1" t="s">
        <v>128</v>
      </c>
      <c r="G138" s="2">
        <v>45275.833333333336</v>
      </c>
      <c r="H138" s="2">
        <v>45275.333333333336</v>
      </c>
      <c r="I138" s="2">
        <v>45276.0625</v>
      </c>
      <c r="J138" s="1" t="s">
        <v>233</v>
      </c>
      <c r="K138" s="2">
        <v>45268.833333333336</v>
      </c>
      <c r="L138" s="2">
        <v>45273.333333333336</v>
      </c>
      <c r="M138" s="2">
        <v>45269.000694444447</v>
      </c>
      <c r="N138" s="2">
        <v>45272.333333333336</v>
      </c>
      <c r="O138" s="2">
        <v>45267.333333333336</v>
      </c>
      <c r="P138" s="2">
        <v>45273.333333333336</v>
      </c>
    </row>
    <row r="139" spans="1:16" x14ac:dyDescent="0.3">
      <c r="A139" s="2">
        <v>45259.481249999997</v>
      </c>
      <c r="B139" s="1" t="s">
        <v>182</v>
      </c>
      <c r="C139" s="1" t="s">
        <v>183</v>
      </c>
      <c r="D139" s="1" t="s">
        <v>184</v>
      </c>
      <c r="E139" s="1" t="s">
        <v>84</v>
      </c>
      <c r="F139" s="1" t="s">
        <v>14</v>
      </c>
      <c r="G139" s="2">
        <v>45276.5</v>
      </c>
      <c r="H139" s="2">
        <v>45276.208333333336</v>
      </c>
      <c r="I139" s="2">
        <v>45277.010416666664</v>
      </c>
      <c r="J139" s="1" t="s">
        <v>16</v>
      </c>
      <c r="K139" s="2">
        <v>45269.5</v>
      </c>
      <c r="L139" s="2">
        <v>45274.208333333336</v>
      </c>
      <c r="M139" s="2">
        <v>45270.000694444447</v>
      </c>
      <c r="N139" s="2">
        <v>45274.416666666664</v>
      </c>
      <c r="O139" s="2">
        <v>45268</v>
      </c>
      <c r="P139" s="2">
        <v>45274</v>
      </c>
    </row>
    <row r="140" spans="1:16" x14ac:dyDescent="0.3">
      <c r="A140" s="2">
        <v>45259.481249999997</v>
      </c>
      <c r="B140" s="1" t="s">
        <v>155</v>
      </c>
      <c r="C140" s="1" t="s">
        <v>223</v>
      </c>
      <c r="D140" s="1" t="s">
        <v>224</v>
      </c>
      <c r="E140" s="1" t="s">
        <v>45</v>
      </c>
      <c r="F140" s="1" t="s">
        <v>14</v>
      </c>
      <c r="G140" s="2">
        <v>45278.000694444447</v>
      </c>
      <c r="H140" s="2">
        <v>45278.000694444447</v>
      </c>
      <c r="I140" s="2">
        <v>45278.708333333336</v>
      </c>
      <c r="J140" s="1" t="s">
        <v>16</v>
      </c>
      <c r="K140" s="2">
        <v>45271.000694444447</v>
      </c>
      <c r="L140" s="2">
        <v>45276.000694444447</v>
      </c>
      <c r="M140" s="2">
        <v>45272.000694444447</v>
      </c>
      <c r="N140" s="2">
        <v>45275.000694444447</v>
      </c>
      <c r="O140" s="2">
        <v>45269.500694444447</v>
      </c>
      <c r="P140" s="2">
        <v>45275.500694444447</v>
      </c>
    </row>
    <row r="141" spans="1:16" x14ac:dyDescent="0.3">
      <c r="A141" s="2">
        <v>45259.481249999997</v>
      </c>
      <c r="B141" s="1" t="s">
        <v>136</v>
      </c>
      <c r="C141" s="1" t="s">
        <v>160</v>
      </c>
      <c r="D141" s="1" t="s">
        <v>161</v>
      </c>
      <c r="E141" s="1" t="s">
        <v>42</v>
      </c>
      <c r="F141" s="1" t="s">
        <v>14</v>
      </c>
      <c r="G141" s="2">
        <v>45279.291666666664</v>
      </c>
      <c r="H141" s="2">
        <v>45279.604166666664</v>
      </c>
      <c r="I141" s="2">
        <v>45280.125</v>
      </c>
      <c r="J141" s="1" t="s">
        <v>17</v>
      </c>
      <c r="K141" s="2">
        <v>45272.291666666664</v>
      </c>
      <c r="L141" s="2">
        <v>45277.604166666664</v>
      </c>
      <c r="M141" s="2">
        <v>45273.000694444447</v>
      </c>
      <c r="N141" s="2">
        <v>45277.625</v>
      </c>
      <c r="O141" s="2">
        <v>45270.791666666664</v>
      </c>
      <c r="P141" s="2">
        <v>45276.791666666664</v>
      </c>
    </row>
    <row r="142" spans="1:16" x14ac:dyDescent="0.3">
      <c r="A142" s="2">
        <v>45259.481249999997</v>
      </c>
      <c r="B142" s="1" t="s">
        <v>239</v>
      </c>
      <c r="C142" s="1" t="s">
        <v>240</v>
      </c>
      <c r="D142" s="1" t="s">
        <v>241</v>
      </c>
      <c r="E142" s="1" t="s">
        <v>18</v>
      </c>
      <c r="F142" s="1" t="s">
        <v>19</v>
      </c>
      <c r="G142" s="2">
        <v>45279.916666666664</v>
      </c>
      <c r="H142" s="2">
        <v>45279.916666666664</v>
      </c>
      <c r="I142" s="2">
        <v>45280.958333333336</v>
      </c>
      <c r="J142" s="1" t="s">
        <v>132</v>
      </c>
      <c r="K142" s="2">
        <v>45272.916666666664</v>
      </c>
      <c r="L142" s="2">
        <v>45277.916666666664</v>
      </c>
      <c r="M142" s="2">
        <v>45273.000694444447</v>
      </c>
      <c r="N142" s="2">
        <v>45277.625</v>
      </c>
      <c r="O142" s="2">
        <v>45271.416666666664</v>
      </c>
      <c r="P142" s="2">
        <v>45277.416666666664</v>
      </c>
    </row>
    <row r="143" spans="1:16" x14ac:dyDescent="0.3">
      <c r="A143" s="2">
        <v>45259.481249999997</v>
      </c>
      <c r="B143" s="1" t="s">
        <v>244</v>
      </c>
      <c r="C143" s="1" t="s">
        <v>171</v>
      </c>
      <c r="D143" s="1" t="s">
        <v>171</v>
      </c>
      <c r="E143" s="1" t="s">
        <v>46</v>
      </c>
      <c r="F143" s="1" t="s">
        <v>13</v>
      </c>
      <c r="G143" s="2">
        <v>45281.000694444447</v>
      </c>
      <c r="H143" s="2">
        <v>45281.000694444447</v>
      </c>
      <c r="I143" s="2">
        <v>45281.875</v>
      </c>
      <c r="J143" s="1" t="s">
        <v>28</v>
      </c>
      <c r="K143" s="2">
        <v>45274.000694444447</v>
      </c>
      <c r="L143" s="2">
        <v>45279.000694444447</v>
      </c>
      <c r="M143" s="2">
        <v>45275.000694444447</v>
      </c>
      <c r="N143" s="2">
        <v>45278.000694444447</v>
      </c>
      <c r="O143" s="2">
        <v>45272.500694444447</v>
      </c>
      <c r="P143" s="2">
        <v>45278.500694444447</v>
      </c>
    </row>
    <row r="144" spans="1:16" x14ac:dyDescent="0.3">
      <c r="A144" s="2">
        <v>45259.481249999997</v>
      </c>
      <c r="B144" s="1" t="s">
        <v>245</v>
      </c>
      <c r="C144" s="1" t="s">
        <v>229</v>
      </c>
      <c r="D144" s="1" t="s">
        <v>229</v>
      </c>
      <c r="E144" s="1" t="s">
        <v>79</v>
      </c>
      <c r="F144" s="1" t="s">
        <v>80</v>
      </c>
      <c r="G144" s="2">
        <v>45281.666666666664</v>
      </c>
      <c r="H144" s="2">
        <v>45281.916666666664</v>
      </c>
      <c r="I144" s="2">
        <v>45282.541666666664</v>
      </c>
      <c r="J144" s="1" t="s">
        <v>13</v>
      </c>
      <c r="K144" s="2">
        <v>45274.666666666664</v>
      </c>
      <c r="L144" s="2">
        <v>45279.916666666664</v>
      </c>
      <c r="M144" s="2">
        <v>45275.000694444447</v>
      </c>
      <c r="N144" s="2">
        <v>45280.5</v>
      </c>
      <c r="O144" s="2">
        <v>45273.166666666664</v>
      </c>
      <c r="P144" s="2">
        <v>45279.166666666664</v>
      </c>
    </row>
    <row r="145" spans="1:16" x14ac:dyDescent="0.3">
      <c r="A145" s="2">
        <v>45259.481249999997</v>
      </c>
      <c r="B145" s="1" t="s">
        <v>228</v>
      </c>
      <c r="C145" s="1" t="s">
        <v>229</v>
      </c>
      <c r="D145" s="1" t="s">
        <v>230</v>
      </c>
      <c r="E145" s="1" t="s">
        <v>82</v>
      </c>
      <c r="F145" s="1" t="s">
        <v>14</v>
      </c>
      <c r="G145" s="2">
        <v>45281.958333333336</v>
      </c>
      <c r="H145" s="2">
        <v>45281.958333333336</v>
      </c>
      <c r="I145" s="2">
        <v>45282.75</v>
      </c>
      <c r="J145" s="1" t="s">
        <v>81</v>
      </c>
      <c r="K145" s="2">
        <v>45274.958333333336</v>
      </c>
      <c r="L145" s="2">
        <v>45279.958333333336</v>
      </c>
      <c r="M145" s="2">
        <v>45275.000694444447</v>
      </c>
      <c r="N145" s="2">
        <v>45278.958333333336</v>
      </c>
      <c r="O145" s="2">
        <v>45273.458333333336</v>
      </c>
      <c r="P145" s="2">
        <v>45279.458333333336</v>
      </c>
    </row>
    <row r="146" spans="1:16" x14ac:dyDescent="0.3">
      <c r="A146" s="2">
        <v>45259.481249999997</v>
      </c>
      <c r="B146" s="1" t="s">
        <v>236</v>
      </c>
      <c r="C146" s="1" t="s">
        <v>237</v>
      </c>
      <c r="D146" s="1" t="s">
        <v>238</v>
      </c>
      <c r="E146" s="1" t="s">
        <v>84</v>
      </c>
      <c r="F146" s="1" t="s">
        <v>14</v>
      </c>
      <c r="G146" s="2">
        <v>45282.000694444447</v>
      </c>
      <c r="H146" s="2">
        <v>45282.770833333336</v>
      </c>
      <c r="I146" s="2">
        <v>45283.479166666664</v>
      </c>
      <c r="J146" s="1" t="s">
        <v>16</v>
      </c>
      <c r="K146" s="2">
        <v>45275.000694444447</v>
      </c>
      <c r="L146" s="2">
        <v>45280.770833333336</v>
      </c>
      <c r="M146" s="2">
        <v>45276.000694444447</v>
      </c>
      <c r="N146" s="2">
        <v>45280.416666666664</v>
      </c>
      <c r="O146" s="2">
        <v>45273.500694444447</v>
      </c>
      <c r="P146" s="2">
        <v>45279.500694444447</v>
      </c>
    </row>
    <row r="147" spans="1:16" x14ac:dyDescent="0.3">
      <c r="A147" s="2">
        <v>45259.481249999997</v>
      </c>
      <c r="B147" s="1" t="s">
        <v>262</v>
      </c>
      <c r="C147" s="1" t="s">
        <v>263</v>
      </c>
      <c r="D147" s="1" t="s">
        <v>264</v>
      </c>
      <c r="E147" s="1" t="s">
        <v>47</v>
      </c>
      <c r="F147" s="1"/>
      <c r="G147" s="2">
        <v>45282.833333333336</v>
      </c>
      <c r="H147" s="2">
        <v>45282.833333333336</v>
      </c>
      <c r="I147" s="2">
        <v>45283.5625</v>
      </c>
      <c r="J147" s="1" t="s">
        <v>126</v>
      </c>
      <c r="K147" s="2">
        <v>45275.833333333336</v>
      </c>
      <c r="L147" s="2">
        <v>45280.833333333336</v>
      </c>
      <c r="M147" s="2">
        <v>45276.000694444447</v>
      </c>
      <c r="N147" s="2">
        <v>45279.833333333336</v>
      </c>
      <c r="O147" s="2">
        <v>45274.333333333336</v>
      </c>
      <c r="P147" s="2">
        <v>45280.333333333336</v>
      </c>
    </row>
    <row r="148" spans="1:16" x14ac:dyDescent="0.3">
      <c r="A148" s="2">
        <v>45259.481249999997</v>
      </c>
      <c r="B148" s="1" t="s">
        <v>259</v>
      </c>
      <c r="C148" s="1" t="s">
        <v>260</v>
      </c>
      <c r="D148" s="1" t="s">
        <v>261</v>
      </c>
      <c r="E148" s="1" t="s">
        <v>84</v>
      </c>
      <c r="F148" s="1" t="s">
        <v>14</v>
      </c>
      <c r="G148" s="2">
        <v>45286.000694444447</v>
      </c>
      <c r="H148" s="2">
        <v>45285.958333333336</v>
      </c>
      <c r="I148" s="2">
        <v>45286.625</v>
      </c>
      <c r="J148" s="1" t="s">
        <v>16</v>
      </c>
      <c r="K148" s="2">
        <v>45279.000694444447</v>
      </c>
      <c r="L148" s="2">
        <v>45283.958333333336</v>
      </c>
      <c r="M148" s="2">
        <v>45280.000694444447</v>
      </c>
      <c r="N148" s="2">
        <v>45282.416666666664</v>
      </c>
      <c r="O148" s="2">
        <v>45277.500694444447</v>
      </c>
      <c r="P148" s="2">
        <v>45283.500694444447</v>
      </c>
    </row>
    <row r="149" spans="1:16" x14ac:dyDescent="0.3">
      <c r="A149" s="2">
        <v>45259.481249999997</v>
      </c>
      <c r="B149" s="1" t="s">
        <v>254</v>
      </c>
      <c r="C149" s="1" t="s">
        <v>255</v>
      </c>
      <c r="D149" s="1" t="s">
        <v>256</v>
      </c>
      <c r="E149" s="1" t="s">
        <v>45</v>
      </c>
      <c r="F149" s="1" t="s">
        <v>14</v>
      </c>
      <c r="G149" s="2">
        <v>45286.000694444447</v>
      </c>
      <c r="H149" s="2">
        <v>45286.209027777775</v>
      </c>
      <c r="I149" s="2">
        <v>45286.916666666664</v>
      </c>
      <c r="J149" s="1" t="s">
        <v>16</v>
      </c>
      <c r="K149" s="2">
        <v>45279.000694444447</v>
      </c>
      <c r="L149" s="2">
        <v>45284.209027777775</v>
      </c>
      <c r="M149" s="2">
        <v>45280.000694444447</v>
      </c>
      <c r="N149" s="2">
        <v>45283.209027777775</v>
      </c>
      <c r="O149" s="2">
        <v>45277.500694444447</v>
      </c>
      <c r="P149" s="2">
        <v>45283.500694444447</v>
      </c>
    </row>
    <row r="150" spans="1:16" x14ac:dyDescent="0.3">
      <c r="A150" s="2">
        <v>45259.481249999997</v>
      </c>
      <c r="B150" s="1" t="s">
        <v>190</v>
      </c>
      <c r="C150" s="1" t="s">
        <v>235</v>
      </c>
      <c r="D150" s="1" t="s">
        <v>235</v>
      </c>
      <c r="E150" s="1" t="s">
        <v>85</v>
      </c>
      <c r="F150" s="1" t="s">
        <v>141</v>
      </c>
      <c r="G150" s="2">
        <v>45287.416666666664</v>
      </c>
      <c r="H150" s="2">
        <v>45287.416666666664</v>
      </c>
      <c r="I150" s="2">
        <v>45288.375</v>
      </c>
      <c r="J150" s="1" t="s">
        <v>86</v>
      </c>
      <c r="K150" s="2">
        <v>45280.416666666664</v>
      </c>
      <c r="L150" s="2">
        <v>45285.416666666664</v>
      </c>
      <c r="M150" s="2">
        <v>45281.000694444447</v>
      </c>
      <c r="N150" s="2">
        <v>45285.625</v>
      </c>
      <c r="O150" s="2">
        <v>45278.916666666664</v>
      </c>
      <c r="P150" s="2">
        <v>45284.916666666664</v>
      </c>
    </row>
    <row r="151" spans="1:16" x14ac:dyDescent="0.3">
      <c r="A151" s="2">
        <v>45258.369444444441</v>
      </c>
      <c r="B151" s="1" t="s">
        <v>156</v>
      </c>
      <c r="C151" s="1" t="s">
        <v>157</v>
      </c>
      <c r="D151" s="1" t="s">
        <v>158</v>
      </c>
      <c r="E151" s="1" t="s">
        <v>18</v>
      </c>
      <c r="F151" s="1" t="s">
        <v>19</v>
      </c>
      <c r="G151" s="2">
        <v>45258.791666666664</v>
      </c>
      <c r="H151" s="2">
        <v>45262.697916666664</v>
      </c>
      <c r="I151" s="2">
        <v>45263.40625</v>
      </c>
      <c r="J151" s="1" t="s">
        <v>132</v>
      </c>
      <c r="K151" s="2">
        <v>45251.791666666664</v>
      </c>
      <c r="L151" s="2">
        <v>45260.697916666664</v>
      </c>
      <c r="M151" s="2">
        <v>45252.000694444447</v>
      </c>
      <c r="N151" s="2">
        <v>45260.625</v>
      </c>
      <c r="O151" s="2">
        <v>45250.291666666664</v>
      </c>
      <c r="P151" s="2">
        <v>45256.291666666664</v>
      </c>
    </row>
    <row r="152" spans="1:16" x14ac:dyDescent="0.3">
      <c r="A152" s="2">
        <v>45258.369444444441</v>
      </c>
      <c r="B152" s="1" t="s">
        <v>179</v>
      </c>
      <c r="C152" s="1" t="s">
        <v>180</v>
      </c>
      <c r="D152" s="1" t="s">
        <v>181</v>
      </c>
      <c r="E152" s="1" t="s">
        <v>83</v>
      </c>
      <c r="F152" s="1" t="s">
        <v>16</v>
      </c>
      <c r="G152" s="2">
        <v>45262.75</v>
      </c>
      <c r="H152" s="2">
        <v>45262.770833333336</v>
      </c>
      <c r="I152" s="2">
        <v>45264.21875</v>
      </c>
      <c r="J152" s="1" t="s">
        <v>14</v>
      </c>
      <c r="K152" s="2">
        <v>45255.75</v>
      </c>
      <c r="L152" s="2">
        <v>45260.770833333336</v>
      </c>
      <c r="M152" s="2">
        <v>45256.000694444447</v>
      </c>
      <c r="N152" s="2">
        <v>45260.625</v>
      </c>
      <c r="O152" s="2">
        <v>45253.25</v>
      </c>
      <c r="P152" s="2">
        <v>45259.25</v>
      </c>
    </row>
    <row r="153" spans="1:16" x14ac:dyDescent="0.3">
      <c r="A153" s="2">
        <v>45258.369444444441</v>
      </c>
      <c r="B153" s="1" t="s">
        <v>159</v>
      </c>
      <c r="C153" s="1" t="s">
        <v>143</v>
      </c>
      <c r="D153" s="1" t="s">
        <v>144</v>
      </c>
      <c r="E153" s="1" t="s">
        <v>46</v>
      </c>
      <c r="F153" s="1" t="s">
        <v>13</v>
      </c>
      <c r="G153" s="2">
        <v>45260.000694444447</v>
      </c>
      <c r="H153" s="2">
        <v>45263.53125</v>
      </c>
      <c r="I153" s="2">
        <v>45264.427083333336</v>
      </c>
      <c r="J153" s="1" t="s">
        <v>27</v>
      </c>
      <c r="K153" s="2">
        <v>45253.000694444447</v>
      </c>
      <c r="L153" s="2">
        <v>45261.53125</v>
      </c>
      <c r="M153" s="2">
        <v>45254.000694444447</v>
      </c>
      <c r="N153" s="2">
        <v>45261.5</v>
      </c>
      <c r="O153" s="2">
        <v>45251.500694444447</v>
      </c>
      <c r="P153" s="2">
        <v>45257.500694444447</v>
      </c>
    </row>
    <row r="154" spans="1:16" x14ac:dyDescent="0.3">
      <c r="A154" s="2">
        <v>45258.369444444441</v>
      </c>
      <c r="B154" s="1" t="s">
        <v>172</v>
      </c>
      <c r="C154" s="1" t="s">
        <v>173</v>
      </c>
      <c r="D154" s="1" t="s">
        <v>174</v>
      </c>
      <c r="E154" s="1" t="s">
        <v>84</v>
      </c>
      <c r="F154" s="1" t="s">
        <v>14</v>
      </c>
      <c r="G154" s="2">
        <v>45261.5</v>
      </c>
      <c r="H154" s="2">
        <v>45264.270833333336</v>
      </c>
      <c r="I154" s="2">
        <v>45264.833333333336</v>
      </c>
      <c r="J154" s="1" t="s">
        <v>16</v>
      </c>
      <c r="K154" s="2">
        <v>45254.5</v>
      </c>
      <c r="L154" s="2">
        <v>45262.270833333336</v>
      </c>
      <c r="M154" s="2">
        <v>45255.000694444447</v>
      </c>
      <c r="N154" s="2">
        <v>45260.416666666664</v>
      </c>
      <c r="O154" s="2">
        <v>45253</v>
      </c>
      <c r="P154" s="2">
        <v>45259</v>
      </c>
    </row>
    <row r="155" spans="1:16" x14ac:dyDescent="0.3">
      <c r="A155" s="2">
        <v>45258.369444444441</v>
      </c>
      <c r="B155" s="1" t="s">
        <v>68</v>
      </c>
      <c r="C155" s="1" t="s">
        <v>216</v>
      </c>
      <c r="D155" s="1" t="s">
        <v>164</v>
      </c>
      <c r="E155" s="1" t="s">
        <v>44</v>
      </c>
      <c r="F155" s="1" t="s">
        <v>30</v>
      </c>
      <c r="G155" s="2">
        <v>45264.5</v>
      </c>
      <c r="H155" s="2">
        <v>45264.479166666664</v>
      </c>
      <c r="I155" s="2">
        <v>45265.104166666664</v>
      </c>
      <c r="J155" s="1" t="s">
        <v>13</v>
      </c>
      <c r="K155" s="2">
        <v>45257.5</v>
      </c>
      <c r="L155" s="2">
        <v>45262.479166666664</v>
      </c>
      <c r="M155" s="2">
        <v>45258.000694444447</v>
      </c>
      <c r="N155" s="2">
        <v>45262.625</v>
      </c>
      <c r="O155" s="2">
        <v>45256</v>
      </c>
      <c r="P155" s="2">
        <v>45262</v>
      </c>
    </row>
    <row r="156" spans="1:16" x14ac:dyDescent="0.3">
      <c r="A156" s="2">
        <v>45258.369444444441</v>
      </c>
      <c r="B156" s="1" t="s">
        <v>150</v>
      </c>
      <c r="C156" s="1" t="s">
        <v>188</v>
      </c>
      <c r="D156" s="1" t="s">
        <v>189</v>
      </c>
      <c r="E156" s="1" t="s">
        <v>168</v>
      </c>
      <c r="F156" s="1" t="s">
        <v>21</v>
      </c>
      <c r="G156" s="2">
        <v>45266.75</v>
      </c>
      <c r="H156" s="2">
        <v>45266.75</v>
      </c>
      <c r="I156" s="2">
        <v>45267.166666666664</v>
      </c>
      <c r="J156" s="1" t="s">
        <v>19</v>
      </c>
      <c r="K156" s="2">
        <v>45259.75</v>
      </c>
      <c r="L156" s="2">
        <v>45264.75</v>
      </c>
      <c r="M156" s="2">
        <v>45260.000694444447</v>
      </c>
      <c r="N156" s="2">
        <v>45264.625</v>
      </c>
      <c r="O156" s="2">
        <v>45258.25</v>
      </c>
      <c r="P156" s="2">
        <v>45264.25</v>
      </c>
    </row>
    <row r="157" spans="1:16" x14ac:dyDescent="0.3">
      <c r="A157" s="2">
        <v>45258.369444444441</v>
      </c>
      <c r="B157" s="1" t="s">
        <v>190</v>
      </c>
      <c r="C157" s="1" t="s">
        <v>180</v>
      </c>
      <c r="D157" s="1" t="s">
        <v>180</v>
      </c>
      <c r="E157" s="1" t="s">
        <v>79</v>
      </c>
      <c r="F157" s="1" t="s">
        <v>80</v>
      </c>
      <c r="G157" s="2">
        <v>45267.666666666664</v>
      </c>
      <c r="H157" s="2">
        <v>45267.666666666664</v>
      </c>
      <c r="I157" s="2">
        <v>45268.291666666664</v>
      </c>
      <c r="J157" s="1" t="s">
        <v>13</v>
      </c>
      <c r="K157" s="2">
        <v>45260.666666666664</v>
      </c>
      <c r="L157" s="2">
        <v>45265.666666666664</v>
      </c>
      <c r="M157" s="2">
        <v>45261.000694444447</v>
      </c>
      <c r="N157" s="2">
        <v>45265.625</v>
      </c>
      <c r="O157" s="2">
        <v>45259.166666666664</v>
      </c>
      <c r="P157" s="2">
        <v>45265.166666666664</v>
      </c>
    </row>
    <row r="158" spans="1:16" x14ac:dyDescent="0.3">
      <c r="A158" s="2">
        <v>45258.369444444441</v>
      </c>
      <c r="B158" s="1" t="s">
        <v>165</v>
      </c>
      <c r="C158" s="1" t="s">
        <v>166</v>
      </c>
      <c r="D158" s="1" t="s">
        <v>167</v>
      </c>
      <c r="E158" s="1" t="s">
        <v>18</v>
      </c>
      <c r="F158" s="1" t="s">
        <v>19</v>
      </c>
      <c r="G158" s="2">
        <v>45268.75</v>
      </c>
      <c r="H158" s="2">
        <v>45268.354166666664</v>
      </c>
      <c r="I158" s="2">
        <v>45269.020833333336</v>
      </c>
      <c r="J158" s="1" t="s">
        <v>132</v>
      </c>
      <c r="K158" s="2">
        <v>45261.75</v>
      </c>
      <c r="L158" s="2">
        <v>45266.354166666664</v>
      </c>
      <c r="M158" s="2">
        <v>45262.000694444447</v>
      </c>
      <c r="N158" s="2">
        <v>45266.625</v>
      </c>
      <c r="O158" s="2">
        <v>45260.25</v>
      </c>
      <c r="P158" s="2">
        <v>45266.25</v>
      </c>
    </row>
    <row r="159" spans="1:16" x14ac:dyDescent="0.3">
      <c r="A159" s="2">
        <v>45258.369444444441</v>
      </c>
      <c r="B159" s="1" t="s">
        <v>203</v>
      </c>
      <c r="C159" s="1" t="s">
        <v>204</v>
      </c>
      <c r="D159" s="1" t="s">
        <v>205</v>
      </c>
      <c r="E159" s="1" t="s">
        <v>142</v>
      </c>
      <c r="F159" s="1" t="s">
        <v>14</v>
      </c>
      <c r="G159" s="2">
        <v>45272.75</v>
      </c>
      <c r="H159" s="2">
        <v>45272.520833333336</v>
      </c>
      <c r="I159" s="2">
        <v>45272.9375</v>
      </c>
      <c r="J159" s="1" t="s">
        <v>17</v>
      </c>
      <c r="K159" s="2">
        <v>45265.75</v>
      </c>
      <c r="L159" s="2">
        <v>45270.520833333336</v>
      </c>
      <c r="M159" s="2">
        <v>45266.000694444447</v>
      </c>
      <c r="N159" s="2">
        <v>45268.625</v>
      </c>
      <c r="O159" s="2">
        <v>45264.25</v>
      </c>
      <c r="P159" s="2">
        <v>45270.25</v>
      </c>
    </row>
    <row r="160" spans="1:16" x14ac:dyDescent="0.3">
      <c r="A160" s="2">
        <v>45258.369444444441</v>
      </c>
      <c r="B160" s="1" t="s">
        <v>217</v>
      </c>
      <c r="C160" s="1" t="s">
        <v>154</v>
      </c>
      <c r="D160" s="1" t="s">
        <v>154</v>
      </c>
      <c r="E160" s="1" t="s">
        <v>46</v>
      </c>
      <c r="F160" s="1" t="s">
        <v>13</v>
      </c>
      <c r="G160" s="2">
        <v>45274.000694444447</v>
      </c>
      <c r="H160" s="2">
        <v>45273.709027777775</v>
      </c>
      <c r="I160" s="2">
        <v>45274.583333333336</v>
      </c>
      <c r="J160" s="1" t="s">
        <v>27</v>
      </c>
      <c r="K160" s="2">
        <v>45267.000694444447</v>
      </c>
      <c r="L160" s="2">
        <v>45271.709027777775</v>
      </c>
      <c r="M160" s="2">
        <v>45268.000694444447</v>
      </c>
      <c r="N160" s="2">
        <v>45270.709027777775</v>
      </c>
      <c r="O160" s="2">
        <v>45265.500694444447</v>
      </c>
      <c r="P160" s="2">
        <v>45271.500694444447</v>
      </c>
    </row>
    <row r="161" spans="1:16" x14ac:dyDescent="0.3">
      <c r="A161" s="2">
        <v>45258.369444444441</v>
      </c>
      <c r="B161" s="1" t="s">
        <v>138</v>
      </c>
      <c r="C161" s="1" t="s">
        <v>208</v>
      </c>
      <c r="D161" s="1" t="s">
        <v>209</v>
      </c>
      <c r="E161" s="1" t="s">
        <v>84</v>
      </c>
      <c r="F161" s="1" t="s">
        <v>14</v>
      </c>
      <c r="G161" s="2">
        <v>45279</v>
      </c>
      <c r="H161" s="2">
        <v>45278.771527777775</v>
      </c>
      <c r="I161" s="2">
        <v>45279.4375</v>
      </c>
      <c r="J161" s="1" t="s">
        <v>16</v>
      </c>
      <c r="K161" s="2">
        <v>45272</v>
      </c>
      <c r="L161" s="2">
        <v>45276.771527777775</v>
      </c>
      <c r="M161" s="2">
        <v>45273.000694444447</v>
      </c>
      <c r="N161" s="2">
        <v>45275.416666666664</v>
      </c>
      <c r="O161" s="2">
        <v>45270.5</v>
      </c>
      <c r="P161" s="2">
        <v>45276.5</v>
      </c>
    </row>
    <row r="162" spans="1:16" x14ac:dyDescent="0.3">
      <c r="A162" s="2">
        <v>45258.369444444441</v>
      </c>
      <c r="B162" s="1" t="s">
        <v>236</v>
      </c>
      <c r="C162" s="1" t="s">
        <v>237</v>
      </c>
      <c r="D162" s="1" t="s">
        <v>238</v>
      </c>
      <c r="E162" s="1" t="s">
        <v>84</v>
      </c>
      <c r="F162" s="1" t="s">
        <v>14</v>
      </c>
      <c r="G162" s="2">
        <v>45279.000694444447</v>
      </c>
      <c r="H162" s="2">
        <v>45279.000694444447</v>
      </c>
      <c r="I162" s="2">
        <v>45279.666666666664</v>
      </c>
      <c r="J162" s="1" t="s">
        <v>16</v>
      </c>
      <c r="K162" s="2">
        <v>45272.000694444447</v>
      </c>
      <c r="L162" s="2">
        <v>45277.000694444447</v>
      </c>
      <c r="M162" s="2">
        <v>45273.000694444447</v>
      </c>
      <c r="N162" s="2">
        <v>45278.416666666664</v>
      </c>
      <c r="O162" s="2">
        <v>45270.500694444447</v>
      </c>
      <c r="P162" s="2">
        <v>45276.500694444447</v>
      </c>
    </row>
    <row r="163" spans="1:16" x14ac:dyDescent="0.3">
      <c r="A163" s="2">
        <v>45258.369444444441</v>
      </c>
      <c r="B163" s="1" t="s">
        <v>65</v>
      </c>
      <c r="C163" s="1" t="s">
        <v>197</v>
      </c>
      <c r="D163" s="1" t="s">
        <v>149</v>
      </c>
      <c r="E163" s="1" t="s">
        <v>43</v>
      </c>
      <c r="F163" s="1" t="s">
        <v>21</v>
      </c>
      <c r="G163" s="2">
        <v>45283.583333333336</v>
      </c>
      <c r="H163" s="2">
        <v>45283.25</v>
      </c>
      <c r="I163" s="2">
        <v>45283.979166666664</v>
      </c>
      <c r="J163" s="1" t="s">
        <v>23</v>
      </c>
      <c r="K163" s="2">
        <v>45276.583333333336</v>
      </c>
      <c r="L163" s="2">
        <v>45281.25</v>
      </c>
      <c r="M163" s="2">
        <v>45277.000694444447</v>
      </c>
      <c r="N163" s="2">
        <v>45282.5</v>
      </c>
      <c r="O163" s="2">
        <v>45275.083333333336</v>
      </c>
      <c r="P163" s="2">
        <v>45281.083333333336</v>
      </c>
    </row>
    <row r="164" spans="1:16" x14ac:dyDescent="0.3">
      <c r="A164" s="2">
        <v>45258.369444444441</v>
      </c>
      <c r="B164" s="1" t="s">
        <v>254</v>
      </c>
      <c r="C164" s="1" t="s">
        <v>255</v>
      </c>
      <c r="D164" s="1" t="s">
        <v>256</v>
      </c>
      <c r="E164" s="1" t="s">
        <v>45</v>
      </c>
      <c r="F164" s="1" t="s">
        <v>14</v>
      </c>
      <c r="G164" s="2">
        <v>45285.000694444447</v>
      </c>
      <c r="H164" s="2">
        <v>45285.000694444447</v>
      </c>
      <c r="I164" s="2">
        <v>45285.708333333336</v>
      </c>
      <c r="J164" s="1" t="s">
        <v>16</v>
      </c>
      <c r="K164" s="2">
        <v>45278.000694444447</v>
      </c>
      <c r="L164" s="2">
        <v>45283.000694444447</v>
      </c>
      <c r="M164" s="2">
        <v>45279.000694444447</v>
      </c>
      <c r="N164" s="2">
        <v>45282.000694444447</v>
      </c>
      <c r="O164" s="2">
        <v>45276.500694444447</v>
      </c>
      <c r="P164" s="2">
        <v>45282.500694444447</v>
      </c>
    </row>
    <row r="165" spans="1:16" x14ac:dyDescent="0.3">
      <c r="A165" s="2">
        <v>45258.369444444441</v>
      </c>
      <c r="B165" s="1" t="s">
        <v>152</v>
      </c>
      <c r="C165" s="1" t="s">
        <v>225</v>
      </c>
      <c r="D165" s="1" t="s">
        <v>226</v>
      </c>
      <c r="E165" s="1" t="s">
        <v>44</v>
      </c>
      <c r="F165" s="1" t="s">
        <v>30</v>
      </c>
      <c r="G165" s="2">
        <v>45285.208333333336</v>
      </c>
      <c r="H165" s="2">
        <v>45285.208333333336</v>
      </c>
      <c r="I165" s="2">
        <v>45285.833333333336</v>
      </c>
      <c r="J165" s="1" t="s">
        <v>13</v>
      </c>
      <c r="K165" s="2">
        <v>45278.208333333336</v>
      </c>
      <c r="L165" s="2">
        <v>45283.208333333336</v>
      </c>
      <c r="M165" s="2">
        <v>45279.000694444447</v>
      </c>
      <c r="N165" s="2">
        <v>45282.208333333336</v>
      </c>
      <c r="O165" s="2">
        <v>45276.708333333336</v>
      </c>
      <c r="P165" s="2">
        <v>45282.708333333336</v>
      </c>
    </row>
    <row r="166" spans="1:16" x14ac:dyDescent="0.3">
      <c r="A166" s="2">
        <v>45258.369444444441</v>
      </c>
      <c r="B166" s="1" t="s">
        <v>259</v>
      </c>
      <c r="C166" s="1" t="s">
        <v>260</v>
      </c>
      <c r="D166" s="1" t="s">
        <v>261</v>
      </c>
      <c r="E166" s="1" t="s">
        <v>84</v>
      </c>
      <c r="F166" s="1" t="s">
        <v>14</v>
      </c>
      <c r="G166" s="2">
        <v>45286.000694444447</v>
      </c>
      <c r="H166" s="2">
        <v>45286.000694444447</v>
      </c>
      <c r="I166" s="2">
        <v>45286.666666666664</v>
      </c>
      <c r="J166" s="1" t="s">
        <v>16</v>
      </c>
      <c r="K166" s="2">
        <v>45279.000694444447</v>
      </c>
      <c r="L166" s="2">
        <v>45284.000694444447</v>
      </c>
      <c r="M166" s="2">
        <v>45280.000694444447</v>
      </c>
      <c r="N166" s="2">
        <v>45283.000694444447</v>
      </c>
      <c r="O166" s="2">
        <v>45277.500694444447</v>
      </c>
      <c r="P166" s="2">
        <v>45283.500694444447</v>
      </c>
    </row>
    <row r="167" spans="1:16" x14ac:dyDescent="0.3">
      <c r="A167" s="2">
        <v>45257.377083333333</v>
      </c>
      <c r="B167" s="1" t="s">
        <v>159</v>
      </c>
      <c r="C167" s="1" t="s">
        <v>143</v>
      </c>
      <c r="D167" s="1" t="s">
        <v>144</v>
      </c>
      <c r="E167" s="1" t="s">
        <v>46</v>
      </c>
      <c r="F167" s="1" t="s">
        <v>13</v>
      </c>
      <c r="G167" s="2">
        <v>45260.000694444447</v>
      </c>
      <c r="H167" s="2">
        <v>45263.53125</v>
      </c>
      <c r="I167" s="2">
        <v>45264.427083333336</v>
      </c>
      <c r="J167" s="1" t="s">
        <v>27</v>
      </c>
      <c r="K167" s="2">
        <v>45253.000694444447</v>
      </c>
      <c r="L167" s="2">
        <v>45261.53125</v>
      </c>
      <c r="M167" s="2">
        <v>45254.000694444447</v>
      </c>
      <c r="N167" s="2">
        <v>45258.5</v>
      </c>
      <c r="O167" s="2">
        <v>45251.500694444447</v>
      </c>
      <c r="P167" s="2">
        <v>45257.500694444447</v>
      </c>
    </row>
    <row r="168" spans="1:16" x14ac:dyDescent="0.3">
      <c r="A168" s="2">
        <v>45257.377083333333</v>
      </c>
      <c r="B168" s="1" t="s">
        <v>172</v>
      </c>
      <c r="C168" s="1" t="s">
        <v>173</v>
      </c>
      <c r="D168" s="1" t="s">
        <v>174</v>
      </c>
      <c r="E168" s="1" t="s">
        <v>84</v>
      </c>
      <c r="F168" s="1" t="s">
        <v>14</v>
      </c>
      <c r="G168" s="2">
        <v>45261.5</v>
      </c>
      <c r="H168" s="2">
        <v>45264.395833333336</v>
      </c>
      <c r="I168" s="2">
        <v>45264.958333333336</v>
      </c>
      <c r="J168" s="1" t="s">
        <v>16</v>
      </c>
      <c r="K168" s="2">
        <v>45254.5</v>
      </c>
      <c r="L168" s="2">
        <v>45262.395833333336</v>
      </c>
      <c r="M168" s="2">
        <v>45255.000694444447</v>
      </c>
      <c r="N168" s="2">
        <v>45260.416666666664</v>
      </c>
      <c r="O168" s="2">
        <v>45253</v>
      </c>
      <c r="P168" s="2">
        <v>45259</v>
      </c>
    </row>
    <row r="169" spans="1:16" x14ac:dyDescent="0.3">
      <c r="A169" s="2">
        <v>45257.377083333333</v>
      </c>
      <c r="B169" s="1" t="s">
        <v>68</v>
      </c>
      <c r="C169" s="1" t="s">
        <v>216</v>
      </c>
      <c r="D169" s="1" t="s">
        <v>164</v>
      </c>
      <c r="E169" s="1" t="s">
        <v>44</v>
      </c>
      <c r="F169" s="1" t="s">
        <v>30</v>
      </c>
      <c r="G169" s="2">
        <v>45264.5</v>
      </c>
      <c r="H169" s="2">
        <v>45264.479166666664</v>
      </c>
      <c r="I169" s="2">
        <v>45265.104166666664</v>
      </c>
      <c r="J169" s="1" t="s">
        <v>13</v>
      </c>
      <c r="K169" s="2">
        <v>45257.5</v>
      </c>
      <c r="L169" s="2">
        <v>45262.479166666664</v>
      </c>
      <c r="M169" s="2">
        <v>45258.000694444447</v>
      </c>
      <c r="N169" s="2">
        <v>45261.479166666664</v>
      </c>
      <c r="O169" s="2">
        <v>45256</v>
      </c>
      <c r="P169" s="2">
        <v>45262</v>
      </c>
    </row>
    <row r="170" spans="1:16" x14ac:dyDescent="0.3">
      <c r="A170" s="2">
        <v>45257.377083333333</v>
      </c>
      <c r="B170" s="1" t="s">
        <v>151</v>
      </c>
      <c r="C170" s="1" t="s">
        <v>171</v>
      </c>
      <c r="D170" s="1" t="s">
        <v>171</v>
      </c>
      <c r="E170" s="1" t="s">
        <v>85</v>
      </c>
      <c r="F170" s="1" t="s">
        <v>141</v>
      </c>
      <c r="G170" s="2">
        <v>45266.416666666664</v>
      </c>
      <c r="H170" s="2">
        <v>45266.416666666664</v>
      </c>
      <c r="I170" s="2">
        <v>45267.375</v>
      </c>
      <c r="J170" s="1" t="s">
        <v>86</v>
      </c>
      <c r="K170" s="2">
        <v>45259.416666666664</v>
      </c>
      <c r="L170" s="2">
        <v>45264.416666666664</v>
      </c>
      <c r="M170" s="2">
        <v>45260.000694444447</v>
      </c>
      <c r="N170" s="2">
        <v>45264.625</v>
      </c>
      <c r="O170" s="2">
        <v>45257.916666666664</v>
      </c>
      <c r="P170" s="2">
        <v>45263.916666666664</v>
      </c>
    </row>
    <row r="171" spans="1:16" x14ac:dyDescent="0.3">
      <c r="A171" s="2">
        <v>45257.377083333333</v>
      </c>
      <c r="B171" s="1" t="s">
        <v>150</v>
      </c>
      <c r="C171" s="1" t="s">
        <v>188</v>
      </c>
      <c r="D171" s="1" t="s">
        <v>189</v>
      </c>
      <c r="E171" s="1" t="s">
        <v>168</v>
      </c>
      <c r="F171" s="1" t="s">
        <v>21</v>
      </c>
      <c r="G171" s="2">
        <v>45266.75</v>
      </c>
      <c r="H171" s="2">
        <v>45266.75</v>
      </c>
      <c r="I171" s="2">
        <v>45267.166666666664</v>
      </c>
      <c r="J171" s="1" t="s">
        <v>19</v>
      </c>
      <c r="K171" s="2">
        <v>45259.75</v>
      </c>
      <c r="L171" s="2">
        <v>45264.75</v>
      </c>
      <c r="M171" s="2">
        <v>45260.000694444447</v>
      </c>
      <c r="N171" s="2">
        <v>45263.75</v>
      </c>
      <c r="O171" s="2">
        <v>45258.25</v>
      </c>
      <c r="P171" s="2">
        <v>45264.25</v>
      </c>
    </row>
    <row r="172" spans="1:16" x14ac:dyDescent="0.3">
      <c r="A172" s="2">
        <v>45257.377083333333</v>
      </c>
      <c r="B172" s="1" t="s">
        <v>187</v>
      </c>
      <c r="C172" s="1" t="s">
        <v>148</v>
      </c>
      <c r="D172" s="1" t="s">
        <v>148</v>
      </c>
      <c r="E172" s="1" t="s">
        <v>46</v>
      </c>
      <c r="F172" s="1" t="s">
        <v>19</v>
      </c>
      <c r="G172" s="2">
        <v>45267.000694444447</v>
      </c>
      <c r="H172" s="2">
        <v>45267.000694444447</v>
      </c>
      <c r="I172" s="2">
        <v>45267.875</v>
      </c>
      <c r="J172" s="1" t="s">
        <v>28</v>
      </c>
      <c r="K172" s="2">
        <v>45260.000694444447</v>
      </c>
      <c r="L172" s="2">
        <v>45265.000694444447</v>
      </c>
      <c r="M172" s="2">
        <v>45261.000694444447</v>
      </c>
      <c r="N172" s="2">
        <v>45265.5</v>
      </c>
      <c r="O172" s="2">
        <v>45258.500694444447</v>
      </c>
      <c r="P172" s="2">
        <v>45264.500694444447</v>
      </c>
    </row>
    <row r="173" spans="1:16" x14ac:dyDescent="0.3">
      <c r="A173" s="2">
        <v>45257.377083333333</v>
      </c>
      <c r="B173" s="1" t="s">
        <v>69</v>
      </c>
      <c r="C173" s="1" t="s">
        <v>195</v>
      </c>
      <c r="D173" s="1" t="s">
        <v>196</v>
      </c>
      <c r="E173" s="1" t="s">
        <v>47</v>
      </c>
      <c r="F173" s="1"/>
      <c r="G173" s="2">
        <v>45268.833333333336</v>
      </c>
      <c r="H173" s="2">
        <v>45268.854166666664</v>
      </c>
      <c r="I173" s="2">
        <v>45269.583333333336</v>
      </c>
      <c r="J173" s="1" t="s">
        <v>126</v>
      </c>
      <c r="K173" s="2">
        <v>45261.833333333336</v>
      </c>
      <c r="L173" s="2">
        <v>45266.854166666664</v>
      </c>
      <c r="M173" s="2">
        <v>45262.000694444447</v>
      </c>
      <c r="N173" s="2">
        <v>45265.854166666664</v>
      </c>
      <c r="O173" s="2">
        <v>45260.333333333336</v>
      </c>
      <c r="P173" s="2">
        <v>45266.333333333336</v>
      </c>
    </row>
    <row r="174" spans="1:16" x14ac:dyDescent="0.3">
      <c r="A174" s="2">
        <v>45257.377083333333</v>
      </c>
      <c r="B174" s="1" t="s">
        <v>67</v>
      </c>
      <c r="C174" s="1" t="s">
        <v>193</v>
      </c>
      <c r="D174" s="1" t="s">
        <v>194</v>
      </c>
      <c r="E174" s="1" t="s">
        <v>52</v>
      </c>
      <c r="F174" s="1"/>
      <c r="G174" s="2">
        <v>45268.916666666664</v>
      </c>
      <c r="H174" s="2">
        <v>45268.791666666664</v>
      </c>
      <c r="I174" s="2">
        <v>45269.3125</v>
      </c>
      <c r="J174" s="1" t="s">
        <v>63</v>
      </c>
      <c r="K174" s="2">
        <v>45261.916666666664</v>
      </c>
      <c r="L174" s="2">
        <v>45266.791666666664</v>
      </c>
      <c r="M174" s="2">
        <v>45262.000694444447</v>
      </c>
      <c r="N174" s="2">
        <v>45265.791666666664</v>
      </c>
      <c r="O174" s="2">
        <v>45258.916666666664</v>
      </c>
      <c r="P174" s="2">
        <v>45266.791666666664</v>
      </c>
    </row>
    <row r="175" spans="1:16" x14ac:dyDescent="0.3">
      <c r="A175" s="2">
        <v>45257.377083333333</v>
      </c>
      <c r="B175" s="1" t="s">
        <v>139</v>
      </c>
      <c r="C175" s="1" t="s">
        <v>206</v>
      </c>
      <c r="D175" s="1" t="s">
        <v>207</v>
      </c>
      <c r="E175" s="1" t="s">
        <v>83</v>
      </c>
      <c r="F175" s="1" t="s">
        <v>13</v>
      </c>
      <c r="G175" s="2">
        <v>45270.75</v>
      </c>
      <c r="H175" s="2">
        <v>45269.75</v>
      </c>
      <c r="I175" s="2">
        <v>45271.083333333336</v>
      </c>
      <c r="J175" s="1" t="s">
        <v>14</v>
      </c>
      <c r="K175" s="2">
        <v>45263.75</v>
      </c>
      <c r="L175" s="2">
        <v>45267.75</v>
      </c>
      <c r="M175" s="2">
        <v>45264.000694444447</v>
      </c>
      <c r="N175" s="2">
        <v>45267.625</v>
      </c>
      <c r="O175" s="2">
        <v>45261.25</v>
      </c>
      <c r="P175" s="2">
        <v>45267.25</v>
      </c>
    </row>
    <row r="176" spans="1:16" x14ac:dyDescent="0.3">
      <c r="A176" s="2">
        <v>45257.377083333333</v>
      </c>
      <c r="B176" s="1" t="s">
        <v>198</v>
      </c>
      <c r="C176" s="1" t="s">
        <v>199</v>
      </c>
      <c r="D176" s="1" t="s">
        <v>200</v>
      </c>
      <c r="E176" s="1" t="s">
        <v>42</v>
      </c>
      <c r="F176" s="1" t="s">
        <v>14</v>
      </c>
      <c r="G176" s="2">
        <v>45271.208333333336</v>
      </c>
      <c r="H176" s="2">
        <v>45271.208333333336</v>
      </c>
      <c r="I176" s="2">
        <v>45271.875</v>
      </c>
      <c r="J176" s="1" t="s">
        <v>17</v>
      </c>
      <c r="K176" s="2">
        <v>45264.208333333336</v>
      </c>
      <c r="L176" s="2">
        <v>45269.208333333336</v>
      </c>
      <c r="M176" s="2">
        <v>45265.000694444447</v>
      </c>
      <c r="N176" s="2">
        <v>45269.5</v>
      </c>
      <c r="O176" s="2">
        <v>45262.708333333336</v>
      </c>
      <c r="P176" s="2">
        <v>45268.708333333336</v>
      </c>
    </row>
    <row r="177" spans="1:16" x14ac:dyDescent="0.3">
      <c r="A177" s="2">
        <v>45257.377083333333</v>
      </c>
      <c r="B177" s="1" t="s">
        <v>152</v>
      </c>
      <c r="C177" s="1" t="s">
        <v>216</v>
      </c>
      <c r="D177" s="1" t="s">
        <v>164</v>
      </c>
      <c r="E177" s="1" t="s">
        <v>44</v>
      </c>
      <c r="F177" s="1" t="s">
        <v>30</v>
      </c>
      <c r="G177" s="2">
        <v>45271.208333333336</v>
      </c>
      <c r="H177" s="2">
        <v>45271.291666666664</v>
      </c>
      <c r="I177" s="2">
        <v>45271.916666666664</v>
      </c>
      <c r="J177" s="1" t="s">
        <v>13</v>
      </c>
      <c r="K177" s="2">
        <v>45264.208333333336</v>
      </c>
      <c r="L177" s="2">
        <v>45269.291666666664</v>
      </c>
      <c r="M177" s="2">
        <v>45265.000694444447</v>
      </c>
      <c r="N177" s="2">
        <v>45268.291666666664</v>
      </c>
      <c r="O177" s="2">
        <v>45262.708333333336</v>
      </c>
      <c r="P177" s="2">
        <v>45268.708333333336</v>
      </c>
    </row>
    <row r="178" spans="1:16" x14ac:dyDescent="0.3">
      <c r="A178" s="2">
        <v>45257.377083333333</v>
      </c>
      <c r="B178" s="1" t="s">
        <v>203</v>
      </c>
      <c r="C178" s="1" t="s">
        <v>204</v>
      </c>
      <c r="D178" s="1" t="s">
        <v>205</v>
      </c>
      <c r="E178" s="1" t="s">
        <v>142</v>
      </c>
      <c r="F178" s="1" t="s">
        <v>14</v>
      </c>
      <c r="G178" s="2">
        <v>45270.75</v>
      </c>
      <c r="H178" s="2">
        <v>45272.520833333336</v>
      </c>
      <c r="I178" s="2">
        <v>45272.9375</v>
      </c>
      <c r="J178" s="1" t="s">
        <v>17</v>
      </c>
      <c r="K178" s="2">
        <v>45263.75</v>
      </c>
      <c r="L178" s="2">
        <v>45270.520833333336</v>
      </c>
      <c r="M178" s="2">
        <v>45264.000694444447</v>
      </c>
      <c r="N178" s="2">
        <v>45268.625</v>
      </c>
      <c r="O178" s="2">
        <v>45262.25</v>
      </c>
      <c r="P178" s="2">
        <v>45268.25</v>
      </c>
    </row>
    <row r="179" spans="1:16" x14ac:dyDescent="0.3">
      <c r="A179" s="2">
        <v>45257.377083333333</v>
      </c>
      <c r="B179" s="1" t="s">
        <v>169</v>
      </c>
      <c r="C179" s="1" t="s">
        <v>181</v>
      </c>
      <c r="D179" s="1" t="s">
        <v>181</v>
      </c>
      <c r="E179" s="1" t="s">
        <v>85</v>
      </c>
      <c r="F179" s="1" t="s">
        <v>141</v>
      </c>
      <c r="G179" s="2">
        <v>45273.416666666664</v>
      </c>
      <c r="H179" s="2">
        <v>45273.416666666664</v>
      </c>
      <c r="I179" s="2">
        <v>45274.375</v>
      </c>
      <c r="J179" s="1" t="s">
        <v>86</v>
      </c>
      <c r="K179" s="2">
        <v>45266.416666666664</v>
      </c>
      <c r="L179" s="2">
        <v>45271.416666666664</v>
      </c>
      <c r="M179" s="2">
        <v>45267.000694444447</v>
      </c>
      <c r="N179" s="2">
        <v>45271.625</v>
      </c>
      <c r="O179" s="2">
        <v>45264.916666666664</v>
      </c>
      <c r="P179" s="2">
        <v>45270.916666666664</v>
      </c>
    </row>
    <row r="180" spans="1:16" x14ac:dyDescent="0.3">
      <c r="A180" s="2">
        <v>45257.377083333333</v>
      </c>
      <c r="B180" s="1" t="s">
        <v>236</v>
      </c>
      <c r="C180" s="1" t="s">
        <v>237</v>
      </c>
      <c r="D180" s="1" t="s">
        <v>238</v>
      </c>
      <c r="E180" s="1" t="s">
        <v>84</v>
      </c>
      <c r="F180" s="1" t="s">
        <v>14</v>
      </c>
      <c r="G180" s="2">
        <v>45279.000694444447</v>
      </c>
      <c r="H180" s="2">
        <v>45279.000694444447</v>
      </c>
      <c r="I180" s="2">
        <v>45279.666666666664</v>
      </c>
      <c r="J180" s="1" t="s">
        <v>16</v>
      </c>
      <c r="K180" s="2">
        <v>45272.000694444447</v>
      </c>
      <c r="L180" s="2">
        <v>45277.000694444447</v>
      </c>
      <c r="M180" s="2">
        <v>45273.000694444447</v>
      </c>
      <c r="N180" s="2">
        <v>45276.000694444447</v>
      </c>
      <c r="O180" s="2">
        <v>45270.500694444447</v>
      </c>
      <c r="P180" s="2">
        <v>45276.500694444447</v>
      </c>
    </row>
    <row r="181" spans="1:16" x14ac:dyDescent="0.3">
      <c r="A181" s="2">
        <v>45257.377083333333</v>
      </c>
      <c r="B181" s="1" t="s">
        <v>175</v>
      </c>
      <c r="C181" s="1" t="s">
        <v>207</v>
      </c>
      <c r="D181" s="1" t="s">
        <v>207</v>
      </c>
      <c r="E181" s="1" t="s">
        <v>85</v>
      </c>
      <c r="F181" s="1" t="s">
        <v>141</v>
      </c>
      <c r="G181" s="2">
        <v>45280.375</v>
      </c>
      <c r="H181" s="2">
        <v>45280.416666666664</v>
      </c>
      <c r="I181" s="2">
        <v>45281.333333333336</v>
      </c>
      <c r="J181" s="1" t="s">
        <v>86</v>
      </c>
      <c r="K181" s="2">
        <v>45273.375</v>
      </c>
      <c r="L181" s="2">
        <v>45278.416666666664</v>
      </c>
      <c r="M181" s="2">
        <v>45274.000694444447</v>
      </c>
      <c r="N181" s="2">
        <v>45278.625</v>
      </c>
      <c r="O181" s="2">
        <v>45271.875</v>
      </c>
      <c r="P181" s="2">
        <v>45277.875</v>
      </c>
    </row>
    <row r="182" spans="1:16" x14ac:dyDescent="0.3">
      <c r="A182" s="2">
        <v>45254.552083333336</v>
      </c>
      <c r="B182" s="1" t="s">
        <v>179</v>
      </c>
      <c r="C182" s="1" t="s">
        <v>180</v>
      </c>
      <c r="D182" s="1" t="s">
        <v>181</v>
      </c>
      <c r="E182" s="1" t="s">
        <v>83</v>
      </c>
      <c r="F182" s="1" t="s">
        <v>16</v>
      </c>
      <c r="G182" s="2">
        <v>45262.75</v>
      </c>
      <c r="H182" s="2">
        <v>45262.9375</v>
      </c>
      <c r="I182" s="2">
        <v>45264.375</v>
      </c>
      <c r="J182" s="1" t="s">
        <v>14</v>
      </c>
      <c r="K182" s="2">
        <v>45255.75</v>
      </c>
      <c r="L182" s="2">
        <v>45260.9375</v>
      </c>
      <c r="M182" s="2">
        <v>45256.000694444447</v>
      </c>
      <c r="N182" s="2">
        <v>45260.625</v>
      </c>
      <c r="O182" s="2">
        <v>45253.25</v>
      </c>
      <c r="P182" s="2">
        <v>45259.25</v>
      </c>
    </row>
    <row r="183" spans="1:16" x14ac:dyDescent="0.3">
      <c r="A183" s="2">
        <v>45254.552083333336</v>
      </c>
      <c r="B183" s="1" t="s">
        <v>68</v>
      </c>
      <c r="C183" s="1" t="s">
        <v>216</v>
      </c>
      <c r="D183" s="1" t="s">
        <v>164</v>
      </c>
      <c r="E183" s="1" t="s">
        <v>44</v>
      </c>
      <c r="F183" s="1" t="s">
        <v>30</v>
      </c>
      <c r="G183" s="2">
        <v>45264.208333333336</v>
      </c>
      <c r="H183" s="2">
        <v>45264.416666666664</v>
      </c>
      <c r="I183" s="2">
        <v>45265.041666666664</v>
      </c>
      <c r="J183" s="1" t="s">
        <v>13</v>
      </c>
      <c r="K183" s="2">
        <v>45257.208333333336</v>
      </c>
      <c r="L183" s="2">
        <v>45262.416666666664</v>
      </c>
      <c r="M183" s="2">
        <v>45258.000694444447</v>
      </c>
      <c r="N183" s="2">
        <v>45261.416666666664</v>
      </c>
      <c r="O183" s="2">
        <v>45255.708333333336</v>
      </c>
      <c r="P183" s="2">
        <v>45261.708333333336</v>
      </c>
    </row>
    <row r="184" spans="1:16" x14ac:dyDescent="0.3">
      <c r="A184" s="2">
        <v>45254.552083333336</v>
      </c>
      <c r="B184" s="1" t="s">
        <v>203</v>
      </c>
      <c r="C184" s="1" t="s">
        <v>204</v>
      </c>
      <c r="D184" s="1" t="s">
        <v>205</v>
      </c>
      <c r="E184" s="1" t="s">
        <v>142</v>
      </c>
      <c r="F184" s="1" t="s">
        <v>14</v>
      </c>
      <c r="G184" s="2">
        <v>45266.291666666664</v>
      </c>
      <c r="H184" s="2">
        <v>45264.770833333336</v>
      </c>
      <c r="I184" s="2">
        <v>45265.6875</v>
      </c>
      <c r="J184" s="1" t="s">
        <v>17</v>
      </c>
      <c r="K184" s="2">
        <v>45259.291666666664</v>
      </c>
      <c r="L184" s="2">
        <v>45262.770833333336</v>
      </c>
      <c r="M184" s="2">
        <v>45260.000694444447</v>
      </c>
      <c r="N184" s="2">
        <v>45261.770833333336</v>
      </c>
      <c r="O184" s="2">
        <v>45257.791666666664</v>
      </c>
      <c r="P184" s="2">
        <v>45263.791666666664</v>
      </c>
    </row>
    <row r="185" spans="1:16" x14ac:dyDescent="0.3">
      <c r="A185" s="2">
        <v>45254.552083333336</v>
      </c>
      <c r="B185" s="1" t="s">
        <v>185</v>
      </c>
      <c r="C185" s="1" t="s">
        <v>186</v>
      </c>
      <c r="D185" s="1" t="s">
        <v>186</v>
      </c>
      <c r="E185" s="1" t="s">
        <v>133</v>
      </c>
      <c r="F185" s="1" t="s">
        <v>134</v>
      </c>
      <c r="G185" s="2">
        <v>45265.25</v>
      </c>
      <c r="H185" s="2">
        <v>45265.25</v>
      </c>
      <c r="I185" s="2">
        <v>45266.3125</v>
      </c>
      <c r="J185" s="1" t="s">
        <v>17</v>
      </c>
      <c r="K185" s="2">
        <v>45258.25</v>
      </c>
      <c r="L185" s="2">
        <v>45263.25</v>
      </c>
      <c r="M185" s="2">
        <v>45259.000694444447</v>
      </c>
      <c r="N185" s="2">
        <v>45263.625</v>
      </c>
      <c r="O185" s="2">
        <v>45256.75</v>
      </c>
      <c r="P185" s="2">
        <v>45262.75</v>
      </c>
    </row>
    <row r="186" spans="1:16" x14ac:dyDescent="0.3">
      <c r="A186" s="2">
        <v>45254.552083333336</v>
      </c>
      <c r="B186" s="1" t="s">
        <v>165</v>
      </c>
      <c r="C186" s="1" t="s">
        <v>166</v>
      </c>
      <c r="D186" s="1" t="s">
        <v>167</v>
      </c>
      <c r="E186" s="1" t="s">
        <v>18</v>
      </c>
      <c r="F186" s="1" t="s">
        <v>19</v>
      </c>
      <c r="G186" s="2">
        <v>45265.916666666664</v>
      </c>
      <c r="H186" s="2">
        <v>45265.9375</v>
      </c>
      <c r="I186" s="2">
        <v>45266.979166666664</v>
      </c>
      <c r="J186" s="1" t="s">
        <v>132</v>
      </c>
      <c r="K186" s="2">
        <v>45258.916666666664</v>
      </c>
      <c r="L186" s="2">
        <v>45263.9375</v>
      </c>
      <c r="M186" s="2">
        <v>45259.000694444447</v>
      </c>
      <c r="N186" s="2">
        <v>45263.625</v>
      </c>
      <c r="O186" s="2">
        <v>45257.416666666664</v>
      </c>
      <c r="P186" s="2">
        <v>45263.416666666664</v>
      </c>
    </row>
    <row r="187" spans="1:16" x14ac:dyDescent="0.3">
      <c r="A187" s="2">
        <v>45254.552083333336</v>
      </c>
      <c r="B187" s="1" t="s">
        <v>176</v>
      </c>
      <c r="C187" s="1" t="s">
        <v>177</v>
      </c>
      <c r="D187" s="1" t="s">
        <v>178</v>
      </c>
      <c r="E187" s="1" t="s">
        <v>82</v>
      </c>
      <c r="F187" s="1" t="s">
        <v>14</v>
      </c>
      <c r="G187" s="2">
        <v>45268.000694444447</v>
      </c>
      <c r="H187" s="2">
        <v>45268</v>
      </c>
      <c r="I187" s="2">
        <v>45268.958333333336</v>
      </c>
      <c r="J187" s="1" t="s">
        <v>81</v>
      </c>
      <c r="K187" s="2">
        <v>45261.000694444447</v>
      </c>
      <c r="L187" s="2">
        <v>45266</v>
      </c>
      <c r="M187" s="2">
        <v>45262.000694444447</v>
      </c>
      <c r="N187" s="2">
        <v>45265.625</v>
      </c>
      <c r="O187" s="2">
        <v>45259.500694444447</v>
      </c>
      <c r="P187" s="2">
        <v>45265.500694444447</v>
      </c>
    </row>
    <row r="188" spans="1:16" x14ac:dyDescent="0.3">
      <c r="A188" s="2">
        <v>45254.552083333336</v>
      </c>
      <c r="B188" s="1" t="s">
        <v>69</v>
      </c>
      <c r="C188" s="1" t="s">
        <v>195</v>
      </c>
      <c r="D188" s="1" t="s">
        <v>196</v>
      </c>
      <c r="E188" s="1" t="s">
        <v>47</v>
      </c>
      <c r="F188" s="1"/>
      <c r="G188" s="2">
        <v>45268.833333333336</v>
      </c>
      <c r="H188" s="2">
        <v>45268.875</v>
      </c>
      <c r="I188" s="2">
        <v>45269.604166666664</v>
      </c>
      <c r="J188" s="1" t="s">
        <v>126</v>
      </c>
      <c r="K188" s="2">
        <v>45261.833333333336</v>
      </c>
      <c r="L188" s="2">
        <v>45266.875</v>
      </c>
      <c r="M188" s="2">
        <v>45262.000694444447</v>
      </c>
      <c r="N188" s="2">
        <v>45265.875</v>
      </c>
      <c r="O188" s="2">
        <v>45260.333333333336</v>
      </c>
      <c r="P188" s="2">
        <v>45266.333333333336</v>
      </c>
    </row>
    <row r="189" spans="1:16" x14ac:dyDescent="0.3">
      <c r="A189" s="2">
        <v>45254.552083333336</v>
      </c>
      <c r="B189" s="1" t="s">
        <v>137</v>
      </c>
      <c r="C189" s="1" t="s">
        <v>162</v>
      </c>
      <c r="D189" s="1" t="s">
        <v>163</v>
      </c>
      <c r="E189" s="1" t="s">
        <v>45</v>
      </c>
      <c r="F189" s="1" t="s">
        <v>14</v>
      </c>
      <c r="G189" s="2">
        <v>45265.5</v>
      </c>
      <c r="H189" s="2">
        <v>45269.000694444447</v>
      </c>
      <c r="I189" s="2">
        <v>45269.708333333336</v>
      </c>
      <c r="J189" s="1" t="s">
        <v>16</v>
      </c>
      <c r="K189" s="2">
        <v>45258.5</v>
      </c>
      <c r="L189" s="2">
        <v>45267.000694444447</v>
      </c>
      <c r="M189" s="2">
        <v>45259.000694444447</v>
      </c>
      <c r="N189" s="2">
        <v>45266.000694444447</v>
      </c>
      <c r="O189" s="2">
        <v>45257</v>
      </c>
      <c r="P189" s="2">
        <v>45263</v>
      </c>
    </row>
    <row r="190" spans="1:16" x14ac:dyDescent="0.3">
      <c r="A190" s="2">
        <v>45254.552083333336</v>
      </c>
      <c r="B190" s="1" t="s">
        <v>67</v>
      </c>
      <c r="C190" s="1" t="s">
        <v>193</v>
      </c>
      <c r="D190" s="1" t="s">
        <v>194</v>
      </c>
      <c r="E190" s="1" t="s">
        <v>52</v>
      </c>
      <c r="F190" s="1"/>
      <c r="G190" s="2">
        <v>45268.916666666664</v>
      </c>
      <c r="H190" s="2">
        <v>45268.791666666664</v>
      </c>
      <c r="I190" s="2">
        <v>45269.5</v>
      </c>
      <c r="J190" s="1" t="s">
        <v>63</v>
      </c>
      <c r="K190" s="2">
        <v>45261.916666666664</v>
      </c>
      <c r="L190" s="2">
        <v>45266.791666666664</v>
      </c>
      <c r="M190" s="2">
        <v>45262.000694444447</v>
      </c>
      <c r="N190" s="2">
        <v>45265.791666666664</v>
      </c>
      <c r="O190" s="2">
        <v>45258.916666666664</v>
      </c>
      <c r="P190" s="2">
        <v>45266.791666666664</v>
      </c>
    </row>
    <row r="191" spans="1:16" x14ac:dyDescent="0.3">
      <c r="A191" s="2">
        <v>45254.552083333336</v>
      </c>
      <c r="B191" s="1" t="s">
        <v>182</v>
      </c>
      <c r="C191" s="1" t="s">
        <v>183</v>
      </c>
      <c r="D191" s="1" t="s">
        <v>184</v>
      </c>
      <c r="E191" s="1" t="s">
        <v>84</v>
      </c>
      <c r="F191" s="1" t="s">
        <v>14</v>
      </c>
      <c r="G191" s="2">
        <v>45274</v>
      </c>
      <c r="H191" s="2">
        <v>45274.416666666664</v>
      </c>
      <c r="I191" s="2">
        <v>45275.125</v>
      </c>
      <c r="J191" s="1" t="s">
        <v>16</v>
      </c>
      <c r="K191" s="2">
        <v>45267</v>
      </c>
      <c r="L191" s="2">
        <v>45272.416666666664</v>
      </c>
      <c r="M191" s="2">
        <v>45268.000694444447</v>
      </c>
      <c r="N191" s="2">
        <v>45271.416666666664</v>
      </c>
      <c r="O191" s="2">
        <v>45265.5</v>
      </c>
      <c r="P191" s="2">
        <v>45271.5</v>
      </c>
    </row>
    <row r="192" spans="1:16" x14ac:dyDescent="0.3">
      <c r="A192" s="2">
        <v>45254.552083333336</v>
      </c>
      <c r="B192" s="1" t="s">
        <v>138</v>
      </c>
      <c r="C192" s="1" t="s">
        <v>208</v>
      </c>
      <c r="D192" s="1" t="s">
        <v>209</v>
      </c>
      <c r="E192" s="1" t="s">
        <v>84</v>
      </c>
      <c r="F192" s="1" t="s">
        <v>14</v>
      </c>
      <c r="G192" s="2">
        <v>45276.000694444447</v>
      </c>
      <c r="H192" s="2">
        <v>45276.104861111111</v>
      </c>
      <c r="I192" s="2">
        <v>45276.770833333336</v>
      </c>
      <c r="J192" s="1" t="s">
        <v>16</v>
      </c>
      <c r="K192" s="2">
        <v>45269.000694444447</v>
      </c>
      <c r="L192" s="2">
        <v>45274.104861111111</v>
      </c>
      <c r="M192" s="2">
        <v>45270.000694444447</v>
      </c>
      <c r="N192" s="2">
        <v>45273.104861111111</v>
      </c>
      <c r="O192" s="2">
        <v>45267.500694444447</v>
      </c>
      <c r="P192" s="2">
        <v>45273.500694444447</v>
      </c>
    </row>
    <row r="193" spans="1:16" x14ac:dyDescent="0.3">
      <c r="A193" s="2">
        <v>45253.561111111114</v>
      </c>
      <c r="B193" s="1" t="s">
        <v>179</v>
      </c>
      <c r="C193" s="1" t="s">
        <v>180</v>
      </c>
      <c r="D193" s="1" t="s">
        <v>181</v>
      </c>
      <c r="E193" s="1" t="s">
        <v>83</v>
      </c>
      <c r="F193" s="1" t="s">
        <v>13</v>
      </c>
      <c r="G193" s="2">
        <v>45262.75</v>
      </c>
      <c r="H193" s="2">
        <v>45262.75</v>
      </c>
      <c r="I193" s="2">
        <v>45264.1875</v>
      </c>
      <c r="J193" s="1" t="s">
        <v>14</v>
      </c>
      <c r="K193" s="2">
        <v>45255.75</v>
      </c>
      <c r="L193" s="2">
        <v>45260.75</v>
      </c>
      <c r="M193" s="2">
        <v>45256.000694444447</v>
      </c>
      <c r="N193" s="2">
        <v>45260.625</v>
      </c>
      <c r="O193" s="2">
        <v>45253.25</v>
      </c>
      <c r="P193" s="2">
        <v>45259.25</v>
      </c>
    </row>
    <row r="194" spans="1:16" x14ac:dyDescent="0.3">
      <c r="A194" s="2">
        <v>45253.561111111114</v>
      </c>
      <c r="B194" s="1" t="s">
        <v>176</v>
      </c>
      <c r="C194" s="1" t="s">
        <v>177</v>
      </c>
      <c r="D194" s="1" t="s">
        <v>178</v>
      </c>
      <c r="E194" s="1" t="s">
        <v>82</v>
      </c>
      <c r="F194" s="1" t="s">
        <v>14</v>
      </c>
      <c r="G194" s="2">
        <v>45263.958333333336</v>
      </c>
      <c r="H194" s="2">
        <v>45263.291666666664</v>
      </c>
      <c r="I194" s="2">
        <v>45264.166666666664</v>
      </c>
      <c r="J194" s="1" t="s">
        <v>81</v>
      </c>
      <c r="K194" s="2">
        <v>45256.958333333336</v>
      </c>
      <c r="L194" s="2">
        <v>45261.291666666664</v>
      </c>
      <c r="M194" s="2">
        <v>45257.000694444447</v>
      </c>
      <c r="N194" s="2">
        <v>45259.5</v>
      </c>
      <c r="O194" s="2">
        <v>45255.458333333336</v>
      </c>
      <c r="P194" s="2">
        <v>45261.458333333336</v>
      </c>
    </row>
    <row r="195" spans="1:16" x14ac:dyDescent="0.3">
      <c r="A195" s="2">
        <v>45253.561111111114</v>
      </c>
      <c r="B195" s="1" t="s">
        <v>137</v>
      </c>
      <c r="C195" s="1" t="s">
        <v>162</v>
      </c>
      <c r="D195" s="1" t="s">
        <v>163</v>
      </c>
      <c r="E195" s="1" t="s">
        <v>45</v>
      </c>
      <c r="F195" s="1" t="s">
        <v>14</v>
      </c>
      <c r="G195" s="2">
        <v>45264.000694444447</v>
      </c>
      <c r="H195" s="2">
        <v>45264.229861111111</v>
      </c>
      <c r="I195" s="2">
        <v>45264.9375</v>
      </c>
      <c r="J195" s="1" t="s">
        <v>16</v>
      </c>
      <c r="K195" s="2">
        <v>45257.000694444447</v>
      </c>
      <c r="L195" s="2">
        <v>45262.229861111111</v>
      </c>
      <c r="M195" s="2">
        <v>45258.000694444447</v>
      </c>
      <c r="N195" s="2">
        <v>45261.229861111111</v>
      </c>
      <c r="O195" s="2">
        <v>45255.500694444447</v>
      </c>
      <c r="P195" s="2">
        <v>45261.500694444447</v>
      </c>
    </row>
    <row r="196" spans="1:16" x14ac:dyDescent="0.3">
      <c r="A196" s="2">
        <v>45253.561111111114</v>
      </c>
      <c r="B196" s="1" t="s">
        <v>68</v>
      </c>
      <c r="C196" s="1" t="s">
        <v>216</v>
      </c>
      <c r="D196" s="1" t="s">
        <v>164</v>
      </c>
      <c r="E196" s="1" t="s">
        <v>44</v>
      </c>
      <c r="F196" s="1" t="s">
        <v>30</v>
      </c>
      <c r="G196" s="2">
        <v>45264.208333333336</v>
      </c>
      <c r="H196" s="2">
        <v>45264.25</v>
      </c>
      <c r="I196" s="2">
        <v>45264.875</v>
      </c>
      <c r="J196" s="1" t="s">
        <v>13</v>
      </c>
      <c r="K196" s="2">
        <v>45257.208333333336</v>
      </c>
      <c r="L196" s="2">
        <v>45262.25</v>
      </c>
      <c r="M196" s="2">
        <v>45258.000694444447</v>
      </c>
      <c r="N196" s="2">
        <v>45261.25</v>
      </c>
      <c r="O196" s="2">
        <v>45255.708333333336</v>
      </c>
      <c r="P196" s="2">
        <v>45261.708333333336</v>
      </c>
    </row>
    <row r="197" spans="1:16" x14ac:dyDescent="0.3">
      <c r="A197" s="2">
        <v>45253.561111111114</v>
      </c>
      <c r="B197" s="1" t="s">
        <v>165</v>
      </c>
      <c r="C197" s="1" t="s">
        <v>166</v>
      </c>
      <c r="D197" s="1" t="s">
        <v>167</v>
      </c>
      <c r="E197" s="1" t="s">
        <v>18</v>
      </c>
      <c r="F197" s="1" t="s">
        <v>19</v>
      </c>
      <c r="G197" s="2">
        <v>45265.916666666664</v>
      </c>
      <c r="H197" s="2">
        <v>45265.791666666664</v>
      </c>
      <c r="I197" s="2">
        <v>45266.833333333336</v>
      </c>
      <c r="J197" s="1" t="s">
        <v>132</v>
      </c>
      <c r="K197" s="2">
        <v>45258.916666666664</v>
      </c>
      <c r="L197" s="2">
        <v>45263.791666666664</v>
      </c>
      <c r="M197" s="2">
        <v>45259.000694444447</v>
      </c>
      <c r="N197" s="2">
        <v>45263.625</v>
      </c>
      <c r="O197" s="2">
        <v>45257.416666666664</v>
      </c>
      <c r="P197" s="2">
        <v>45263.416666666664</v>
      </c>
    </row>
    <row r="198" spans="1:16" x14ac:dyDescent="0.3">
      <c r="A198" s="2">
        <v>45253.561111111114</v>
      </c>
      <c r="B198" s="1" t="s">
        <v>135</v>
      </c>
      <c r="C198" s="1" t="s">
        <v>191</v>
      </c>
      <c r="D198" s="1" t="s">
        <v>192</v>
      </c>
      <c r="E198" s="1" t="s">
        <v>82</v>
      </c>
      <c r="F198" s="1" t="s">
        <v>14</v>
      </c>
      <c r="G198" s="2">
        <v>45267.958333333336</v>
      </c>
      <c r="H198" s="2">
        <v>45267.958333333336</v>
      </c>
      <c r="I198" s="2">
        <v>45268.833333333336</v>
      </c>
      <c r="J198" s="1" t="s">
        <v>81</v>
      </c>
      <c r="K198" s="2">
        <v>45260.958333333336</v>
      </c>
      <c r="L198" s="2">
        <v>45265.958333333336</v>
      </c>
      <c r="M198" s="2">
        <v>45261.000694444447</v>
      </c>
      <c r="N198" s="2">
        <v>45265.625</v>
      </c>
      <c r="O198" s="2">
        <v>45259.458333333336</v>
      </c>
      <c r="P198" s="2">
        <v>45265.458333333336</v>
      </c>
    </row>
    <row r="199" spans="1:16" x14ac:dyDescent="0.3">
      <c r="A199" s="2">
        <v>45253.561111111114</v>
      </c>
      <c r="B199" s="1" t="s">
        <v>228</v>
      </c>
      <c r="C199" s="1" t="s">
        <v>229</v>
      </c>
      <c r="D199" s="1" t="s">
        <v>230</v>
      </c>
      <c r="E199" s="1" t="s">
        <v>82</v>
      </c>
      <c r="F199" s="1" t="s">
        <v>14</v>
      </c>
      <c r="G199" s="2">
        <v>45275.958333333336</v>
      </c>
      <c r="H199" s="2">
        <v>45275.166666666664</v>
      </c>
      <c r="I199" s="2">
        <v>45276.041666666664</v>
      </c>
      <c r="J199" s="1" t="s">
        <v>81</v>
      </c>
      <c r="K199" s="2">
        <v>45268.958333333336</v>
      </c>
      <c r="L199" s="2">
        <v>45273.166666666664</v>
      </c>
      <c r="M199" s="2">
        <v>45269.000694444447</v>
      </c>
      <c r="N199" s="2">
        <v>45272.166666666664</v>
      </c>
      <c r="O199" s="2">
        <v>45267.458333333336</v>
      </c>
      <c r="P199" s="2">
        <v>45273.458333333336</v>
      </c>
    </row>
    <row r="200" spans="1:16" x14ac:dyDescent="0.3">
      <c r="A200" s="2">
        <v>45253.561111111114</v>
      </c>
      <c r="B200" s="1" t="s">
        <v>246</v>
      </c>
      <c r="C200" s="1" t="s">
        <v>247</v>
      </c>
      <c r="D200" s="1" t="s">
        <v>248</v>
      </c>
      <c r="E200" s="1" t="s">
        <v>82</v>
      </c>
      <c r="F200" s="1" t="s">
        <v>14</v>
      </c>
      <c r="G200" s="2">
        <v>45281.958333333336</v>
      </c>
      <c r="H200" s="2">
        <v>45281.958333333336</v>
      </c>
      <c r="I200" s="2">
        <v>45282.833333333336</v>
      </c>
      <c r="J200" s="1" t="s">
        <v>81</v>
      </c>
      <c r="K200" s="2">
        <v>45274.958333333336</v>
      </c>
      <c r="L200" s="2">
        <v>45279.958333333336</v>
      </c>
      <c r="M200" s="2">
        <v>45275.000694444447</v>
      </c>
      <c r="N200" s="2">
        <v>45278.958333333336</v>
      </c>
      <c r="O200" s="2">
        <v>45273.458333333336</v>
      </c>
      <c r="P200" s="2">
        <v>45279.458333333336</v>
      </c>
    </row>
    <row r="201" spans="1:16" x14ac:dyDescent="0.3">
      <c r="A201" s="2">
        <v>45253.37777777778</v>
      </c>
      <c r="B201" s="1" t="s">
        <v>198</v>
      </c>
      <c r="C201" s="1" t="s">
        <v>199</v>
      </c>
      <c r="D201" s="1" t="s">
        <v>200</v>
      </c>
      <c r="E201" s="1" t="s">
        <v>42</v>
      </c>
      <c r="F201" s="1" t="s">
        <v>14</v>
      </c>
      <c r="G201" s="2">
        <v>45270.291666666664</v>
      </c>
      <c r="H201" s="2">
        <v>45270.291666666664</v>
      </c>
      <c r="I201" s="2">
        <v>45270.958333333336</v>
      </c>
      <c r="J201" s="1" t="s">
        <v>17</v>
      </c>
      <c r="K201" s="2">
        <v>45263.291666666664</v>
      </c>
      <c r="L201" s="2">
        <v>45268.291666666664</v>
      </c>
      <c r="M201" s="2">
        <v>45264.000694444447</v>
      </c>
      <c r="N201" s="2">
        <v>45268.625</v>
      </c>
      <c r="O201" s="2">
        <v>45261.791666666664</v>
      </c>
      <c r="P201" s="2">
        <v>45267.791666666664</v>
      </c>
    </row>
    <row r="202" spans="1:16" x14ac:dyDescent="0.3">
      <c r="A202" s="2">
        <v>45252.375</v>
      </c>
      <c r="B202" s="1" t="s">
        <v>198</v>
      </c>
      <c r="C202" s="1" t="s">
        <v>199</v>
      </c>
      <c r="D202" s="1" t="s">
        <v>200</v>
      </c>
      <c r="E202" s="1" t="s">
        <v>42</v>
      </c>
      <c r="F202" s="1" t="s">
        <v>14</v>
      </c>
      <c r="G202" s="2">
        <v>45270.291666666664</v>
      </c>
      <c r="H202" s="2">
        <v>45270.291666666664</v>
      </c>
      <c r="I202" s="2">
        <v>45270.958333333336</v>
      </c>
      <c r="J202" s="1" t="s">
        <v>17</v>
      </c>
      <c r="K202" s="2">
        <v>45263.291666666664</v>
      </c>
      <c r="L202" s="2">
        <v>45268.291666666664</v>
      </c>
      <c r="M202" s="2">
        <v>45264.000694444447</v>
      </c>
      <c r="N202" s="2">
        <v>45299.625</v>
      </c>
      <c r="O202" s="2">
        <v>45261.791666666664</v>
      </c>
      <c r="P202" s="2">
        <v>45267.791666666664</v>
      </c>
    </row>
    <row r="203" spans="1:16" x14ac:dyDescent="0.3">
      <c r="A203" s="2">
        <v>45252.375</v>
      </c>
      <c r="B203" s="1" t="s">
        <v>182</v>
      </c>
      <c r="C203" s="1" t="s">
        <v>183</v>
      </c>
      <c r="D203" s="1" t="s">
        <v>184</v>
      </c>
      <c r="E203" s="1" t="s">
        <v>84</v>
      </c>
      <c r="F203" s="1" t="s">
        <v>14</v>
      </c>
      <c r="G203" s="2">
        <v>45272</v>
      </c>
      <c r="H203" s="2">
        <v>45271.958333333336</v>
      </c>
      <c r="I203" s="2">
        <v>45272.666666666664</v>
      </c>
      <c r="J203" s="1" t="s">
        <v>16</v>
      </c>
      <c r="K203" s="2">
        <v>45265</v>
      </c>
      <c r="L203" s="2">
        <v>45269.958333333336</v>
      </c>
      <c r="M203" s="2">
        <v>45266.000694444447</v>
      </c>
      <c r="N203" s="2">
        <v>45271.416666666664</v>
      </c>
      <c r="O203" s="2">
        <v>45263.5</v>
      </c>
      <c r="P203" s="2">
        <v>45269.5</v>
      </c>
    </row>
    <row r="204" spans="1:16" x14ac:dyDescent="0.3">
      <c r="A204" s="2">
        <v>45252.375</v>
      </c>
      <c r="B204" s="1" t="s">
        <v>213</v>
      </c>
      <c r="C204" s="1" t="s">
        <v>214</v>
      </c>
      <c r="D204" s="1" t="s">
        <v>215</v>
      </c>
      <c r="E204" s="1" t="s">
        <v>18</v>
      </c>
      <c r="F204" s="1" t="s">
        <v>19</v>
      </c>
      <c r="G204" s="2">
        <v>45273.916666666664</v>
      </c>
      <c r="H204" s="2">
        <v>45273.125</v>
      </c>
      <c r="I204" s="2">
        <v>45273.916666666664</v>
      </c>
      <c r="J204" s="1" t="s">
        <v>132</v>
      </c>
      <c r="K204" s="2">
        <v>45266.916666666664</v>
      </c>
      <c r="L204" s="2">
        <v>45271.125</v>
      </c>
      <c r="M204" s="2">
        <v>45267.000694444447</v>
      </c>
      <c r="N204" s="2">
        <v>45270.625</v>
      </c>
      <c r="O204" s="2">
        <v>45265.416666666664</v>
      </c>
      <c r="P204" s="2">
        <v>45271.416666666664</v>
      </c>
    </row>
    <row r="205" spans="1:16" x14ac:dyDescent="0.3">
      <c r="A205" s="2">
        <v>45252.375</v>
      </c>
      <c r="B205" s="1" t="s">
        <v>138</v>
      </c>
      <c r="C205" s="1" t="s">
        <v>208</v>
      </c>
      <c r="D205" s="1" t="s">
        <v>209</v>
      </c>
      <c r="E205" s="1" t="s">
        <v>84</v>
      </c>
      <c r="F205" s="1" t="s">
        <v>14</v>
      </c>
      <c r="G205" s="2">
        <v>45274.000694444447</v>
      </c>
      <c r="H205" s="2">
        <v>45274.000694444447</v>
      </c>
      <c r="I205" s="2">
        <v>45274.666666666664</v>
      </c>
      <c r="J205" s="1" t="s">
        <v>16</v>
      </c>
      <c r="K205" s="2">
        <v>45267.000694444447</v>
      </c>
      <c r="L205" s="2">
        <v>45272.000694444447</v>
      </c>
      <c r="M205" s="2">
        <v>45268.000694444447</v>
      </c>
      <c r="N205" s="2">
        <v>45272.416666666664</v>
      </c>
      <c r="O205" s="2">
        <v>45265.500694444447</v>
      </c>
      <c r="P205" s="2">
        <v>45271.500694444447</v>
      </c>
    </row>
    <row r="206" spans="1:16" x14ac:dyDescent="0.3">
      <c r="A206" s="2">
        <v>45252.375</v>
      </c>
      <c r="B206" s="1" t="s">
        <v>228</v>
      </c>
      <c r="C206" s="1" t="s">
        <v>229</v>
      </c>
      <c r="D206" s="1" t="s">
        <v>230</v>
      </c>
      <c r="E206" s="1" t="s">
        <v>82</v>
      </c>
      <c r="F206" s="1" t="s">
        <v>14</v>
      </c>
      <c r="G206" s="2">
        <v>45274.958333333336</v>
      </c>
      <c r="H206" s="2">
        <v>45274.958333333336</v>
      </c>
      <c r="I206" s="2">
        <v>45275.833333333336</v>
      </c>
      <c r="J206" s="1" t="s">
        <v>81</v>
      </c>
      <c r="K206" s="2">
        <v>45267.958333333336</v>
      </c>
      <c r="L206" s="2">
        <v>45272.958333333336</v>
      </c>
      <c r="M206" s="2">
        <v>45268.000694444447</v>
      </c>
      <c r="N206" s="2">
        <v>45273.5</v>
      </c>
      <c r="O206" s="2">
        <v>45266.458333333336</v>
      </c>
      <c r="P206" s="2">
        <v>45272.458333333336</v>
      </c>
    </row>
    <row r="207" spans="1:16" x14ac:dyDescent="0.3">
      <c r="A207" s="2">
        <v>45252.375</v>
      </c>
      <c r="B207" s="1" t="s">
        <v>231</v>
      </c>
      <c r="C207" s="1" t="s">
        <v>232</v>
      </c>
      <c r="D207" s="1" t="s">
        <v>232</v>
      </c>
      <c r="E207" s="1" t="s">
        <v>127</v>
      </c>
      <c r="F207" s="1" t="s">
        <v>128</v>
      </c>
      <c r="G207" s="2">
        <v>45275.833333333336</v>
      </c>
      <c r="H207" s="2">
        <v>45275.770833333336</v>
      </c>
      <c r="I207" s="2">
        <v>45276.5</v>
      </c>
      <c r="J207" s="1" t="s">
        <v>233</v>
      </c>
      <c r="K207" s="2">
        <v>45268.833333333336</v>
      </c>
      <c r="L207" s="2">
        <v>45273.770833333336</v>
      </c>
      <c r="M207" s="2">
        <v>45269.000694444447</v>
      </c>
      <c r="N207" s="2">
        <v>45272.770833333336</v>
      </c>
      <c r="O207" s="2">
        <v>45267.333333333336</v>
      </c>
      <c r="P207" s="2">
        <v>45273.333333333336</v>
      </c>
    </row>
    <row r="208" spans="1:16" x14ac:dyDescent="0.3">
      <c r="A208" s="2">
        <v>45251.366666666669</v>
      </c>
      <c r="B208" s="1" t="s">
        <v>64</v>
      </c>
      <c r="C208" s="1" t="s">
        <v>146</v>
      </c>
      <c r="D208" s="1" t="s">
        <v>140</v>
      </c>
      <c r="E208" s="1" t="s">
        <v>43</v>
      </c>
      <c r="F208" s="1" t="s">
        <v>21</v>
      </c>
      <c r="G208" s="2">
        <v>45262.583333333336</v>
      </c>
      <c r="H208" s="2">
        <v>45262.583333333336</v>
      </c>
      <c r="I208" s="2">
        <v>45263.25</v>
      </c>
      <c r="J208" s="1" t="s">
        <v>23</v>
      </c>
      <c r="K208" s="2">
        <v>45255.583333333336</v>
      </c>
      <c r="L208" s="2">
        <v>45260.583333333336</v>
      </c>
      <c r="M208" s="2">
        <v>45256.000694444447</v>
      </c>
      <c r="N208" s="2">
        <v>45260.625</v>
      </c>
      <c r="O208" s="2">
        <v>45254.083333333336</v>
      </c>
      <c r="P208" s="2">
        <v>45260.083333333336</v>
      </c>
    </row>
    <row r="209" spans="1:16" x14ac:dyDescent="0.3">
      <c r="A209" s="2">
        <v>45251.366666666669</v>
      </c>
      <c r="B209" s="1" t="s">
        <v>65</v>
      </c>
      <c r="C209" s="1" t="s">
        <v>197</v>
      </c>
      <c r="D209" s="1" t="s">
        <v>149</v>
      </c>
      <c r="E209" s="1" t="s">
        <v>43</v>
      </c>
      <c r="F209" s="1" t="s">
        <v>21</v>
      </c>
      <c r="G209" s="2">
        <v>45269.583333333336</v>
      </c>
      <c r="H209" s="2">
        <v>45269.583333333336</v>
      </c>
      <c r="I209" s="2">
        <v>45270.25</v>
      </c>
      <c r="J209" s="1" t="s">
        <v>23</v>
      </c>
      <c r="K209" s="2">
        <v>45262.583333333336</v>
      </c>
      <c r="L209" s="2">
        <v>45267.583333333336</v>
      </c>
      <c r="M209" s="2">
        <v>45263.000694444447</v>
      </c>
      <c r="N209" s="2">
        <v>45266.583333333336</v>
      </c>
      <c r="O209" s="2">
        <v>45261.083333333336</v>
      </c>
      <c r="P209" s="2">
        <v>45267.083333333336</v>
      </c>
    </row>
    <row r="210" spans="1:16" x14ac:dyDescent="0.3">
      <c r="A210" s="2">
        <v>45251.366666666669</v>
      </c>
      <c r="B210" s="1" t="s">
        <v>66</v>
      </c>
      <c r="C210" s="1" t="s">
        <v>197</v>
      </c>
      <c r="D210" s="1" t="s">
        <v>149</v>
      </c>
      <c r="E210" s="1" t="s">
        <v>43</v>
      </c>
      <c r="F210" s="1" t="s">
        <v>14</v>
      </c>
      <c r="G210" s="2">
        <v>45276.583333333336</v>
      </c>
      <c r="H210" s="2">
        <v>45276.583333333336</v>
      </c>
      <c r="I210" s="2">
        <v>45277.25</v>
      </c>
      <c r="J210" s="1" t="s">
        <v>13</v>
      </c>
      <c r="K210" s="2">
        <v>45269.583333333336</v>
      </c>
      <c r="L210" s="2">
        <v>45274.583333333336</v>
      </c>
      <c r="M210" s="2">
        <v>45270.000694444447</v>
      </c>
      <c r="N210" s="2">
        <v>45273.583333333336</v>
      </c>
      <c r="O210" s="2">
        <v>45268.083333333336</v>
      </c>
      <c r="P210" s="2">
        <v>45274.083333333336</v>
      </c>
    </row>
    <row r="211" spans="1:16" x14ac:dyDescent="0.3">
      <c r="A211" s="2">
        <v>45250.634027777778</v>
      </c>
      <c r="B211" s="1" t="s">
        <v>137</v>
      </c>
      <c r="C211" s="1" t="s">
        <v>162</v>
      </c>
      <c r="D211" s="1" t="s">
        <v>163</v>
      </c>
      <c r="E211" s="1" t="s">
        <v>45</v>
      </c>
      <c r="F211" s="1" t="s">
        <v>14</v>
      </c>
      <c r="G211" s="2">
        <v>45264.000694444447</v>
      </c>
      <c r="H211" s="2">
        <v>45264.000694444447</v>
      </c>
      <c r="I211" s="2">
        <v>45264.708333333336</v>
      </c>
      <c r="J211" s="1" t="s">
        <v>16</v>
      </c>
      <c r="K211" s="2">
        <v>45257.000694444447</v>
      </c>
      <c r="L211" s="2">
        <v>45262.000694444447</v>
      </c>
      <c r="M211" s="2">
        <v>45258.000694444447</v>
      </c>
      <c r="N211" s="2">
        <v>45261.000694444447</v>
      </c>
      <c r="O211" s="2">
        <v>45255.500694444447</v>
      </c>
      <c r="P211" s="2">
        <v>45261.500694444447</v>
      </c>
    </row>
    <row r="212" spans="1:16" x14ac:dyDescent="0.3">
      <c r="A212" s="2">
        <v>45250.634027777778</v>
      </c>
      <c r="B212" s="1" t="s">
        <v>68</v>
      </c>
      <c r="C212" s="1" t="s">
        <v>216</v>
      </c>
      <c r="D212" s="1" t="s">
        <v>164</v>
      </c>
      <c r="E212" s="1" t="s">
        <v>44</v>
      </c>
      <c r="F212" s="1" t="s">
        <v>30</v>
      </c>
      <c r="G212" s="2">
        <v>45264.208333333336</v>
      </c>
      <c r="H212" s="2">
        <v>45264.229166666664</v>
      </c>
      <c r="I212" s="2">
        <v>45264.854166666664</v>
      </c>
      <c r="J212" s="1" t="s">
        <v>13</v>
      </c>
      <c r="K212" s="2">
        <v>45257.208333333336</v>
      </c>
      <c r="L212" s="2">
        <v>45262.229166666664</v>
      </c>
      <c r="M212" s="2">
        <v>45258.000694444447</v>
      </c>
      <c r="N212" s="2">
        <v>45261.229166666664</v>
      </c>
      <c r="O212" s="2">
        <v>45255.708333333336</v>
      </c>
      <c r="P212" s="2">
        <v>45261.708333333336</v>
      </c>
    </row>
    <row r="213" spans="1:16" x14ac:dyDescent="0.3">
      <c r="A213" s="2">
        <v>45250.634027777778</v>
      </c>
      <c r="B213" s="1" t="s">
        <v>203</v>
      </c>
      <c r="C213" s="1" t="s">
        <v>204</v>
      </c>
      <c r="D213" s="1" t="s">
        <v>205</v>
      </c>
      <c r="E213" s="1" t="s">
        <v>142</v>
      </c>
      <c r="F213" s="1" t="s">
        <v>14</v>
      </c>
      <c r="G213" s="2">
        <v>45266.291666666664</v>
      </c>
      <c r="H213" s="2">
        <v>45264.75</v>
      </c>
      <c r="I213" s="2">
        <v>45265.75</v>
      </c>
      <c r="J213" s="1" t="s">
        <v>17</v>
      </c>
      <c r="K213" s="2">
        <v>45259.291666666664</v>
      </c>
      <c r="L213" s="2">
        <v>45262.75</v>
      </c>
      <c r="M213" s="2">
        <v>45260.000694444447</v>
      </c>
      <c r="N213" s="2">
        <v>45261.75</v>
      </c>
      <c r="O213" s="2">
        <v>45257.791666666664</v>
      </c>
      <c r="P213" s="2">
        <v>45263.791666666664</v>
      </c>
    </row>
    <row r="214" spans="1:16" x14ac:dyDescent="0.3">
      <c r="A214" s="2">
        <v>45250.634027777778</v>
      </c>
      <c r="B214" s="1" t="s">
        <v>182</v>
      </c>
      <c r="C214" s="1" t="s">
        <v>183</v>
      </c>
      <c r="D214" s="1" t="s">
        <v>184</v>
      </c>
      <c r="E214" s="1" t="s">
        <v>84</v>
      </c>
      <c r="F214" s="1" t="s">
        <v>14</v>
      </c>
      <c r="G214" s="2">
        <v>45268.5</v>
      </c>
      <c r="H214" s="2">
        <v>45268.354166666664</v>
      </c>
      <c r="I214" s="2">
        <v>45269.041666666664</v>
      </c>
      <c r="J214" s="1" t="s">
        <v>16</v>
      </c>
      <c r="K214" s="2">
        <v>45261.5</v>
      </c>
      <c r="L214" s="2">
        <v>45266.354166666664</v>
      </c>
      <c r="M214" s="2">
        <v>45262.000694444447</v>
      </c>
      <c r="N214" s="2">
        <v>45266.416666666664</v>
      </c>
      <c r="O214" s="2">
        <v>45260</v>
      </c>
      <c r="P214" s="2">
        <v>45266</v>
      </c>
    </row>
    <row r="215" spans="1:16" x14ac:dyDescent="0.3">
      <c r="A215" s="2">
        <v>45250.634027777778</v>
      </c>
      <c r="B215" s="1" t="s">
        <v>139</v>
      </c>
      <c r="C215" s="1" t="s">
        <v>206</v>
      </c>
      <c r="D215" s="1" t="s">
        <v>207</v>
      </c>
      <c r="E215" s="1" t="s">
        <v>83</v>
      </c>
      <c r="F215" s="1" t="s">
        <v>13</v>
      </c>
      <c r="G215" s="2">
        <v>45270.75</v>
      </c>
      <c r="H215" s="2">
        <v>45270.25</v>
      </c>
      <c r="I215" s="2">
        <v>45271.583333333336</v>
      </c>
      <c r="J215" s="1" t="s">
        <v>14</v>
      </c>
      <c r="K215" s="2">
        <v>45263.75</v>
      </c>
      <c r="L215" s="2">
        <v>45268.25</v>
      </c>
      <c r="M215" s="2">
        <v>45264.000694444447</v>
      </c>
      <c r="N215" s="2">
        <v>45267.625</v>
      </c>
      <c r="O215" s="2">
        <v>45261.25</v>
      </c>
      <c r="P215" s="2">
        <v>45267.25</v>
      </c>
    </row>
    <row r="216" spans="1:16" x14ac:dyDescent="0.3">
      <c r="A216" s="2">
        <v>45250.634027777778</v>
      </c>
      <c r="B216" s="1" t="s">
        <v>152</v>
      </c>
      <c r="C216" s="1" t="s">
        <v>216</v>
      </c>
      <c r="D216" s="1" t="s">
        <v>164</v>
      </c>
      <c r="E216" s="1" t="s">
        <v>44</v>
      </c>
      <c r="F216" s="1" t="s">
        <v>30</v>
      </c>
      <c r="G216" s="2">
        <v>45271.208333333336</v>
      </c>
      <c r="H216" s="2">
        <v>45271.75</v>
      </c>
      <c r="I216" s="2">
        <v>45272.375</v>
      </c>
      <c r="J216" s="1" t="s">
        <v>13</v>
      </c>
      <c r="K216" s="2">
        <v>45264.208333333336</v>
      </c>
      <c r="L216" s="2">
        <v>45269.75</v>
      </c>
      <c r="M216" s="2">
        <v>45265.000694444447</v>
      </c>
      <c r="N216" s="2">
        <v>45268.75</v>
      </c>
      <c r="O216" s="2">
        <v>45262.708333333336</v>
      </c>
      <c r="P216" s="2">
        <v>45268.708333333336</v>
      </c>
    </row>
    <row r="217" spans="1:16" x14ac:dyDescent="0.3">
      <c r="A217" s="2">
        <v>45250.634027777778</v>
      </c>
      <c r="B217" s="1" t="s">
        <v>138</v>
      </c>
      <c r="C217" s="1" t="s">
        <v>208</v>
      </c>
      <c r="D217" s="1" t="s">
        <v>209</v>
      </c>
      <c r="E217" s="1" t="s">
        <v>84</v>
      </c>
      <c r="F217" s="1" t="s">
        <v>14</v>
      </c>
      <c r="G217" s="2">
        <v>45272.000694444447</v>
      </c>
      <c r="H217" s="2">
        <v>45272.417361111111</v>
      </c>
      <c r="I217" s="2">
        <v>45273.083333333336</v>
      </c>
      <c r="J217" s="1" t="s">
        <v>16</v>
      </c>
      <c r="K217" s="2">
        <v>45265.000694444447</v>
      </c>
      <c r="L217" s="2">
        <v>45270.417361111111</v>
      </c>
      <c r="M217" s="2">
        <v>45266.000694444447</v>
      </c>
      <c r="N217" s="2">
        <v>45268.416666666664</v>
      </c>
      <c r="O217" s="2">
        <v>45263.500694444447</v>
      </c>
      <c r="P217" s="2">
        <v>45269.500694444447</v>
      </c>
    </row>
    <row r="218" spans="1:16" x14ac:dyDescent="0.3">
      <c r="A218" s="2">
        <v>45250.36041666667</v>
      </c>
      <c r="B218" s="1" t="s">
        <v>139</v>
      </c>
      <c r="C218" s="1" t="s">
        <v>206</v>
      </c>
      <c r="D218" s="1" t="s">
        <v>207</v>
      </c>
      <c r="E218" s="1" t="s">
        <v>83</v>
      </c>
      <c r="F218" s="1" t="s">
        <v>13</v>
      </c>
      <c r="G218" s="2">
        <v>45269.75</v>
      </c>
      <c r="H218" s="2">
        <v>45270.25</v>
      </c>
      <c r="I218" s="2">
        <v>45271.583333333336</v>
      </c>
      <c r="J218" s="1" t="s">
        <v>14</v>
      </c>
      <c r="K218" s="2">
        <v>45262.75</v>
      </c>
      <c r="L218" s="2">
        <v>45268.25</v>
      </c>
      <c r="M218" s="2">
        <v>45263.000694444447</v>
      </c>
      <c r="N218" s="2">
        <v>45267.625</v>
      </c>
      <c r="O218" s="2">
        <v>45260.25</v>
      </c>
      <c r="P218" s="2">
        <v>45266.25</v>
      </c>
    </row>
    <row r="219" spans="1:16" x14ac:dyDescent="0.3">
      <c r="A219" s="2">
        <v>45250.36041666667</v>
      </c>
      <c r="B219" s="1" t="s">
        <v>220</v>
      </c>
      <c r="C219" s="1" t="s">
        <v>221</v>
      </c>
      <c r="D219" s="1" t="s">
        <v>222</v>
      </c>
      <c r="E219" s="1" t="s">
        <v>42</v>
      </c>
      <c r="F219" s="1" t="s">
        <v>14</v>
      </c>
      <c r="G219" s="2">
        <v>45277.291666666664</v>
      </c>
      <c r="H219" s="2">
        <v>45277.291666666664</v>
      </c>
      <c r="I219" s="2">
        <v>45277.958333333336</v>
      </c>
      <c r="J219" s="1" t="s">
        <v>17</v>
      </c>
      <c r="K219" s="2">
        <v>45270.291666666664</v>
      </c>
      <c r="L219" s="2">
        <v>45275.291666666664</v>
      </c>
      <c r="M219" s="2">
        <v>45271.000694444447</v>
      </c>
      <c r="N219" s="2">
        <v>45306.625</v>
      </c>
      <c r="O219" s="2">
        <v>45268.791666666664</v>
      </c>
      <c r="P219" s="2">
        <v>45274.791666666664</v>
      </c>
    </row>
    <row r="220" spans="1:16" x14ac:dyDescent="0.3">
      <c r="A220" s="2">
        <v>45244.369444444441</v>
      </c>
      <c r="B220" s="1" t="s">
        <v>64</v>
      </c>
      <c r="C220" s="1" t="s">
        <v>146</v>
      </c>
      <c r="D220" s="1" t="s">
        <v>140</v>
      </c>
      <c r="E220" s="1" t="s">
        <v>43</v>
      </c>
      <c r="F220" s="1" t="s">
        <v>21</v>
      </c>
      <c r="G220" s="2">
        <v>45262.583333333336</v>
      </c>
      <c r="H220" s="2">
        <v>45262.635416666664</v>
      </c>
      <c r="I220" s="2">
        <v>45263.302083333336</v>
      </c>
      <c r="J220" s="1" t="s">
        <v>23</v>
      </c>
      <c r="K220" s="2">
        <v>45255.583333333336</v>
      </c>
      <c r="L220" s="2">
        <v>45260.635416666664</v>
      </c>
      <c r="M220" s="2">
        <v>45256.000694444447</v>
      </c>
      <c r="N220" s="2">
        <v>45260.625</v>
      </c>
      <c r="O220" s="2">
        <v>45254.083333333336</v>
      </c>
      <c r="P220" s="2">
        <v>45260.083333333336</v>
      </c>
    </row>
    <row r="221" spans="1:16" x14ac:dyDescent="0.3">
      <c r="A221" s="2">
        <v>45244.369444444441</v>
      </c>
      <c r="B221" s="1" t="s">
        <v>179</v>
      </c>
      <c r="C221" s="1" t="s">
        <v>180</v>
      </c>
      <c r="D221" s="1" t="s">
        <v>181</v>
      </c>
      <c r="E221" s="1" t="s">
        <v>83</v>
      </c>
      <c r="F221" s="1" t="s">
        <v>13</v>
      </c>
      <c r="G221" s="2">
        <v>45262.75</v>
      </c>
      <c r="H221" s="2">
        <v>45262.75</v>
      </c>
      <c r="I221" s="2">
        <v>45264.375</v>
      </c>
      <c r="J221" s="1" t="s">
        <v>14</v>
      </c>
      <c r="K221" s="2">
        <v>45255.75</v>
      </c>
      <c r="L221" s="2">
        <v>45260.75</v>
      </c>
      <c r="M221" s="2">
        <v>45256.000694444447</v>
      </c>
      <c r="N221" s="2">
        <v>45260.625</v>
      </c>
      <c r="O221" s="2">
        <v>45253.25</v>
      </c>
      <c r="P221" s="2">
        <v>45259.25</v>
      </c>
    </row>
    <row r="222" spans="1:16" x14ac:dyDescent="0.3">
      <c r="A222" s="2">
        <v>45244.369444444441</v>
      </c>
      <c r="B222" s="1" t="s">
        <v>136</v>
      </c>
      <c r="C222" s="1" t="s">
        <v>160</v>
      </c>
      <c r="D222" s="1" t="s">
        <v>161</v>
      </c>
      <c r="E222" s="1" t="s">
        <v>42</v>
      </c>
      <c r="F222" s="1" t="s">
        <v>14</v>
      </c>
      <c r="G222" s="2">
        <v>45263.291666666664</v>
      </c>
      <c r="H222" s="2">
        <v>45263.291666666664</v>
      </c>
      <c r="I222" s="2">
        <v>45263.958333333336</v>
      </c>
      <c r="J222" s="1" t="s">
        <v>17</v>
      </c>
      <c r="K222" s="2">
        <v>45256.291666666664</v>
      </c>
      <c r="L222" s="2">
        <v>45261.291666666664</v>
      </c>
      <c r="M222" s="2">
        <v>45257.000694444447</v>
      </c>
      <c r="N222" s="2">
        <v>45261.625</v>
      </c>
      <c r="O222" s="2">
        <v>45254.791666666664</v>
      </c>
      <c r="P222" s="2">
        <v>45260.791666666664</v>
      </c>
    </row>
    <row r="223" spans="1:16" x14ac:dyDescent="0.3">
      <c r="A223" s="2">
        <v>45244.369444444441</v>
      </c>
      <c r="B223" s="1" t="s">
        <v>68</v>
      </c>
      <c r="C223" s="1" t="s">
        <v>164</v>
      </c>
      <c r="D223" s="1" t="s">
        <v>164</v>
      </c>
      <c r="E223" s="1" t="s">
        <v>44</v>
      </c>
      <c r="F223" s="1" t="s">
        <v>30</v>
      </c>
      <c r="G223" s="2">
        <v>45264.208333333336</v>
      </c>
      <c r="H223" s="2">
        <v>45264.4375</v>
      </c>
      <c r="I223" s="2">
        <v>45265.0625</v>
      </c>
      <c r="J223" s="1" t="s">
        <v>13</v>
      </c>
      <c r="K223" s="2">
        <v>45257.208333333336</v>
      </c>
      <c r="L223" s="2">
        <v>45262.4375</v>
      </c>
      <c r="M223" s="2">
        <v>45258.000694444447</v>
      </c>
      <c r="N223" s="2">
        <v>45261.4375</v>
      </c>
      <c r="O223" s="2">
        <v>45255.708333333336</v>
      </c>
      <c r="P223" s="2">
        <v>45261.708333333336</v>
      </c>
    </row>
    <row r="224" spans="1:16" x14ac:dyDescent="0.3">
      <c r="A224" s="2">
        <v>45244.369444444441</v>
      </c>
      <c r="B224" s="1" t="s">
        <v>185</v>
      </c>
      <c r="C224" s="1" t="s">
        <v>186</v>
      </c>
      <c r="D224" s="1" t="s">
        <v>186</v>
      </c>
      <c r="E224" s="1" t="s">
        <v>133</v>
      </c>
      <c r="F224" s="1" t="s">
        <v>134</v>
      </c>
      <c r="G224" s="2">
        <v>45265.25</v>
      </c>
      <c r="H224" s="2">
        <v>45265.25</v>
      </c>
      <c r="I224" s="2">
        <v>45266.583333333336</v>
      </c>
      <c r="J224" s="1" t="s">
        <v>17</v>
      </c>
      <c r="K224" s="2">
        <v>45258.25</v>
      </c>
      <c r="L224" s="2">
        <v>45263.25</v>
      </c>
      <c r="M224" s="2">
        <v>45259.000694444447</v>
      </c>
      <c r="N224" s="2">
        <v>45262.25</v>
      </c>
      <c r="O224" s="2">
        <v>45256.75</v>
      </c>
      <c r="P224" s="2">
        <v>45262.75</v>
      </c>
    </row>
    <row r="225" spans="1:16" x14ac:dyDescent="0.3">
      <c r="A225" s="2">
        <v>45244.369444444441</v>
      </c>
      <c r="B225" s="1" t="s">
        <v>165</v>
      </c>
      <c r="C225" s="1" t="s">
        <v>166</v>
      </c>
      <c r="D225" s="1" t="s">
        <v>167</v>
      </c>
      <c r="E225" s="1" t="s">
        <v>18</v>
      </c>
      <c r="F225" s="1" t="s">
        <v>19</v>
      </c>
      <c r="G225" s="2">
        <v>45265.916666666664</v>
      </c>
      <c r="H225" s="2">
        <v>45265.916666666664</v>
      </c>
      <c r="I225" s="2">
        <v>45266.958333333336</v>
      </c>
      <c r="J225" s="1" t="s">
        <v>132</v>
      </c>
      <c r="K225" s="2">
        <v>45258.916666666664</v>
      </c>
      <c r="L225" s="2">
        <v>45263.916666666664</v>
      </c>
      <c r="M225" s="2">
        <v>45259.000694444447</v>
      </c>
      <c r="N225" s="2">
        <v>45263.625</v>
      </c>
      <c r="O225" s="2">
        <v>45257.416666666664</v>
      </c>
      <c r="P225" s="2">
        <v>45263.416666666664</v>
      </c>
    </row>
    <row r="226" spans="1:16" x14ac:dyDescent="0.3">
      <c r="A226" s="2">
        <v>45244.369444444441</v>
      </c>
      <c r="B226" s="1" t="s">
        <v>203</v>
      </c>
      <c r="C226" s="1" t="s">
        <v>204</v>
      </c>
      <c r="D226" s="1" t="s">
        <v>205</v>
      </c>
      <c r="E226" s="1" t="s">
        <v>142</v>
      </c>
      <c r="F226" s="1" t="s">
        <v>14</v>
      </c>
      <c r="G226" s="2">
        <v>45266.291666666664</v>
      </c>
      <c r="H226" s="2">
        <v>45266.291666666664</v>
      </c>
      <c r="I226" s="2">
        <v>45267.291666666664</v>
      </c>
      <c r="J226" s="1" t="s">
        <v>17</v>
      </c>
      <c r="K226" s="2">
        <v>45259.291666666664</v>
      </c>
      <c r="L226" s="2">
        <v>45264.291666666664</v>
      </c>
      <c r="M226" s="2">
        <v>45260.000694444447</v>
      </c>
      <c r="N226" s="2">
        <v>45263.291666666664</v>
      </c>
      <c r="O226" s="2">
        <v>45257.791666666664</v>
      </c>
      <c r="P226" s="2">
        <v>45263.791666666664</v>
      </c>
    </row>
    <row r="227" spans="1:16" x14ac:dyDescent="0.3">
      <c r="A227" s="2">
        <v>45244.369444444441</v>
      </c>
      <c r="B227" s="1" t="s">
        <v>151</v>
      </c>
      <c r="C227" s="1" t="s">
        <v>171</v>
      </c>
      <c r="D227" s="1" t="s">
        <v>171</v>
      </c>
      <c r="E227" s="1" t="s">
        <v>85</v>
      </c>
      <c r="F227" s="1" t="s">
        <v>141</v>
      </c>
      <c r="G227" s="2">
        <v>45266.416666666664</v>
      </c>
      <c r="H227" s="2">
        <v>45266.416666666664</v>
      </c>
      <c r="I227" s="2">
        <v>45267.375</v>
      </c>
      <c r="J227" s="1" t="s">
        <v>86</v>
      </c>
      <c r="K227" s="2">
        <v>45259.416666666664</v>
      </c>
      <c r="L227" s="2">
        <v>45264.416666666664</v>
      </c>
      <c r="M227" s="2">
        <v>45260.000694444447</v>
      </c>
      <c r="N227" s="2">
        <v>45263.416666666664</v>
      </c>
      <c r="O227" s="2">
        <v>45257.916666666664</v>
      </c>
      <c r="P227" s="2">
        <v>45263.916666666664</v>
      </c>
    </row>
    <row r="228" spans="1:16" x14ac:dyDescent="0.3">
      <c r="A228" s="2">
        <v>45244.369444444441</v>
      </c>
      <c r="B228" s="1" t="s">
        <v>187</v>
      </c>
      <c r="C228" s="1" t="s">
        <v>148</v>
      </c>
      <c r="D228" s="1" t="s">
        <v>148</v>
      </c>
      <c r="E228" s="1" t="s">
        <v>46</v>
      </c>
      <c r="F228" s="1" t="s">
        <v>13</v>
      </c>
      <c r="G228" s="2">
        <v>45267.000694444447</v>
      </c>
      <c r="H228" s="2">
        <v>45267.000694444447</v>
      </c>
      <c r="I228" s="2">
        <v>45267.875</v>
      </c>
      <c r="J228" s="1" t="s">
        <v>28</v>
      </c>
      <c r="K228" s="2">
        <v>45260.000694444447</v>
      </c>
      <c r="L228" s="2">
        <v>45265.000694444447</v>
      </c>
      <c r="M228" s="2">
        <v>45261.000694444447</v>
      </c>
      <c r="N228" s="2">
        <v>45264.000694444447</v>
      </c>
      <c r="O228" s="2">
        <v>45258.500694444447</v>
      </c>
      <c r="P228" s="2">
        <v>45264.500694444447</v>
      </c>
    </row>
    <row r="229" spans="1:16" x14ac:dyDescent="0.3">
      <c r="A229" s="2">
        <v>45244.369444444441</v>
      </c>
      <c r="B229" s="1" t="s">
        <v>190</v>
      </c>
      <c r="C229" s="1" t="s">
        <v>180</v>
      </c>
      <c r="D229" s="1" t="s">
        <v>180</v>
      </c>
      <c r="E229" s="1" t="s">
        <v>79</v>
      </c>
      <c r="F229" s="1" t="s">
        <v>80</v>
      </c>
      <c r="G229" s="2">
        <v>45267.666666666664</v>
      </c>
      <c r="H229" s="2">
        <v>45267.666666666664</v>
      </c>
      <c r="I229" s="2">
        <v>45268.291666666664</v>
      </c>
      <c r="J229" s="1" t="s">
        <v>13</v>
      </c>
      <c r="K229" s="2">
        <v>45260.666666666664</v>
      </c>
      <c r="L229" s="2">
        <v>45265.666666666664</v>
      </c>
      <c r="M229" s="2">
        <v>45261.000694444447</v>
      </c>
      <c r="N229" s="2">
        <v>45264.666666666664</v>
      </c>
      <c r="O229" s="2">
        <v>45259.166666666664</v>
      </c>
      <c r="P229" s="2">
        <v>45265.166666666664</v>
      </c>
    </row>
    <row r="230" spans="1:16" x14ac:dyDescent="0.3">
      <c r="A230" s="2">
        <v>45244.369444444441</v>
      </c>
      <c r="B230" s="1" t="s">
        <v>135</v>
      </c>
      <c r="C230" s="1" t="s">
        <v>191</v>
      </c>
      <c r="D230" s="1" t="s">
        <v>192</v>
      </c>
      <c r="E230" s="1" t="s">
        <v>82</v>
      </c>
      <c r="F230" s="1" t="s">
        <v>14</v>
      </c>
      <c r="G230" s="2">
        <v>45267.958333333336</v>
      </c>
      <c r="H230" s="2">
        <v>45267.958333333336</v>
      </c>
      <c r="I230" s="2">
        <v>45268.833333333336</v>
      </c>
      <c r="J230" s="1" t="s">
        <v>81</v>
      </c>
      <c r="K230" s="2">
        <v>45260.958333333336</v>
      </c>
      <c r="L230" s="2">
        <v>45265.958333333336</v>
      </c>
      <c r="M230" s="2">
        <v>45261.000694444447</v>
      </c>
      <c r="N230" s="2">
        <v>45264.958333333336</v>
      </c>
      <c r="O230" s="2">
        <v>45259.458333333336</v>
      </c>
      <c r="P230" s="2">
        <v>45265.458333333336</v>
      </c>
    </row>
    <row r="231" spans="1:16" x14ac:dyDescent="0.3">
      <c r="A231" s="2">
        <v>45244.369444444441</v>
      </c>
      <c r="B231" s="1" t="s">
        <v>69</v>
      </c>
      <c r="C231" s="1" t="s">
        <v>195</v>
      </c>
      <c r="D231" s="1" t="s">
        <v>196</v>
      </c>
      <c r="E231" s="1" t="s">
        <v>47</v>
      </c>
      <c r="F231" s="1"/>
      <c r="G231" s="2">
        <v>45268.833333333336</v>
      </c>
      <c r="H231" s="2">
        <v>45268.833333333336</v>
      </c>
      <c r="I231" s="2">
        <v>45269.5625</v>
      </c>
      <c r="J231" s="1" t="s">
        <v>126</v>
      </c>
      <c r="K231" s="2">
        <v>45261.833333333336</v>
      </c>
      <c r="L231" s="2">
        <v>45266.833333333336</v>
      </c>
      <c r="M231" s="2">
        <v>45262.000694444447</v>
      </c>
      <c r="N231" s="2">
        <v>45265.833333333336</v>
      </c>
      <c r="O231" s="2">
        <v>45260.333333333336</v>
      </c>
      <c r="P231" s="2">
        <v>45266.333333333336</v>
      </c>
    </row>
    <row r="232" spans="1:16" x14ac:dyDescent="0.3">
      <c r="A232" s="2">
        <v>45244.369444444441</v>
      </c>
      <c r="B232" s="1" t="s">
        <v>139</v>
      </c>
      <c r="C232" s="1" t="s">
        <v>206</v>
      </c>
      <c r="D232" s="1" t="s">
        <v>207</v>
      </c>
      <c r="E232" s="1" t="s">
        <v>83</v>
      </c>
      <c r="F232" s="1" t="s">
        <v>13</v>
      </c>
      <c r="G232" s="2">
        <v>45269.75</v>
      </c>
      <c r="H232" s="2">
        <v>45269.75</v>
      </c>
      <c r="I232" s="2">
        <v>45271.375</v>
      </c>
      <c r="J232" s="1" t="s">
        <v>14</v>
      </c>
      <c r="K232" s="2">
        <v>45262.75</v>
      </c>
      <c r="L232" s="2">
        <v>45267.75</v>
      </c>
      <c r="M232" s="2">
        <v>45263.000694444447</v>
      </c>
      <c r="N232" s="2">
        <v>45266.75</v>
      </c>
      <c r="O232" s="2">
        <v>45260.25</v>
      </c>
      <c r="P232" s="2">
        <v>45266.25</v>
      </c>
    </row>
    <row r="233" spans="1:16" x14ac:dyDescent="0.3">
      <c r="A233" s="2">
        <v>45244.369444444441</v>
      </c>
      <c r="B233" s="1" t="s">
        <v>198</v>
      </c>
      <c r="C233" s="1" t="s">
        <v>199</v>
      </c>
      <c r="D233" s="1" t="s">
        <v>200</v>
      </c>
      <c r="E233" s="1" t="s">
        <v>42</v>
      </c>
      <c r="F233" s="1" t="s">
        <v>14</v>
      </c>
      <c r="G233" s="2">
        <v>45270.291666666664</v>
      </c>
      <c r="H233" s="2">
        <v>45270.291666666664</v>
      </c>
      <c r="I233" s="2">
        <v>45270.958333333336</v>
      </c>
      <c r="J233" s="1" t="s">
        <v>17</v>
      </c>
      <c r="K233" s="2">
        <v>45263.291666666664</v>
      </c>
      <c r="L233" s="2">
        <v>45268.291666666664</v>
      </c>
      <c r="M233" s="2">
        <v>45264.000694444447</v>
      </c>
      <c r="N233" s="2">
        <v>45267.291666666664</v>
      </c>
      <c r="O233" s="2">
        <v>45261.791666666664</v>
      </c>
      <c r="P233" s="2">
        <v>45267.791666666664</v>
      </c>
    </row>
    <row r="234" spans="1:16" x14ac:dyDescent="0.3">
      <c r="A234" s="2">
        <v>45244.369444444441</v>
      </c>
      <c r="B234" s="1" t="s">
        <v>152</v>
      </c>
      <c r="C234" s="1" t="s">
        <v>164</v>
      </c>
      <c r="D234" s="1" t="s">
        <v>164</v>
      </c>
      <c r="E234" s="1" t="s">
        <v>44</v>
      </c>
      <c r="F234" s="1" t="s">
        <v>30</v>
      </c>
      <c r="G234" s="2">
        <v>45271.208333333336</v>
      </c>
      <c r="H234" s="2">
        <v>45271.395833333336</v>
      </c>
      <c r="I234" s="2">
        <v>45272.020833333336</v>
      </c>
      <c r="J234" s="1" t="s">
        <v>13</v>
      </c>
      <c r="K234" s="2">
        <v>45264.208333333336</v>
      </c>
      <c r="L234" s="2">
        <v>45269.395833333336</v>
      </c>
      <c r="M234" s="2">
        <v>45265.000694444447</v>
      </c>
      <c r="N234" s="2">
        <v>45268.395833333336</v>
      </c>
      <c r="O234" s="2">
        <v>45262.708333333336</v>
      </c>
      <c r="P234" s="2">
        <v>45268.708333333336</v>
      </c>
    </row>
    <row r="235" spans="1:16" x14ac:dyDescent="0.3">
      <c r="A235" s="2">
        <v>45244.369444444441</v>
      </c>
      <c r="B235" s="1" t="s">
        <v>138</v>
      </c>
      <c r="C235" s="1" t="s">
        <v>208</v>
      </c>
      <c r="D235" s="1" t="s">
        <v>209</v>
      </c>
      <c r="E235" s="1" t="s">
        <v>84</v>
      </c>
      <c r="F235" s="1" t="s">
        <v>14</v>
      </c>
      <c r="G235" s="2">
        <v>45272.000694444447</v>
      </c>
      <c r="H235" s="2">
        <v>45272.000694444447</v>
      </c>
      <c r="I235" s="2">
        <v>45272.666666666664</v>
      </c>
      <c r="J235" s="1" t="s">
        <v>16</v>
      </c>
      <c r="K235" s="2">
        <v>45265.000694444447</v>
      </c>
      <c r="L235" s="2">
        <v>45270.000694444447</v>
      </c>
      <c r="M235" s="2">
        <v>45266.000694444447</v>
      </c>
      <c r="N235" s="2">
        <v>45269.000694444447</v>
      </c>
      <c r="O235" s="2">
        <v>45263.500694444447</v>
      </c>
      <c r="P235" s="2">
        <v>45269.500694444447</v>
      </c>
    </row>
    <row r="236" spans="1:16" x14ac:dyDescent="0.3">
      <c r="A236" s="2">
        <v>45244.369444444441</v>
      </c>
      <c r="B236" s="1" t="s">
        <v>210</v>
      </c>
      <c r="C236" s="1" t="s">
        <v>147</v>
      </c>
      <c r="D236" s="1" t="s">
        <v>171</v>
      </c>
      <c r="E236" s="1" t="s">
        <v>211</v>
      </c>
      <c r="F236" s="1" t="s">
        <v>212</v>
      </c>
      <c r="G236" s="2">
        <v>45272.25</v>
      </c>
      <c r="H236" s="2">
        <v>45272.25</v>
      </c>
      <c r="I236" s="2">
        <v>45273.25</v>
      </c>
      <c r="J236" s="1"/>
      <c r="K236" s="2">
        <v>45265.25</v>
      </c>
      <c r="L236" s="2">
        <v>45270.25</v>
      </c>
      <c r="M236" s="2">
        <v>45266.000694444447</v>
      </c>
      <c r="N236" s="2">
        <v>45269.25</v>
      </c>
      <c r="O236" s="2">
        <v>45263.75</v>
      </c>
      <c r="P236" s="2">
        <v>45269.75</v>
      </c>
    </row>
    <row r="237" spans="1:16" x14ac:dyDescent="0.3">
      <c r="A237" s="2">
        <v>45244.369444444441</v>
      </c>
      <c r="B237" s="1" t="s">
        <v>213</v>
      </c>
      <c r="C237" s="1" t="s">
        <v>214</v>
      </c>
      <c r="D237" s="1" t="s">
        <v>215</v>
      </c>
      <c r="E237" s="1" t="s">
        <v>18</v>
      </c>
      <c r="F237" s="1" t="s">
        <v>19</v>
      </c>
      <c r="G237" s="2">
        <v>45272.916666666664</v>
      </c>
      <c r="H237" s="2">
        <v>45272.916666666664</v>
      </c>
      <c r="I237" s="2">
        <v>45273.958333333336</v>
      </c>
      <c r="J237" s="1" t="s">
        <v>132</v>
      </c>
      <c r="K237" s="2">
        <v>45265.916666666664</v>
      </c>
      <c r="L237" s="2">
        <v>45270.916666666664</v>
      </c>
      <c r="M237" s="2">
        <v>45266.000694444447</v>
      </c>
      <c r="N237" s="2">
        <v>45270.625</v>
      </c>
      <c r="O237" s="2">
        <v>45264.416666666664</v>
      </c>
      <c r="P237" s="2">
        <v>45270.416666666664</v>
      </c>
    </row>
    <row r="238" spans="1:16" x14ac:dyDescent="0.3">
      <c r="A238" s="2">
        <v>45239.441666666666</v>
      </c>
      <c r="B238" s="1" t="s">
        <v>182</v>
      </c>
      <c r="C238" s="1" t="s">
        <v>183</v>
      </c>
      <c r="D238" s="1" t="s">
        <v>184</v>
      </c>
      <c r="E238" s="1" t="s">
        <v>84</v>
      </c>
      <c r="F238" s="1" t="s">
        <v>14</v>
      </c>
      <c r="G238" s="2">
        <v>45265.000694444447</v>
      </c>
      <c r="H238" s="2">
        <v>45265.000694444447</v>
      </c>
      <c r="I238" s="2">
        <v>45265.666666666664</v>
      </c>
      <c r="J238" s="1" t="s">
        <v>16</v>
      </c>
      <c r="K238" s="2">
        <v>45258.000694444447</v>
      </c>
      <c r="L238" s="2">
        <v>45263.000694444447</v>
      </c>
      <c r="M238" s="2">
        <v>45259.000694444447</v>
      </c>
      <c r="N238" s="2">
        <v>45262.000694444447</v>
      </c>
      <c r="O238" s="2">
        <v>45256.500694444447</v>
      </c>
      <c r="P238" s="2">
        <v>45262.500694444447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4BD4F-5D58-4CE9-9CE8-291B24230EA7}">
  <sheetPr codeName="Sheet6"/>
  <dimension ref="A1:V50"/>
  <sheetViews>
    <sheetView showGridLines="0" tabSelected="1" workbookViewId="0"/>
  </sheetViews>
  <sheetFormatPr defaultRowHeight="14.4" x14ac:dyDescent="0.3"/>
  <cols>
    <col min="1" max="1" width="2.6640625" customWidth="1"/>
    <col min="8" max="8" width="9.109375" customWidth="1"/>
    <col min="21" max="21" width="10" customWidth="1"/>
    <col min="22" max="22" width="3.33203125" customWidth="1"/>
  </cols>
  <sheetData>
    <row r="1" spans="1:2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1:22" x14ac:dyDescent="0.3">
      <c r="A2" s="30"/>
      <c r="B2" s="11"/>
      <c r="C2" s="11"/>
      <c r="D2" s="11"/>
      <c r="E2" s="11"/>
      <c r="F2" s="11"/>
      <c r="G2" s="11"/>
      <c r="H2" s="11"/>
      <c r="I2" s="11"/>
      <c r="J2" s="11" t="s">
        <v>97</v>
      </c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30"/>
    </row>
    <row r="3" spans="1:22" x14ac:dyDescent="0.3">
      <c r="A3" s="30"/>
      <c r="B3" s="11"/>
      <c r="C3" s="11"/>
      <c r="D3" s="11"/>
      <c r="E3" s="11"/>
      <c r="F3" s="11"/>
      <c r="G3" s="11"/>
      <c r="H3" s="11"/>
      <c r="I3" s="11"/>
      <c r="J3" s="11" t="s">
        <v>98</v>
      </c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30"/>
    </row>
    <row r="4" spans="1:22" x14ac:dyDescent="0.3">
      <c r="A4" s="30"/>
      <c r="B4" s="11"/>
      <c r="C4" s="11"/>
      <c r="D4" s="11"/>
      <c r="E4" s="11"/>
      <c r="F4" s="11"/>
      <c r="G4" s="11"/>
      <c r="H4" s="11"/>
      <c r="I4" s="11"/>
      <c r="J4" s="11" t="s">
        <v>99</v>
      </c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30"/>
    </row>
    <row r="5" spans="1:22" x14ac:dyDescent="0.3">
      <c r="A5" s="30"/>
      <c r="B5" s="11"/>
      <c r="C5" s="11"/>
      <c r="D5" s="11"/>
      <c r="E5" s="11"/>
      <c r="F5" s="11"/>
      <c r="G5" s="11"/>
      <c r="H5" s="11"/>
      <c r="I5" s="11"/>
      <c r="J5" s="11" t="s">
        <v>100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30"/>
    </row>
    <row r="6" spans="1:22" x14ac:dyDescent="0.3">
      <c r="A6" s="30"/>
      <c r="B6" s="11"/>
      <c r="C6" s="11"/>
      <c r="D6" s="11"/>
      <c r="E6" s="11"/>
      <c r="F6" s="11"/>
      <c r="G6" s="11"/>
      <c r="H6" s="11"/>
      <c r="I6" s="11"/>
      <c r="J6" s="11" t="s">
        <v>101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30"/>
    </row>
    <row r="7" spans="1:22" x14ac:dyDescent="0.3">
      <c r="A7" s="30"/>
      <c r="B7" s="11"/>
      <c r="C7" s="11"/>
      <c r="D7" s="11"/>
      <c r="E7" s="11"/>
      <c r="F7" s="11"/>
      <c r="G7" s="11"/>
      <c r="H7" s="11"/>
      <c r="I7" s="11"/>
      <c r="J7" s="11" t="s">
        <v>102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30"/>
    </row>
    <row r="8" spans="1:22" x14ac:dyDescent="0.3">
      <c r="A8" s="30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30"/>
    </row>
    <row r="9" spans="1:22" x14ac:dyDescent="0.3">
      <c r="A9" s="30"/>
      <c r="B9" s="11"/>
      <c r="C9" s="11"/>
      <c r="D9" s="11"/>
      <c r="E9" s="11"/>
      <c r="F9" s="11"/>
      <c r="G9" s="11"/>
      <c r="H9" s="11"/>
      <c r="I9" s="11" t="s">
        <v>103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30"/>
    </row>
    <row r="10" spans="1:22" x14ac:dyDescent="0.3">
      <c r="A10" s="30"/>
      <c r="B10" s="11"/>
      <c r="C10" s="11"/>
      <c r="D10" s="11"/>
      <c r="E10" s="11"/>
      <c r="F10" s="11"/>
      <c r="G10" s="11"/>
      <c r="H10" s="11"/>
      <c r="I10" s="11" t="s">
        <v>104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30"/>
    </row>
    <row r="11" spans="1:22" x14ac:dyDescent="0.3">
      <c r="A11" s="30"/>
      <c r="B11" s="11"/>
      <c r="C11" s="11"/>
      <c r="D11" s="11"/>
      <c r="E11" s="11"/>
      <c r="F11" s="11"/>
      <c r="G11" s="11"/>
      <c r="H11" s="11"/>
      <c r="I11" s="11" t="s">
        <v>105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30"/>
    </row>
    <row r="12" spans="1:22" x14ac:dyDescent="0.3">
      <c r="A12" s="30"/>
      <c r="B12" s="11"/>
      <c r="C12" s="11"/>
      <c r="D12" s="11"/>
      <c r="E12" s="11"/>
      <c r="F12" s="11"/>
      <c r="G12" s="11"/>
      <c r="H12" s="11"/>
      <c r="I12" s="11" t="s">
        <v>106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30"/>
    </row>
    <row r="13" spans="1:22" x14ac:dyDescent="0.3">
      <c r="A13" s="30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30"/>
    </row>
    <row r="14" spans="1:22" x14ac:dyDescent="0.3">
      <c r="A14" s="30"/>
      <c r="B14" s="11"/>
      <c r="C14" s="11"/>
      <c r="D14" s="11"/>
      <c r="E14" s="11"/>
      <c r="F14" s="11"/>
      <c r="G14" s="11"/>
      <c r="H14" s="11"/>
      <c r="I14" s="11" t="s">
        <v>107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30"/>
    </row>
    <row r="15" spans="1:22" x14ac:dyDescent="0.3">
      <c r="A15" s="30"/>
      <c r="B15" s="11"/>
      <c r="C15" s="11"/>
      <c r="D15" s="11"/>
      <c r="E15" s="11"/>
      <c r="F15" s="11"/>
      <c r="G15" s="11"/>
      <c r="H15" s="11"/>
      <c r="I15" s="11" t="s">
        <v>108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30"/>
    </row>
    <row r="16" spans="1:22" x14ac:dyDescent="0.3">
      <c r="A16" s="30"/>
      <c r="B16" s="11"/>
      <c r="C16" s="11"/>
      <c r="D16" s="11"/>
      <c r="E16" s="11"/>
      <c r="F16" s="11"/>
      <c r="G16" s="11"/>
      <c r="H16" s="11"/>
      <c r="I16" s="11" t="s">
        <v>109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30"/>
    </row>
    <row r="17" spans="1:22" x14ac:dyDescent="0.3">
      <c r="A17" s="30"/>
      <c r="B17" s="11"/>
      <c r="C17" s="11"/>
      <c r="D17" s="11"/>
      <c r="E17" s="11"/>
      <c r="F17" s="11"/>
      <c r="G17" s="11"/>
      <c r="H17" s="11"/>
      <c r="I17" s="11" t="s">
        <v>110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30"/>
    </row>
    <row r="18" spans="1:22" x14ac:dyDescent="0.3">
      <c r="A18" s="30"/>
      <c r="B18" s="11"/>
      <c r="C18" s="11"/>
      <c r="D18" s="11"/>
      <c r="E18" s="11"/>
      <c r="F18" s="11"/>
      <c r="G18" s="11"/>
      <c r="H18" s="11"/>
      <c r="I18" s="11" t="s">
        <v>111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30"/>
    </row>
    <row r="19" spans="1:22" x14ac:dyDescent="0.3">
      <c r="A19" s="30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30"/>
    </row>
    <row r="20" spans="1:22" x14ac:dyDescent="0.3">
      <c r="A20" s="3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30"/>
    </row>
    <row r="21" spans="1:22" x14ac:dyDescent="0.3">
      <c r="A21" s="30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30"/>
    </row>
    <row r="22" spans="1:22" x14ac:dyDescent="0.3">
      <c r="A22" s="3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30"/>
    </row>
    <row r="23" spans="1:22" x14ac:dyDescent="0.3">
      <c r="A23" s="3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30"/>
    </row>
    <row r="24" spans="1:22" x14ac:dyDescent="0.3">
      <c r="A24" s="30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30"/>
    </row>
    <row r="25" spans="1:22" x14ac:dyDescent="0.3">
      <c r="A25" s="30"/>
      <c r="B25" s="11"/>
      <c r="C25" s="11"/>
      <c r="D25" s="11"/>
      <c r="E25" s="11"/>
      <c r="F25" s="11"/>
      <c r="G25" s="11"/>
      <c r="H25" s="11"/>
      <c r="I25" s="11" t="s">
        <v>112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30"/>
    </row>
    <row r="26" spans="1:22" x14ac:dyDescent="0.3">
      <c r="A26" s="30"/>
      <c r="B26" s="11"/>
      <c r="C26" s="11"/>
      <c r="D26" s="11"/>
      <c r="E26" s="11"/>
      <c r="F26" s="11"/>
      <c r="G26" s="11"/>
      <c r="H26" s="11"/>
      <c r="I26" s="11" t="s">
        <v>113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30"/>
    </row>
    <row r="27" spans="1:22" x14ac:dyDescent="0.3">
      <c r="A27" s="30"/>
      <c r="B27" s="11"/>
      <c r="C27" s="11"/>
      <c r="D27" s="11"/>
      <c r="E27" s="11"/>
      <c r="F27" s="11"/>
      <c r="G27" s="11"/>
      <c r="H27" s="11"/>
      <c r="I27" s="11" t="s">
        <v>114</v>
      </c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30"/>
    </row>
    <row r="28" spans="1:22" ht="7.2" customHeight="1" x14ac:dyDescent="0.3">
      <c r="A28" s="3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30"/>
    </row>
    <row r="29" spans="1:22" x14ac:dyDescent="0.3">
      <c r="A29" s="30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30"/>
    </row>
    <row r="30" spans="1:22" x14ac:dyDescent="0.3">
      <c r="A30" s="3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 t="s">
        <v>115</v>
      </c>
      <c r="N30" s="11"/>
      <c r="O30" s="11"/>
      <c r="P30" s="11"/>
      <c r="Q30" s="11"/>
      <c r="R30" s="11"/>
      <c r="S30" s="11"/>
      <c r="T30" s="11"/>
      <c r="U30" s="11"/>
      <c r="V30" s="30"/>
    </row>
    <row r="31" spans="1:22" x14ac:dyDescent="0.3">
      <c r="A31" s="30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 t="s">
        <v>118</v>
      </c>
      <c r="N31" s="11"/>
      <c r="O31" s="11"/>
      <c r="P31" s="11"/>
      <c r="Q31" s="11"/>
      <c r="R31" s="11"/>
      <c r="S31" s="11"/>
      <c r="T31" s="11"/>
      <c r="U31" s="11"/>
      <c r="V31" s="30"/>
    </row>
    <row r="32" spans="1:22" x14ac:dyDescent="0.3">
      <c r="A32" s="30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 t="s">
        <v>119</v>
      </c>
      <c r="N32" s="11"/>
      <c r="O32" s="11"/>
      <c r="P32" s="11"/>
      <c r="Q32" s="11"/>
      <c r="R32" s="11"/>
      <c r="S32" s="11"/>
      <c r="T32" s="11"/>
      <c r="U32" s="11"/>
      <c r="V32" s="30"/>
    </row>
    <row r="33" spans="1:22" x14ac:dyDescent="0.3">
      <c r="A33" s="30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 t="s">
        <v>116</v>
      </c>
      <c r="N33" s="11"/>
      <c r="O33" s="11"/>
      <c r="P33" s="11"/>
      <c r="Q33" s="11"/>
      <c r="R33" s="11"/>
      <c r="S33" s="11"/>
      <c r="T33" s="11"/>
      <c r="U33" s="11"/>
      <c r="V33" s="30"/>
    </row>
    <row r="34" spans="1:22" x14ac:dyDescent="0.3">
      <c r="A34" s="30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 t="s">
        <v>120</v>
      </c>
      <c r="N34" s="11"/>
      <c r="O34" s="11"/>
      <c r="P34" s="11"/>
      <c r="Q34" s="11"/>
      <c r="R34" s="11"/>
      <c r="S34" s="11"/>
      <c r="T34" s="11"/>
      <c r="U34" s="11"/>
      <c r="V34" s="30"/>
    </row>
    <row r="35" spans="1:22" x14ac:dyDescent="0.3">
      <c r="A35" s="30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 t="s">
        <v>117</v>
      </c>
      <c r="N35" s="11"/>
      <c r="O35" s="11"/>
      <c r="P35" s="11"/>
      <c r="Q35" s="11"/>
      <c r="R35" s="11"/>
      <c r="S35" s="11"/>
      <c r="T35" s="11"/>
      <c r="U35" s="11"/>
      <c r="V35" s="30"/>
    </row>
    <row r="36" spans="1:22" x14ac:dyDescent="0.3">
      <c r="A36" s="30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30"/>
    </row>
    <row r="37" spans="1:22" x14ac:dyDescent="0.3">
      <c r="A37" s="30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30"/>
    </row>
    <row r="38" spans="1:22" x14ac:dyDescent="0.3">
      <c r="A38" s="30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30"/>
    </row>
    <row r="39" spans="1:22" ht="7.95" customHeight="1" x14ac:dyDescent="0.3">
      <c r="A39" s="30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30"/>
    </row>
    <row r="40" spans="1:22" x14ac:dyDescent="0.3">
      <c r="A40" s="30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30"/>
    </row>
    <row r="41" spans="1:22" x14ac:dyDescent="0.3">
      <c r="A41" s="30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 t="s">
        <v>121</v>
      </c>
      <c r="N41" s="11"/>
      <c r="O41" s="11"/>
      <c r="P41" s="11"/>
      <c r="Q41" s="11"/>
      <c r="R41" s="11"/>
      <c r="S41" s="11"/>
      <c r="T41" s="11"/>
      <c r="U41" s="11"/>
      <c r="V41" s="30"/>
    </row>
    <row r="42" spans="1:22" x14ac:dyDescent="0.3">
      <c r="A42" s="3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 t="s">
        <v>122</v>
      </c>
      <c r="N42" s="11"/>
      <c r="O42" s="11"/>
      <c r="P42" s="11"/>
      <c r="Q42" s="11"/>
      <c r="R42" s="11"/>
      <c r="S42" s="11"/>
      <c r="T42" s="11"/>
      <c r="U42" s="11"/>
      <c r="V42" s="30"/>
    </row>
    <row r="43" spans="1:22" x14ac:dyDescent="0.3">
      <c r="A43" s="30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30"/>
    </row>
    <row r="44" spans="1:22" ht="6" customHeight="1" x14ac:dyDescent="0.3">
      <c r="A44" s="3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30"/>
    </row>
    <row r="45" spans="1:22" x14ac:dyDescent="0.3">
      <c r="A45" s="30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30"/>
    </row>
    <row r="46" spans="1:22" x14ac:dyDescent="0.3">
      <c r="A46" s="30"/>
      <c r="B46" s="11" t="s">
        <v>124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30"/>
    </row>
    <row r="47" spans="1:22" x14ac:dyDescent="0.3">
      <c r="A47" s="30"/>
      <c r="B47" s="11" t="s">
        <v>123</v>
      </c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30"/>
    </row>
    <row r="48" spans="1:22" x14ac:dyDescent="0.3">
      <c r="A48" s="30"/>
      <c r="B48" s="11" t="s">
        <v>125</v>
      </c>
      <c r="C48" s="11"/>
      <c r="D48" s="11"/>
      <c r="E48" s="11"/>
      <c r="F48" s="11"/>
      <c r="G48" s="11"/>
      <c r="H48" s="49" t="s">
        <v>95</v>
      </c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30"/>
    </row>
    <row r="49" spans="1:22" x14ac:dyDescent="0.3">
      <c r="A49" s="30"/>
      <c r="B49" s="11"/>
      <c r="C49" s="11"/>
      <c r="D49" s="11"/>
      <c r="E49" s="11"/>
      <c r="F49" s="11"/>
      <c r="G49" s="11"/>
      <c r="H49" s="49" t="s">
        <v>96</v>
      </c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30"/>
    </row>
    <row r="50" spans="1:22" x14ac:dyDescent="0.3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</row>
  </sheetData>
  <hyperlinks>
    <hyperlink ref="H48" r:id="rId1" xr:uid="{CDDD3CD5-5DF7-45A4-83C6-63CEBE09F224}"/>
    <hyperlink ref="H49" r:id="rId2" xr:uid="{A33CDFE2-EDFB-4A6E-976F-B9E279A8F022}"/>
  </hyperlinks>
  <pageMargins left="0.7" right="0.7" top="0.75" bottom="0.75" header="0.3" footer="0.3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46C0-3028-453E-9DCA-CF02F3BCEA51}">
  <sheetPr codeName="Sheet2"/>
  <dimension ref="A2:BI67"/>
  <sheetViews>
    <sheetView zoomScale="70" zoomScaleNormal="70" workbookViewId="0">
      <selection activeCell="B8" sqref="B8"/>
    </sheetView>
  </sheetViews>
  <sheetFormatPr defaultRowHeight="14.4" x14ac:dyDescent="0.3"/>
  <cols>
    <col min="1" max="1" width="17.109375" bestFit="1" customWidth="1"/>
    <col min="2" max="2" width="10.44140625" customWidth="1"/>
    <col min="3" max="3" width="12.109375" bestFit="1" customWidth="1"/>
    <col min="4" max="4" width="22.33203125" bestFit="1" customWidth="1"/>
    <col min="7" max="7" width="17.109375" bestFit="1" customWidth="1"/>
    <col min="8" max="8" width="16.6640625" customWidth="1"/>
    <col min="9" max="9" width="17.109375" bestFit="1" customWidth="1"/>
    <col min="11" max="11" width="17.109375" bestFit="1" customWidth="1"/>
    <col min="12" max="13" width="16" bestFit="1" customWidth="1"/>
    <col min="14" max="15" width="17.109375" bestFit="1" customWidth="1"/>
    <col min="16" max="16" width="16" bestFit="1" customWidth="1"/>
    <col min="17" max="17" width="17.33203125" customWidth="1"/>
    <col min="18" max="18" width="16" bestFit="1" customWidth="1"/>
    <col min="19" max="19" width="17.109375" bestFit="1" customWidth="1"/>
    <col min="21" max="21" width="17.88671875" customWidth="1"/>
    <col min="22" max="22" width="22.44140625" customWidth="1"/>
    <col min="23" max="23" width="22.33203125" customWidth="1"/>
    <col min="24" max="27" width="17.109375" bestFit="1" customWidth="1"/>
    <col min="34" max="34" width="16.6640625" customWidth="1"/>
    <col min="35" max="35" width="16" bestFit="1" customWidth="1"/>
    <col min="36" max="38" width="17.109375" bestFit="1" customWidth="1"/>
    <col min="42" max="42" width="23.44140625" bestFit="1" customWidth="1"/>
    <col min="48" max="48" width="31.6640625" bestFit="1" customWidth="1"/>
    <col min="49" max="52" width="17.109375" bestFit="1" customWidth="1"/>
    <col min="56" max="56" width="29.33203125" bestFit="1" customWidth="1"/>
    <col min="57" max="58" width="16" bestFit="1" customWidth="1"/>
    <col min="59" max="59" width="11.6640625" bestFit="1" customWidth="1"/>
  </cols>
  <sheetData>
    <row r="2" spans="2:61" x14ac:dyDescent="0.3">
      <c r="C2" t="s">
        <v>31</v>
      </c>
      <c r="D2">
        <v>6</v>
      </c>
    </row>
    <row r="3" spans="2:61" x14ac:dyDescent="0.3">
      <c r="C3" t="s">
        <v>32</v>
      </c>
      <c r="D3">
        <v>1</v>
      </c>
    </row>
    <row r="4" spans="2:61" x14ac:dyDescent="0.3">
      <c r="C4" t="s">
        <v>33</v>
      </c>
      <c r="D4">
        <v>1</v>
      </c>
    </row>
    <row r="7" spans="2:61" x14ac:dyDescent="0.3">
      <c r="Z7" s="16" t="s">
        <v>54</v>
      </c>
      <c r="AA7" s="16">
        <v>1</v>
      </c>
      <c r="AD7" t="s">
        <v>60</v>
      </c>
      <c r="AE7" t="s">
        <v>55</v>
      </c>
      <c r="AF7" t="s">
        <v>56</v>
      </c>
      <c r="AG7" t="s">
        <v>57</v>
      </c>
      <c r="AH7" s="18" t="s">
        <v>0</v>
      </c>
      <c r="AI7" s="18" t="s">
        <v>58</v>
      </c>
      <c r="AJ7" s="18" t="s">
        <v>59</v>
      </c>
      <c r="AK7" s="18" t="s">
        <v>61</v>
      </c>
      <c r="AL7" s="18" t="s">
        <v>62</v>
      </c>
    </row>
    <row r="8" spans="2:61" x14ac:dyDescent="0.3">
      <c r="B8" t="str" cm="1">
        <f t="array" ref="B8:B15">_xlfn._xlws.SORT(_xlfn.UNIQUE(Tauranga_Container_Terminal_Cargo_Schedule__Thursday_21_July_2022_11_13__Export[ANL/CMA Services]))</f>
        <v>ANZ SUTTLE</v>
      </c>
      <c r="D8" t="str" cm="1">
        <f t="array" ref="D8:D12">_xlfn._xlws.SORT(_xlfn.UNIQUE(_xlfn._xlws.FILTER($K$8:$K$28,$K$8:$K$28&lt;&gt;"")))</f>
        <v>MAJESTIC</v>
      </c>
      <c r="F8" t="str" cm="1">
        <f t="array" ref="F8">_xlfn._xlws.SORT(_xlfn.UNIQUE(_xlfn._xlws.FILTER($M$30:$M$40,$M$30:$M$40&lt;&gt;"")))</f>
        <v>0RPEIN1MA</v>
      </c>
      <c r="K8" s="7" t="str" cm="1">
        <f t="array" ref="K8:AA12">_xlfn._xlws.FILTER(Tauranga_Container_Terminal_Cargo_Schedule__Thursday_21_July_2022_11_13__Export[],Tauranga_Container_Terminal_Cargo_Schedule__Thursday_21_July_2022_11_13__Export[ANL/CMA Services]=INDEX(_xlfn.ANCHORARRAY(Calculation!B8),D2))</f>
        <v>MAJESTIC</v>
      </c>
      <c r="L8" s="8" t="str">
        <v>0RPEHS1MA</v>
      </c>
      <c r="M8" s="8" t="str">
        <v>0RPEIN1MA</v>
      </c>
      <c r="N8" s="8" t="str">
        <v>PAD</v>
      </c>
      <c r="O8" s="8" t="str">
        <v>PAD</v>
      </c>
      <c r="P8" s="8" t="str">
        <v>Melbourne</v>
      </c>
      <c r="Q8" s="8">
        <v>45258.791666666664</v>
      </c>
      <c r="R8" s="8">
        <v>45264.227083333331</v>
      </c>
      <c r="S8" s="8">
        <v>45264.845138888886</v>
      </c>
      <c r="T8" s="8" t="str">
        <v>Paita</v>
      </c>
      <c r="U8" s="8">
        <v>45251.791666666664</v>
      </c>
      <c r="V8" s="8">
        <v>45262.208333333336</v>
      </c>
      <c r="W8" s="8">
        <v>45252.000694444447</v>
      </c>
      <c r="X8" s="8">
        <v>45261.625</v>
      </c>
      <c r="Y8" s="8">
        <v>45250.291666666664</v>
      </c>
      <c r="Z8" s="8">
        <v>45256.291666666664</v>
      </c>
      <c r="AA8" s="9">
        <v>3</v>
      </c>
      <c r="AD8" s="7" cm="1">
        <f t="array" ref="AD8:AD14">_xlfn.UNIQUE(_xlfn._xlws.FILTER(AA7:AA26,(AA7:AA26&lt;&gt;"")))</f>
        <v>1</v>
      </c>
      <c r="AE8" s="8">
        <f>IF(MATCH(AA45,_xlfn.ANCHORARRAY(AD8),0)-1 = 0, 1,MATCH(AA45,_xlfn.ANCHORARRAY(AD8),0)-1)</f>
        <v>1</v>
      </c>
      <c r="AF8" s="8" cm="1">
        <f t="array" ref="AF8">INDEX(_xlfn.ANCHORARRAY(AD8),AE8)</f>
        <v>1</v>
      </c>
      <c r="AG8" s="8" cm="1">
        <f t="array" ref="AG8">IFERROR(INDEX(_xlfn.ANCHORARRAY(AD8),MATCH(AA45,_xlfn.ANCHORARRAY(AD8),0)+1),AA45)</f>
        <v>7</v>
      </c>
      <c r="AH8" s="19" t="str" cm="1">
        <f t="array" ref="AH8:AH14">INDEX(Tauranga_Container_Terminal_Cargo_Schedule__Thursday_21_July_2022_11_13__Export[Vessel],Calculation!$AF$8):INDEX(Tauranga_Container_Terminal_Cargo_Schedule__Thursday_21_July_2022_11_13__Export[Vessel],Calculation!$AG$8)</f>
        <v>CAP JACKSON</v>
      </c>
      <c r="AI8" s="20" cm="1">
        <f t="array" ref="AI8:AI14">INDEX(Tauranga_Container_Terminal_Cargo_Schedule__Thursday_21_July_2022_11_13__Export[Current ETA],Calculation!$AF$8):INDEX(Tauranga_Container_Terminal_Cargo_Schedule__Thursday_21_July_2022_11_13__Export[Current ETA],Calculation!$AG$8)</f>
        <v>45263.304166666669</v>
      </c>
      <c r="AJ8" s="20" cm="1">
        <f t="array" ref="AJ8:AJ14">INDEX(Tauranga_Container_Terminal_Cargo_Schedule__Thursday_21_July_2022_11_13__Export[Current ETD],Calculation!$AF$8):INDEX(Tauranga_Container_Terminal_Cargo_Schedule__Thursday_21_July_2022_11_13__Export[Current ETD],Calculation!$AG$8)</f>
        <v>45264.382638888892</v>
      </c>
      <c r="AK8" s="20" cm="1">
        <f t="array" ref="AK8:AK14">INDEX(Tauranga_Container_Terminal_Cargo_Schedule__Thursday_21_July_2022_11_13__Export[Tauranga Cut-Off],Calculation!$AF$8):INDEX(Tauranga_Container_Terminal_Cargo_Schedule__Thursday_21_July_2022_11_13__Export[Tauranga Cut-Off],Calculation!$AG$8)</f>
        <v>45261.5</v>
      </c>
      <c r="AL8" s="20" cm="1">
        <f t="array" ref="AL8:AL14">INDEX(Tauranga_Container_Terminal_Cargo_Schedule__Thursday_21_July_2022_11_13__Export[MetroPort Cut-Off],Calculation!$AF$8):INDEX(Tauranga_Container_Terminal_Cargo_Schedule__Thursday_21_July_2022_11_13__Export[MetroPort Cut-Off],Calculation!$AG$8)</f>
        <v>45257.500694444447</v>
      </c>
      <c r="AM8" s="11"/>
      <c r="AN8" s="11"/>
      <c r="AO8" s="7" t="s">
        <v>70</v>
      </c>
      <c r="AP8" s="9">
        <f>AF8+5</f>
        <v>6</v>
      </c>
      <c r="AQ8" s="11"/>
      <c r="AR8" s="11"/>
      <c r="AS8" s="11"/>
      <c r="AT8" s="11"/>
      <c r="AV8" t="s">
        <v>74</v>
      </c>
      <c r="AW8" t="s">
        <v>58</v>
      </c>
      <c r="AX8" t="s">
        <v>59</v>
      </c>
      <c r="AY8" t="s">
        <v>61</v>
      </c>
      <c r="AZ8" t="s">
        <v>62</v>
      </c>
      <c r="BD8" t="s">
        <v>75</v>
      </c>
      <c r="BE8" t="s">
        <v>58</v>
      </c>
      <c r="BF8" t="s">
        <v>59</v>
      </c>
    </row>
    <row r="9" spans="2:61" x14ac:dyDescent="0.3">
      <c r="B9" t="str">
        <v>ANZEX</v>
      </c>
      <c r="D9" t="str">
        <v>MANDALAY</v>
      </c>
      <c r="K9" s="10" t="str">
        <v>NORDPACIFIC</v>
      </c>
      <c r="L9" s="11" t="str">
        <v>0RPEJS1MA</v>
      </c>
      <c r="M9" s="11" t="str">
        <v>0RPEKN1MA</v>
      </c>
      <c r="N9" s="11" t="str">
        <v>PAD</v>
      </c>
      <c r="O9" s="11" t="str">
        <v>PAD</v>
      </c>
      <c r="P9" s="11" t="str">
        <v>Bluff</v>
      </c>
      <c r="Q9" s="11">
        <v>45271.5</v>
      </c>
      <c r="R9" s="11">
        <v>45269.1875</v>
      </c>
      <c r="S9" s="11">
        <v>45269.916666666664</v>
      </c>
      <c r="T9" s="11" t="str">
        <v>Paita</v>
      </c>
      <c r="U9" s="11">
        <v>45264.5</v>
      </c>
      <c r="V9" s="11">
        <v>45267.1875</v>
      </c>
      <c r="W9" s="11">
        <v>45265.000694444447</v>
      </c>
      <c r="X9" s="11">
        <v>45268.625</v>
      </c>
      <c r="Y9" s="11">
        <v>45263</v>
      </c>
      <c r="Z9" s="11">
        <v>45268.5</v>
      </c>
      <c r="AA9" s="12">
        <v>7</v>
      </c>
      <c r="AD9" s="10">
        <v>3</v>
      </c>
      <c r="AE9" s="11"/>
      <c r="AF9" s="11"/>
      <c r="AG9" s="11"/>
      <c r="AH9" s="21" t="str">
        <v>SEATTLE EXPRESS</v>
      </c>
      <c r="AI9" s="21">
        <v>45267.236111111109</v>
      </c>
      <c r="AJ9" s="21">
        <v>45268</v>
      </c>
      <c r="AK9" s="21">
        <v>45265.5</v>
      </c>
      <c r="AL9" s="22">
        <v>45264.75</v>
      </c>
      <c r="AM9" s="11"/>
      <c r="AN9" s="11"/>
      <c r="AO9" s="10" t="s">
        <v>71</v>
      </c>
      <c r="AP9" s="12">
        <f>IF(AG8-5 &lt;AP11, AG8,AG8-5)</f>
        <v>7</v>
      </c>
      <c r="AQ9" s="11"/>
      <c r="AR9" s="11"/>
      <c r="AS9" s="11"/>
      <c r="AT9" s="11"/>
      <c r="AU9">
        <f>AU10-1</f>
        <v>8</v>
      </c>
      <c r="AV9" t="str" cm="1">
        <f t="array" ref="AV9:AV19">IFERROR(INDEX(Tauranga_Container_Terminal_Cargo_Schedule__Thursday_21_July_2022_11_13__Export[Vessel],Calculation!$AU$9):INDEX(Tauranga_Container_Terminal_Cargo_Schedule__Thursday_21_July_2022_11_13__Export[Vessel],Calculation!$AU$19)&amp;" "&amp;INDEX(Tauranga_Container_Terminal_Cargo_Schedule__Thursday_21_July_2022_11_13__Export[Outbound Voyage '#],Calculation!$AU$9):INDEX(Tauranga_Container_Terminal_Cargo_Schedule__Thursday_21_July_2022_11_13__Export[Outbound Voyage '#],Calculation!$AU$19),INDEX(Tauranga_Container_Terminal_Cargo_Schedule__Thursday_21_July_2022_11_13__Export[Vessel],AP16-10):INDEX(Tauranga_Container_Terminal_Cargo_Schedule__Thursday_21_July_2022_11_13__Export[Vessel],AP16)&amp;" "&amp;INDEX(Tauranga_Container_Terminal_Cargo_Schedule__Thursday_21_July_2022_11_13__Export[Outbound Voyage '#],AP16-10):INDEX(Tauranga_Container_Terminal_Cargo_Schedule__Thursday_21_July_2022_11_13__Export[Outbound Voyage '#],AP16))</f>
        <v>KOTA LUMBA 108N</v>
      </c>
      <c r="AW9" s="26" cm="1">
        <f t="array" ref="AW9:AW19">IFERROR(INDEX(Tauranga_Container_Terminal_Cargo_Schedule__Thursday_21_July_2022_11_13__Export[Current ETA],Calculation!$AU$9):INDEX(Tauranga_Container_Terminal_Cargo_Schedule__Thursday_21_July_2022_11_13__Export[Current ETA],Calculation!$AU$19),INDEX(Tauranga_Container_Terminal_Cargo_Schedule__Thursday_21_July_2022_11_13__Export[Current ETA],AP16-10):INDEX(Tauranga_Container_Terminal_Cargo_Schedule__Thursday_21_July_2022_11_13__Export[Current ETA],AP16))</f>
        <v>45270.229166666664</v>
      </c>
      <c r="AX9" s="26" cm="1">
        <f t="array" ref="AX9:AX19">IFERROR(INDEX(Tauranga_Container_Terminal_Cargo_Schedule__Thursday_21_July_2022_11_13__Export[Current ETD],Calculation!$AU$9):INDEX(Tauranga_Container_Terminal_Cargo_Schedule__Thursday_21_July_2022_11_13__Export[Current ETD],Calculation!$AU$19),INDEX(Tauranga_Container_Terminal_Cargo_Schedule__Thursday_21_July_2022_11_13__Export[Current ETD],AP16-10):INDEX(Tauranga_Container_Terminal_Cargo_Schedule__Thursday_21_July_2022_11_13__Export[Current ETD],AP16))</f>
        <v>45270.958333333336</v>
      </c>
      <c r="AY9" s="26" cm="1">
        <f t="array" ref="AY9:AY19">IFERROR(INDEX(Tauranga_Container_Terminal_Cargo_Schedule__Thursday_21_July_2022_11_13__Export[Tauranga Cut-Off],Calculation!$AU$9):INDEX(Tauranga_Container_Terminal_Cargo_Schedule__Thursday_21_July_2022_11_13__Export[Tauranga Cut-Off],Calculation!$AU$19),INDEX(Tauranga_Container_Terminal_Cargo_Schedule__Thursday_21_July_2022_11_13__Export[Tauranga Cut-Off],AP16-10):INDEX(Tauranga_Container_Terminal_Cargo_Schedule__Thursday_21_July_2022_11_13__Export[Tauranga Cut-Off],AP16))</f>
        <v>45268.708333333336</v>
      </c>
      <c r="AZ9" s="26" cm="1">
        <f t="array" ref="AZ9:AZ19">IFERROR(INDEX(Tauranga_Container_Terminal_Cargo_Schedule__Thursday_21_July_2022_11_13__Export[MetroPort Cut-Off],Calculation!$AU$9):INDEX(Tauranga_Container_Terminal_Cargo_Schedule__Thursday_21_July_2022_11_13__Export[MetroPort Cut-Off],Calculation!$AU$19),INDEX(Tauranga_Container_Terminal_Cargo_Schedule__Thursday_21_July_2022_11_13__Export[MetroPort Cut-Off],AP16-10):INDEX(Tauranga_Container_Terminal_Cargo_Schedule__Thursday_21_July_2022_11_13__Export[MetroPort Cut-Off],AP16))</f>
        <v>45268.708333333336</v>
      </c>
      <c r="BA9">
        <v>0.5</v>
      </c>
      <c r="BD9" t="str" cm="1">
        <f t="array" ref="BD9">INDEX(Tauranga_Container_Terminal_Cargo_Schedule__Thursday_21_July_2022_11_13__Export[Vessel],Calculation!$AF$8)&amp;" "&amp;INDEX(Tauranga_Container_Terminal_Cargo_Schedule__Thursday_21_July_2022_11_13__Export[Outbound Voyage '#],Calculation!$AF$8)</f>
        <v>CAP JACKSON 344N</v>
      </c>
      <c r="BE9" s="26" cm="1">
        <f t="array" ref="BE9">INDEX(Tauranga_Container_Terminal_Cargo_Schedule__Thursday_21_July_2022_11_13__Export[Current ETA],Calculation!$AF$8)</f>
        <v>45263.304166666669</v>
      </c>
      <c r="BF9" s="26" cm="1">
        <f t="array" ref="BF9">INDEX(Tauranga_Container_Terminal_Cargo_Schedule__Thursday_21_July_2022_11_13__Export[Current ETD],Calculation!$AF$8)</f>
        <v>45264.382638888892</v>
      </c>
      <c r="BG9" s="26"/>
    </row>
    <row r="10" spans="2:61" x14ac:dyDescent="0.3">
      <c r="B10" t="str">
        <v>FIJI</v>
      </c>
      <c r="D10" t="str">
        <v>NORDPACIFIC</v>
      </c>
      <c r="K10" s="10" t="str">
        <v>SEATRADE RED</v>
      </c>
      <c r="L10" s="11" t="str">
        <v>0RPELS1MA</v>
      </c>
      <c r="M10" s="11" t="str">
        <v>0RPEMN1MA</v>
      </c>
      <c r="N10" s="11" t="str">
        <v>PAD</v>
      </c>
      <c r="O10" s="11" t="str">
        <v>PAD</v>
      </c>
      <c r="P10" s="11" t="str">
        <v>Melbourne</v>
      </c>
      <c r="Q10" s="11">
        <v>45275.208333333336</v>
      </c>
      <c r="R10" s="11">
        <v>45275.208333333336</v>
      </c>
      <c r="S10" s="11">
        <v>45276</v>
      </c>
      <c r="T10" s="11" t="str">
        <v>Paita</v>
      </c>
      <c r="U10" s="11">
        <v>45268.208333333336</v>
      </c>
      <c r="V10" s="11">
        <v>45273.208333333336</v>
      </c>
      <c r="W10" s="11">
        <v>45269.000694444447</v>
      </c>
      <c r="X10" s="11">
        <v>45273.625</v>
      </c>
      <c r="Y10" s="11">
        <v>45271</v>
      </c>
      <c r="Z10" s="11">
        <v>45273.5</v>
      </c>
      <c r="AA10" s="12">
        <v>13</v>
      </c>
      <c r="AD10" s="10">
        <v>7</v>
      </c>
      <c r="AE10" s="11"/>
      <c r="AF10" s="11"/>
      <c r="AG10" s="11"/>
      <c r="AH10" s="21" t="str">
        <v>MAJESTIC</v>
      </c>
      <c r="AI10" s="21">
        <v>45264.227083333331</v>
      </c>
      <c r="AJ10" s="21">
        <v>45264.845138888886</v>
      </c>
      <c r="AK10" s="21">
        <v>45261.625</v>
      </c>
      <c r="AL10" s="22">
        <v>45256.291666666664</v>
      </c>
      <c r="AM10" s="11"/>
      <c r="AN10" s="11"/>
      <c r="AO10" s="10" t="s">
        <v>72</v>
      </c>
      <c r="AP10" s="12">
        <v>1</v>
      </c>
      <c r="AQ10" s="11"/>
      <c r="AR10" s="11"/>
      <c r="AS10" s="11"/>
      <c r="AT10" s="11"/>
      <c r="AU10">
        <f>AU11-1</f>
        <v>9</v>
      </c>
      <c r="AV10" t="str">
        <v>NORFOLK 110</v>
      </c>
      <c r="AW10" s="26">
        <v>45271</v>
      </c>
      <c r="AX10" s="26">
        <v>45271.739583333336</v>
      </c>
      <c r="AY10" s="26">
        <v>45268.625</v>
      </c>
      <c r="AZ10" s="26">
        <v>45268.500694444447</v>
      </c>
      <c r="BA10">
        <v>1.5</v>
      </c>
      <c r="BD10" t="str" cm="1">
        <f t="array" ref="BD10">INDEX(Tauranga_Container_Terminal_Cargo_Schedule__Thursday_21_July_2022_11_13__Export[Vessel],Calculation!$AG$8)&amp;" "&amp;INDEX(Tauranga_Container_Terminal_Cargo_Schedule__Thursday_21_July_2022_11_13__Export[Outbound Voyage '#],Calculation!$AG$8)</f>
        <v>NORDPACIFIC 0RPEKN1MA</v>
      </c>
      <c r="BE10" s="26" cm="1">
        <f t="array" ref="BE10">INDEX(Tauranga_Container_Terminal_Cargo_Schedule__Thursday_21_July_2022_11_13__Export[Current ETA],Calculation!$AG$8)</f>
        <v>45269.1875</v>
      </c>
      <c r="BF10" s="26" cm="1">
        <f t="array" ref="BF10">INDEX(Tauranga_Container_Terminal_Cargo_Schedule__Thursday_21_July_2022_11_13__Export[Current ETD],Calculation!$AG$8)</f>
        <v>45269.916666666664</v>
      </c>
      <c r="BG10" s="26"/>
    </row>
    <row r="11" spans="2:61" x14ac:dyDescent="0.3">
      <c r="B11" t="str">
        <v>KIX</v>
      </c>
      <c r="D11" t="str">
        <v>SEATRADE ORANGE</v>
      </c>
      <c r="K11" s="10" t="str">
        <v>MANDALAY</v>
      </c>
      <c r="L11" s="11" t="str">
        <v>0RPENS1MA</v>
      </c>
      <c r="M11" s="11" t="str">
        <v>0RPEON1MA</v>
      </c>
      <c r="N11" s="11" t="str">
        <v>PAD</v>
      </c>
      <c r="O11" s="11" t="str">
        <v>PAD</v>
      </c>
      <c r="P11" s="11" t="str">
        <v>Sydney</v>
      </c>
      <c r="Q11" s="11">
        <v>45283.833333333336</v>
      </c>
      <c r="R11" s="11">
        <v>45283.854166666664</v>
      </c>
      <c r="S11" s="11">
        <v>45284.5625</v>
      </c>
      <c r="T11" s="11" t="str">
        <v>Paita</v>
      </c>
      <c r="U11" s="11">
        <v>45276.833333333336</v>
      </c>
      <c r="V11" s="11">
        <v>45281.854166666664</v>
      </c>
      <c r="W11" s="11">
        <v>45277.000694444447</v>
      </c>
      <c r="X11" s="11">
        <v>45281.625</v>
      </c>
      <c r="Y11" s="11">
        <v>45275.333333333336</v>
      </c>
      <c r="Z11" s="11">
        <v>45281.333333333336</v>
      </c>
      <c r="AA11" s="12">
        <v>22</v>
      </c>
      <c r="AD11" s="10">
        <v>13</v>
      </c>
      <c r="AE11" s="11"/>
      <c r="AF11" s="11"/>
      <c r="AG11" s="11"/>
      <c r="AH11" s="21" t="str">
        <v>CONTSHIP WIN</v>
      </c>
      <c r="AI11" s="21">
        <v>45264.445833333331</v>
      </c>
      <c r="AJ11" s="21">
        <v>45265.119444444441</v>
      </c>
      <c r="AK11" s="21">
        <v>45262.625</v>
      </c>
      <c r="AL11" s="22">
        <v>45262</v>
      </c>
      <c r="AM11" s="11"/>
      <c r="AN11" s="11"/>
      <c r="AO11" s="13" t="s">
        <v>73</v>
      </c>
      <c r="AP11" s="15">
        <f>AA45</f>
        <v>3</v>
      </c>
      <c r="AQ11" s="11"/>
      <c r="AR11" s="11"/>
      <c r="AS11" s="11"/>
      <c r="AT11" s="11"/>
      <c r="AU11">
        <f>AU12-1</f>
        <v>10</v>
      </c>
      <c r="AV11" t="str">
        <v>ANL TASMAN TRADER 2332</v>
      </c>
      <c r="AW11" s="26">
        <v>45271.270833333336</v>
      </c>
      <c r="AX11" s="26">
        <v>45271.895833333336</v>
      </c>
      <c r="AY11" s="26">
        <v>45269.625</v>
      </c>
      <c r="AZ11" s="26">
        <v>45266.5</v>
      </c>
      <c r="BA11">
        <v>2.5</v>
      </c>
      <c r="BD11" t="str" cm="1">
        <f t="array" ref="BD11">INDEX(Tauranga_Container_Terminal_Cargo_Schedule__Thursday_21_July_2022_11_13__Export[Vessel],Calculation!AP11)&amp;" "&amp;INDEX(Tauranga_Container_Terminal_Cargo_Schedule__Thursday_21_July_2022_11_13__Export[Outbound Voyage '#],Calculation!AP11)</f>
        <v>MAJESTIC 0RPEIN1MA</v>
      </c>
      <c r="BE11" cm="1">
        <f t="array" ref="BE11">INDEX(Tauranga_Container_Terminal_Cargo_Schedule__Thursday_21_July_2022_11_13__Export[Current ETA],Calculation!AP11)</f>
        <v>45264.227083333331</v>
      </c>
      <c r="BF11" cm="1">
        <f t="array" ref="BF11">INDEX(Tauranga_Container_Terminal_Cargo_Schedule__Thursday_21_July_2022_11_13__Export[Current ETD],Calculation!AP11)</f>
        <v>45264.845138888886</v>
      </c>
    </row>
    <row r="12" spans="2:61" x14ac:dyDescent="0.3">
      <c r="B12" t="str">
        <v>PACIFIC2</v>
      </c>
      <c r="D12" t="str">
        <v>SEATRADE RED</v>
      </c>
      <c r="K12" s="10" t="str">
        <v>SEATRADE ORANGE</v>
      </c>
      <c r="L12" s="11" t="str">
        <v>0RPEPS1MA</v>
      </c>
      <c r="M12" s="11" t="str">
        <v>0RPEQN1MA</v>
      </c>
      <c r="N12" s="11" t="str">
        <v>PAD</v>
      </c>
      <c r="O12" s="11" t="str">
        <v>PAD</v>
      </c>
      <c r="P12" s="11" t="str">
        <v>Bluff</v>
      </c>
      <c r="Q12" s="11">
        <v>45293.5</v>
      </c>
      <c r="R12" s="11">
        <v>45293.083333333336</v>
      </c>
      <c r="S12" s="11">
        <v>45294.125</v>
      </c>
      <c r="T12" s="11" t="str">
        <v>Paita</v>
      </c>
      <c r="U12" s="11">
        <v>45286.5</v>
      </c>
      <c r="V12" s="11">
        <v>45291.083333333336</v>
      </c>
      <c r="W12" s="11">
        <v>45287.000694444447</v>
      </c>
      <c r="X12" s="11">
        <v>45291.625</v>
      </c>
      <c r="Y12" s="11">
        <v>45285</v>
      </c>
      <c r="Z12" s="11">
        <v>45291</v>
      </c>
      <c r="AA12" s="12">
        <v>32</v>
      </c>
      <c r="AD12" s="10">
        <v>22</v>
      </c>
      <c r="AE12" s="11"/>
      <c r="AF12" s="11"/>
      <c r="AG12" s="11"/>
      <c r="AH12" s="21" t="str">
        <v>TIANJIN BRIDGE</v>
      </c>
      <c r="AI12" s="21">
        <v>45266.06527777778</v>
      </c>
      <c r="AJ12" s="21">
        <v>45267.150694444441</v>
      </c>
      <c r="AK12" s="21">
        <v>45263.625</v>
      </c>
      <c r="AL12" s="22">
        <v>45263.25</v>
      </c>
      <c r="AM12" s="11"/>
      <c r="AN12" s="11"/>
      <c r="AO12" s="11"/>
      <c r="AP12" s="11"/>
      <c r="AQ12" s="11"/>
      <c r="AR12" s="11"/>
      <c r="AS12" s="11"/>
      <c r="AT12" s="11"/>
      <c r="AU12">
        <f>AU13-1</f>
        <v>11</v>
      </c>
      <c r="AV12" t="str">
        <v>CAPITAINE BARET 023N</v>
      </c>
      <c r="AW12" s="26">
        <v>45271.291666666664</v>
      </c>
      <c r="AX12" s="26">
        <v>45271.854166666664</v>
      </c>
      <c r="AY12" s="26">
        <v>45270.5</v>
      </c>
      <c r="AZ12" s="26">
        <v>45266.333333333336</v>
      </c>
      <c r="BA12">
        <v>3.5</v>
      </c>
    </row>
    <row r="13" spans="2:61" x14ac:dyDescent="0.3">
      <c r="B13" t="str">
        <v>PAD</v>
      </c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2"/>
      <c r="AD13" s="10">
        <v>32</v>
      </c>
      <c r="AE13" s="11"/>
      <c r="AF13" s="11"/>
      <c r="AG13" s="11"/>
      <c r="AH13" s="21" t="str">
        <v>TAKUTAI CHIEF</v>
      </c>
      <c r="AI13" s="21">
        <v>45268.770833333336</v>
      </c>
      <c r="AJ13" s="21">
        <v>45269.375</v>
      </c>
      <c r="AK13" s="21">
        <v>45267.708333333336</v>
      </c>
      <c r="AL13" s="22">
        <v>45266.770833333336</v>
      </c>
      <c r="AM13" s="11"/>
      <c r="AN13" s="11"/>
      <c r="AO13" s="11"/>
      <c r="AP13" s="11"/>
      <c r="AQ13" s="11"/>
      <c r="AR13" s="11"/>
      <c r="AS13" s="11"/>
      <c r="AT13" s="11"/>
      <c r="AU13">
        <f>AU14-1</f>
        <v>12</v>
      </c>
      <c r="AV13" t="str">
        <v>KETA 2328</v>
      </c>
      <c r="AW13" s="26">
        <v>45272.552083333336</v>
      </c>
      <c r="AX13" s="26">
        <v>45273.333333333336</v>
      </c>
      <c r="AY13" s="26">
        <v>45270.625</v>
      </c>
      <c r="AZ13" s="26">
        <v>45269.208333333336</v>
      </c>
      <c r="BA13">
        <v>4.5</v>
      </c>
    </row>
    <row r="14" spans="2:61" x14ac:dyDescent="0.3">
      <c r="B14" t="str">
        <v>PCX</v>
      </c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2"/>
      <c r="AD14" s="10">
        <v>34</v>
      </c>
      <c r="AE14" s="11"/>
      <c r="AF14" s="11"/>
      <c r="AG14" s="11"/>
      <c r="AH14" s="21" t="str">
        <v>NORDPACIFIC</v>
      </c>
      <c r="AI14" s="21">
        <v>45269.1875</v>
      </c>
      <c r="AJ14" s="21">
        <v>45269.916666666664</v>
      </c>
      <c r="AK14" s="21">
        <v>45268.625</v>
      </c>
      <c r="AL14" s="22">
        <v>45268.5</v>
      </c>
      <c r="AM14" s="11"/>
      <c r="AN14" s="11"/>
      <c r="AO14" s="11"/>
      <c r="AP14" s="11"/>
      <c r="AQ14" s="11"/>
      <c r="AR14" s="11"/>
      <c r="AS14" s="11"/>
      <c r="AT14" s="11"/>
      <c r="AU14">
        <v>13</v>
      </c>
      <c r="AV14" t="str">
        <v>SEATRADE RED 0RPEMN1MA</v>
      </c>
      <c r="AW14" s="26">
        <v>45275.208333333336</v>
      </c>
      <c r="AX14" s="26">
        <v>45276</v>
      </c>
      <c r="AY14" s="26">
        <v>45273.625</v>
      </c>
      <c r="AZ14" s="26">
        <v>45273.5</v>
      </c>
      <c r="BA14">
        <v>5.5</v>
      </c>
    </row>
    <row r="15" spans="2:61" x14ac:dyDescent="0.3">
      <c r="B15" t="str">
        <v>TRANSTAZ</v>
      </c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2"/>
      <c r="AD15" s="10"/>
      <c r="AE15" s="11"/>
      <c r="AF15" s="11"/>
      <c r="AG15" s="11"/>
      <c r="AH15" s="21"/>
      <c r="AI15" s="21"/>
      <c r="AJ15" s="21"/>
      <c r="AK15" s="21"/>
      <c r="AL15" s="22"/>
      <c r="AM15" s="11"/>
      <c r="AN15" s="11"/>
      <c r="AO15" s="11"/>
      <c r="AP15" s="23"/>
      <c r="AQ15" s="11"/>
      <c r="AR15" s="11"/>
      <c r="AS15" s="11"/>
      <c r="AT15" s="11"/>
      <c r="AU15">
        <f>AU14+1</f>
        <v>14</v>
      </c>
      <c r="AV15" t="str">
        <v>TAKUTAI CHIEF 0128</v>
      </c>
      <c r="AW15" s="26">
        <v>45276.166666666664</v>
      </c>
      <c r="AX15" s="26">
        <v>45276.875</v>
      </c>
      <c r="AY15" s="26">
        <v>45274.708333333336</v>
      </c>
      <c r="AZ15" s="26">
        <v>45274.166666666664</v>
      </c>
      <c r="BA15">
        <v>6.5</v>
      </c>
      <c r="BD15" t="s">
        <v>75</v>
      </c>
      <c r="BE15" t="s">
        <v>77</v>
      </c>
      <c r="BF15" t="s">
        <v>76</v>
      </c>
    </row>
    <row r="16" spans="2:61" x14ac:dyDescent="0.3"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2"/>
      <c r="AD16" s="10"/>
      <c r="AE16" s="11"/>
      <c r="AF16" s="11"/>
      <c r="AG16" s="11"/>
      <c r="AH16" s="21"/>
      <c r="AI16" s="21"/>
      <c r="AJ16" s="21"/>
      <c r="AK16" s="21"/>
      <c r="AL16" s="22"/>
      <c r="AM16" s="11"/>
      <c r="AN16" s="11"/>
      <c r="AO16" s="11" t="s">
        <v>94</v>
      </c>
      <c r="AP16" s="11">
        <f>MAX(Tauranga_Container_Terminal_Cargo_Schedule__Thursday_21_July_2022_11_13__Export[Index])</f>
        <v>34</v>
      </c>
      <c r="AQ16" s="11"/>
      <c r="AR16" s="11"/>
      <c r="AS16" s="11"/>
      <c r="AT16" s="11"/>
      <c r="AU16">
        <f>AU15+1</f>
        <v>15</v>
      </c>
      <c r="AV16" t="str">
        <v>LOUISE 440N</v>
      </c>
      <c r="AW16" s="26">
        <v>45277.291666666664</v>
      </c>
      <c r="AX16" s="26">
        <v>45277.958333333336</v>
      </c>
      <c r="AY16" s="26">
        <v>45275.625</v>
      </c>
      <c r="AZ16" s="26">
        <v>45274.791666666664</v>
      </c>
      <c r="BA16">
        <v>7.5</v>
      </c>
      <c r="BD16" t="str" cm="1">
        <f t="array" ref="BD16">INDEX(Tauranga_Container_Terminal_Cargo_Schedule__Thursday_21_July_2022_11_13__Export[Vessel],Calculation!$AF$8)&amp;" "&amp;INDEX(Tauranga_Container_Terminal_Cargo_Schedule__Thursday_21_July_2022_11_13__Export[Outbound Voyage '#],Calculation!$AF$8)</f>
        <v>CAP JACKSON 344N</v>
      </c>
      <c r="BE16" s="27" cm="1">
        <f t="array" ref="BE16">INDEX(Tauranga_Container_Terminal_Cargo_Schedule__Thursday_21_July_2022_11_13__Export[Current ETA],Calculation!$AF$8)-AW22</f>
        <v>-3.8208333333313931</v>
      </c>
      <c r="BF16" s="27" cm="1">
        <f t="array" ref="BF16">INDEX(Tauranga_Container_Terminal_Cargo_Schedule__Thursday_21_July_2022_11_13__Export[Current ETD],Calculation!$AF$8)-AW22</f>
        <v>-2.742361111108039</v>
      </c>
      <c r="BG16" t="e">
        <f>MATCH(BD16,_xlfn.ANCHORARRAY(AV9),0)-0.5</f>
        <v>#N/A</v>
      </c>
      <c r="BI16" s="27">
        <f>BF16-BE16</f>
        <v>1.078472222223354</v>
      </c>
    </row>
    <row r="17" spans="11:61" x14ac:dyDescent="0.3"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2"/>
      <c r="AD17" s="10"/>
      <c r="AE17" s="11"/>
      <c r="AF17" s="11"/>
      <c r="AG17" s="11"/>
      <c r="AH17" s="21"/>
      <c r="AI17" s="21"/>
      <c r="AJ17" s="21"/>
      <c r="AK17" s="21"/>
      <c r="AL17" s="22"/>
      <c r="AM17" s="11"/>
      <c r="AN17" s="11"/>
      <c r="AO17" s="11"/>
      <c r="AP17" s="11"/>
      <c r="AQ17" s="11"/>
      <c r="AR17" s="11"/>
      <c r="AS17" s="11"/>
      <c r="AT17" s="11"/>
      <c r="AU17">
        <f>AU16+1</f>
        <v>16</v>
      </c>
      <c r="AV17" t="str">
        <v>CONTSHIP WIN 2334</v>
      </c>
      <c r="AW17" s="26">
        <v>45278.25</v>
      </c>
      <c r="AX17" s="26">
        <v>45278.875</v>
      </c>
      <c r="AY17" s="26">
        <v>45276.625</v>
      </c>
      <c r="AZ17" s="26">
        <v>45275.708333333336</v>
      </c>
      <c r="BA17">
        <v>8.5</v>
      </c>
      <c r="BD17" t="str" cm="1">
        <f t="array" ref="BD17">INDEX(Tauranga_Container_Terminal_Cargo_Schedule__Thursday_21_July_2022_11_13__Export[Vessel],Calculation!$AG$8)&amp;" "&amp;INDEX(Tauranga_Container_Terminal_Cargo_Schedule__Thursday_21_July_2022_11_13__Export[Outbound Voyage '#],Calculation!$AG$8)</f>
        <v>NORDPACIFIC 0RPEKN1MA</v>
      </c>
      <c r="BE17" s="27" cm="1">
        <f t="array" ref="BE17">INDEX(Tauranga_Container_Terminal_Cargo_Schedule__Thursday_21_July_2022_11_13__Export[Current ETA],Calculation!$AG$8)-AW22</f>
        <v>2.0625</v>
      </c>
      <c r="BF17" s="27" cm="1">
        <f t="array" ref="BF17">INDEX(Tauranga_Container_Terminal_Cargo_Schedule__Thursday_21_July_2022_11_13__Export[Current ETD],Calculation!$AG$8)-AW22</f>
        <v>2.7916666666642413</v>
      </c>
      <c r="BG17" t="e">
        <f>MATCH(BD17,_xlfn.ANCHORARRAY(AV9),0)-0.5</f>
        <v>#N/A</v>
      </c>
      <c r="BI17" s="27">
        <f>BF17-BE17</f>
        <v>0.72916666666424135</v>
      </c>
    </row>
    <row r="18" spans="11:61" x14ac:dyDescent="0.3"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2"/>
      <c r="AD18" s="10"/>
      <c r="AE18" s="11"/>
      <c r="AF18" s="11"/>
      <c r="AG18" s="11"/>
      <c r="AH18" s="21"/>
      <c r="AI18" s="21"/>
      <c r="AJ18" s="21"/>
      <c r="AK18" s="21"/>
      <c r="AL18" s="22"/>
      <c r="AM18" s="11"/>
      <c r="AN18" s="11"/>
      <c r="AO18" s="11"/>
      <c r="AP18" s="11"/>
      <c r="AQ18" s="11"/>
      <c r="AR18" s="11"/>
      <c r="AS18" s="11"/>
      <c r="AT18" s="11"/>
      <c r="AU18">
        <f>AU17+1</f>
        <v>17</v>
      </c>
      <c r="AV18" t="str">
        <v>ROTTERDAM BRIDGE 476N</v>
      </c>
      <c r="AW18" s="26">
        <v>45281.041666666664</v>
      </c>
      <c r="AX18" s="26">
        <v>45281.5625</v>
      </c>
      <c r="AY18" s="26">
        <v>45278.041666666664</v>
      </c>
      <c r="AZ18" s="26">
        <v>45278.791666666664</v>
      </c>
      <c r="BA18">
        <v>9.5</v>
      </c>
      <c r="BD18" t="str" cm="1">
        <f t="array" ref="BD18">INDEX(Tauranga_Container_Terminal_Cargo_Schedule__Thursday_21_July_2022_11_13__Export[Vessel],Calculation!AP11)&amp;" "&amp;INDEX(Tauranga_Container_Terminal_Cargo_Schedule__Thursday_21_July_2022_11_13__Export[Outbound Voyage '#],Calculation!AP11)</f>
        <v>MAJESTIC 0RPEIN1MA</v>
      </c>
      <c r="BE18" s="1">
        <f>BE11-AW22</f>
        <v>-2.8979166666686069</v>
      </c>
      <c r="BF18" s="1">
        <f>BF11-AW22</f>
        <v>-2.2798611111138598</v>
      </c>
      <c r="BG18" t="e">
        <f>MATCH(BD18,_xlfn.ANCHORARRAY(AV9),0)-0.5</f>
        <v>#N/A</v>
      </c>
      <c r="BI18" s="27">
        <f>BF18-BE18</f>
        <v>0.61805555555474712</v>
      </c>
    </row>
    <row r="19" spans="11:61" x14ac:dyDescent="0.3"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2"/>
      <c r="AD19" s="10"/>
      <c r="AE19" s="11"/>
      <c r="AF19" s="11"/>
      <c r="AG19" s="11"/>
      <c r="AH19" s="21"/>
      <c r="AI19" s="21"/>
      <c r="AJ19" s="21"/>
      <c r="AK19" s="21"/>
      <c r="AL19" s="22"/>
      <c r="AM19" s="11"/>
      <c r="AN19" s="11"/>
      <c r="AO19" s="11"/>
      <c r="AP19" s="11"/>
      <c r="AQ19" s="11"/>
      <c r="AR19" s="11"/>
      <c r="AS19" s="11"/>
      <c r="AT19" s="11"/>
      <c r="AU19">
        <f>AU18+1</f>
        <v>18</v>
      </c>
      <c r="AV19" t="str">
        <v>CMA CGM DUTCH HARBOR 346N</v>
      </c>
      <c r="AW19" s="26">
        <v>45281.458333333336</v>
      </c>
      <c r="AX19" s="26">
        <v>45282.333333333336</v>
      </c>
      <c r="AY19" s="26">
        <v>45278.625</v>
      </c>
      <c r="AZ19" s="26">
        <v>45277.500694444447</v>
      </c>
      <c r="BA19">
        <v>10.5</v>
      </c>
    </row>
    <row r="20" spans="11:61" x14ac:dyDescent="0.3"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2"/>
      <c r="AD20" s="10"/>
      <c r="AE20" s="11"/>
      <c r="AF20" s="11"/>
      <c r="AG20" s="11"/>
      <c r="AH20" s="21"/>
      <c r="AI20" s="21"/>
      <c r="AJ20" s="21"/>
      <c r="AK20" s="21"/>
      <c r="AL20" s="22"/>
      <c r="AM20" s="11"/>
      <c r="AN20" s="11"/>
      <c r="AO20" s="11"/>
      <c r="AP20" s="11"/>
      <c r="AQ20" s="11"/>
      <c r="AR20" s="11"/>
      <c r="AS20" s="11"/>
      <c r="AT20" s="11"/>
    </row>
    <row r="21" spans="11:61" x14ac:dyDescent="0.3"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2"/>
      <c r="AD21" s="10"/>
      <c r="AE21" s="11"/>
      <c r="AF21" s="11"/>
      <c r="AG21" s="11"/>
      <c r="AH21" s="21"/>
      <c r="AI21" s="21"/>
      <c r="AJ21" s="21"/>
      <c r="AK21" s="21"/>
      <c r="AL21" s="22"/>
      <c r="AM21" s="11"/>
      <c r="AN21" s="11"/>
      <c r="AO21" s="11"/>
      <c r="AP21" s="11"/>
      <c r="AQ21" s="11"/>
      <c r="AR21" s="11"/>
      <c r="AS21" s="11"/>
      <c r="AT21" s="11"/>
    </row>
    <row r="22" spans="11:61" x14ac:dyDescent="0.3"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2"/>
      <c r="AD22" s="10"/>
      <c r="AE22" s="11"/>
      <c r="AF22" s="11"/>
      <c r="AG22" s="11"/>
      <c r="AH22" s="21"/>
      <c r="AI22" s="21"/>
      <c r="AJ22" s="21"/>
      <c r="AK22" s="21"/>
      <c r="AL22" s="22"/>
      <c r="AM22" s="11"/>
      <c r="AN22" s="11"/>
      <c r="AO22" s="11"/>
      <c r="AP22" s="11"/>
      <c r="AQ22" s="11"/>
      <c r="AR22" s="11"/>
      <c r="AS22" s="11"/>
      <c r="AT22" s="11"/>
      <c r="AV22" t="s">
        <v>70</v>
      </c>
      <c r="AW22" s="2">
        <f>MIN(AW9:AY19)-1.5</f>
        <v>45267.125</v>
      </c>
    </row>
    <row r="23" spans="11:61" x14ac:dyDescent="0.3"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2"/>
      <c r="AD23" s="10"/>
      <c r="AE23" s="11"/>
      <c r="AF23" s="11"/>
      <c r="AG23" s="11"/>
      <c r="AH23" s="21"/>
      <c r="AI23" s="21"/>
      <c r="AJ23" s="21"/>
      <c r="AK23" s="21"/>
      <c r="AL23" s="22"/>
      <c r="AM23" s="11"/>
      <c r="AN23" s="11"/>
      <c r="AO23" s="11"/>
      <c r="AP23" s="11"/>
      <c r="AQ23" s="11"/>
      <c r="AR23" s="11"/>
      <c r="AS23" s="11"/>
      <c r="AT23" s="11"/>
    </row>
    <row r="24" spans="11:61" x14ac:dyDescent="0.3"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2"/>
      <c r="AD24" s="10"/>
      <c r="AE24" s="11"/>
      <c r="AF24" s="11"/>
      <c r="AG24" s="11"/>
      <c r="AH24" s="11"/>
      <c r="AI24" s="11"/>
      <c r="AJ24" s="11"/>
      <c r="AK24" s="11"/>
      <c r="AL24" s="12"/>
      <c r="AM24" s="11"/>
      <c r="AN24" s="11"/>
      <c r="AO24" s="11"/>
      <c r="AP24" s="11"/>
      <c r="AQ24" s="11"/>
      <c r="AR24" s="11"/>
      <c r="AS24" s="11"/>
      <c r="AT24" s="11"/>
    </row>
    <row r="25" spans="11:61" x14ac:dyDescent="0.3">
      <c r="K25" s="1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5"/>
      <c r="AD25" s="10"/>
      <c r="AE25" s="11"/>
      <c r="AF25" s="11"/>
      <c r="AG25" s="11"/>
      <c r="AH25" s="11"/>
      <c r="AI25" s="11"/>
      <c r="AJ25" s="11"/>
      <c r="AK25" s="11"/>
      <c r="AL25" s="12"/>
      <c r="AM25" s="11"/>
      <c r="AN25" s="11"/>
      <c r="AO25" s="11"/>
      <c r="AP25" s="11"/>
      <c r="AQ25" s="11"/>
      <c r="AR25" s="11"/>
      <c r="AS25" s="11"/>
      <c r="AT25" s="11"/>
    </row>
    <row r="26" spans="11:61" x14ac:dyDescent="0.3">
      <c r="Z26" s="17" t="s">
        <v>53</v>
      </c>
      <c r="AA26" s="17">
        <f>MAX(Tauranga_Container_Terminal_Cargo_Schedule__Thursday_21_July_2022_11_13__Export[Index])</f>
        <v>34</v>
      </c>
      <c r="AD26" s="10"/>
      <c r="AE26" s="11"/>
      <c r="AF26" s="11"/>
      <c r="AG26" s="11"/>
      <c r="AH26" s="11"/>
      <c r="AI26" s="11"/>
      <c r="AJ26" s="11"/>
      <c r="AK26" s="11"/>
      <c r="AL26" s="12"/>
      <c r="AM26" s="11"/>
      <c r="AN26" s="11"/>
      <c r="AO26" s="11"/>
      <c r="AP26" s="11"/>
      <c r="AQ26" s="11"/>
      <c r="AR26" s="11"/>
      <c r="AS26" s="11"/>
      <c r="AT26" s="11"/>
      <c r="AV26" t="s">
        <v>74</v>
      </c>
      <c r="AW26" t="s">
        <v>58</v>
      </c>
      <c r="AX26" t="s">
        <v>59</v>
      </c>
      <c r="AY26" t="s">
        <v>61</v>
      </c>
      <c r="AZ26" t="s">
        <v>62</v>
      </c>
    </row>
    <row r="27" spans="11:61" x14ac:dyDescent="0.3">
      <c r="AD27" s="10"/>
      <c r="AE27" s="11"/>
      <c r="AF27" s="11"/>
      <c r="AG27" s="11"/>
      <c r="AH27" s="11"/>
      <c r="AI27" s="11"/>
      <c r="AJ27" s="11"/>
      <c r="AK27" s="11"/>
      <c r="AL27" s="12"/>
      <c r="AM27" s="11"/>
      <c r="AN27" s="11"/>
      <c r="AO27" s="11"/>
      <c r="AP27" s="11"/>
      <c r="AQ27" s="11"/>
      <c r="AR27" s="11"/>
      <c r="AS27" s="11"/>
      <c r="AT27" s="11"/>
      <c r="AV27" t="str" cm="1">
        <f t="array" ref="AV27:AV37">IFERROR(INDEX(Tauranga_Container_Terminal_Cargo_Schedule__Thursday_21_July_2022_11_13__Export[Vessel],Calculation!$AU$9):INDEX(Tauranga_Container_Terminal_Cargo_Schedule__Thursday_21_July_2022_11_13__Export[Vessel],Calculation!$AU$19)&amp;" "&amp;INDEX(Tauranga_Container_Terminal_Cargo_Schedule__Thursday_21_July_2022_11_13__Export[Outbound Voyage '#],Calculation!$AU$9):INDEX(Tauranga_Container_Terminal_Cargo_Schedule__Thursday_21_July_2022_11_13__Export[Outbound Voyage '#],Calculation!$AU$19),INDEX(Tauranga_Container_Terminal_Cargo_Schedule__Thursday_21_July_2022_11_13__Export[Vessel],AP16-10):INDEX(Tauranga_Container_Terminal_Cargo_Schedule__Thursday_21_July_2022_11_13__Export[Vessel],AP16)&amp;" "&amp;INDEX(Tauranga_Container_Terminal_Cargo_Schedule__Thursday_21_July_2022_11_13__Export[Outbound Voyage '#],AP16-10):INDEX(Tauranga_Container_Terminal_Cargo_Schedule__Thursday_21_July_2022_11_13__Export[Outbound Voyage '#],AP16))</f>
        <v>KOTA LUMBA 108N</v>
      </c>
      <c r="AW27" s="1" cm="1">
        <f t="array" ref="AW27:AW37">IFERROR(INDEX(Tauranga_Container_Terminal_Cargo_Schedule__Thursday_21_July_2022_11_13__Export[Current ETA],Calculation!$AU$9):INDEX(Tauranga_Container_Terminal_Cargo_Schedule__Thursday_21_July_2022_11_13__Export[Current ETA],Calculation!$AU$19),INDEX(Tauranga_Container_Terminal_Cargo_Schedule__Thursday_21_July_2022_11_13__Export[Current ETA],AP16-10):INDEX(Tauranga_Container_Terminal_Cargo_Schedule__Thursday_21_July_2022_11_13__Export[Current ETA],AP16))-AW22</f>
        <v>3.1041666666642413</v>
      </c>
      <c r="AX27" s="1" cm="1">
        <f t="array" ref="AX27:AX37">IFERROR(INDEX(Tauranga_Container_Terminal_Cargo_Schedule__Thursday_21_July_2022_11_13__Export[Current ETD],Calculation!$AU$9):INDEX(Tauranga_Container_Terminal_Cargo_Schedule__Thursday_21_July_2022_11_13__Export[Current ETD],Calculation!$AU$19),INDEX(Tauranga_Container_Terminal_Cargo_Schedule__Thursday_21_July_2022_11_13__Export[Current ETD],AP16-10):INDEX(Tauranga_Container_Terminal_Cargo_Schedule__Thursday_21_July_2022_11_13__Export[Current ETD],AP16))-AW22</f>
        <v>3.8333333333357587</v>
      </c>
      <c r="AY27" s="1" cm="1">
        <f t="array" ref="AY27:AY37">IFERROR(INDEX(Tauranga_Container_Terminal_Cargo_Schedule__Thursday_21_July_2022_11_13__Export[Tauranga Cut-Off],Calculation!$AU$9):INDEX(Tauranga_Container_Terminal_Cargo_Schedule__Thursday_21_July_2022_11_13__Export[Tauranga Cut-Off],Calculation!$AU$19),INDEX(Tauranga_Container_Terminal_Cargo_Schedule__Thursday_21_July_2022_11_13__Export[Tauranga Cut-Off],AP16-10):INDEX(Tauranga_Container_Terminal_Cargo_Schedule__Thursday_21_July_2022_11_13__Export[Tauranga Cut-Off],AP16))-AW22</f>
        <v>1.5833333333357587</v>
      </c>
      <c r="AZ27" s="1" cm="1">
        <f t="array" ref="AZ27:AZ37">IFERROR(INDEX(Tauranga_Container_Terminal_Cargo_Schedule__Thursday_21_July_2022_11_13__Export[MetroPort Cut-Off],Calculation!$AU$9):INDEX(Tauranga_Container_Terminal_Cargo_Schedule__Thursday_21_July_2022_11_13__Export[MetroPort Cut-Off],Calculation!$AU$19),INDEX(Tauranga_Container_Terminal_Cargo_Schedule__Thursday_21_July_2022_11_13__Export[MetroPort Cut-Off],AP16-10):INDEX(Tauranga_Container_Terminal_Cargo_Schedule__Thursday_21_July_2022_11_13__Export[MetroPort Cut-Off],AP16))-AW22</f>
        <v>1.5833333333357587</v>
      </c>
      <c r="BA27">
        <v>0.5</v>
      </c>
    </row>
    <row r="28" spans="11:61" x14ac:dyDescent="0.3">
      <c r="AD28" s="10"/>
      <c r="AE28" s="11"/>
      <c r="AF28" s="11"/>
      <c r="AG28" s="11"/>
      <c r="AH28" s="11"/>
      <c r="AI28" s="11"/>
      <c r="AJ28" s="11"/>
      <c r="AK28" s="11"/>
      <c r="AL28" s="12"/>
      <c r="AM28" s="11"/>
      <c r="AN28" s="11"/>
      <c r="AO28" s="11"/>
      <c r="AP28" s="11"/>
      <c r="AQ28" s="11"/>
      <c r="AR28" s="11"/>
      <c r="AS28" s="11"/>
      <c r="AT28" s="11"/>
      <c r="AV28" t="str">
        <v>NORFOLK 110</v>
      </c>
      <c r="AW28" s="1">
        <v>3.875</v>
      </c>
      <c r="AX28" s="1">
        <v>4.6145833333357587</v>
      </c>
      <c r="AY28" s="1">
        <v>1.5</v>
      </c>
      <c r="AZ28" s="1">
        <v>1.3756944444467081</v>
      </c>
      <c r="BA28">
        <v>1.5</v>
      </c>
    </row>
    <row r="29" spans="11:61" x14ac:dyDescent="0.3">
      <c r="AD29" s="10"/>
      <c r="AE29" s="11"/>
      <c r="AF29" s="11"/>
      <c r="AG29" s="11"/>
      <c r="AH29" s="11"/>
      <c r="AI29" s="11"/>
      <c r="AJ29" s="11"/>
      <c r="AK29" s="11"/>
      <c r="AL29" s="12"/>
      <c r="AM29" s="11"/>
      <c r="AN29" s="11"/>
      <c r="AO29" s="11"/>
      <c r="AP29" s="11"/>
      <c r="AQ29" s="11"/>
      <c r="AR29" s="11"/>
      <c r="AS29" s="11"/>
      <c r="AT29" s="11"/>
      <c r="AV29" t="str">
        <v>ANL TASMAN TRADER 2332</v>
      </c>
      <c r="AW29" s="1">
        <v>4.1458333333357587</v>
      </c>
      <c r="AX29" s="1">
        <v>4.7708333333357587</v>
      </c>
      <c r="AY29" s="1">
        <v>2.5</v>
      </c>
      <c r="AZ29" s="1">
        <v>-0.625</v>
      </c>
      <c r="BA29">
        <v>2.5</v>
      </c>
    </row>
    <row r="30" spans="11:61" x14ac:dyDescent="0.3">
      <c r="K30" s="7" t="str" cm="1">
        <f t="array" ref="K30:AA30">IFERROR(_xlfn._xlws.FILTER(K8:AA18,(K8:K18&lt;&gt;"")*(K8:K18=INDEX(D8:D26,D3))),_xlfn._xlws.FILTER(K8:AA18,(K8:K18&lt;&gt;"")*(K8:K18=INDEX(D8:D26,1))))</f>
        <v>MAJESTIC</v>
      </c>
      <c r="L30" s="8" t="str">
        <v>0RPEHS1MA</v>
      </c>
      <c r="M30" s="8" t="str">
        <v>0RPEIN1MA</v>
      </c>
      <c r="N30" s="8" t="str">
        <v>PAD</v>
      </c>
      <c r="O30" s="8" t="str">
        <v>PAD</v>
      </c>
      <c r="P30" s="8" t="str">
        <v>Melbourne</v>
      </c>
      <c r="Q30" s="8">
        <v>45258.791666666664</v>
      </c>
      <c r="R30" s="8">
        <v>45264.227083333331</v>
      </c>
      <c r="S30" s="8">
        <v>45264.845138888886</v>
      </c>
      <c r="T30" s="8" t="str">
        <v>Paita</v>
      </c>
      <c r="U30" s="8">
        <v>45251.791666666664</v>
      </c>
      <c r="V30" s="8">
        <v>45262.208333333336</v>
      </c>
      <c r="W30" s="8">
        <v>45252.000694444447</v>
      </c>
      <c r="X30" s="8">
        <v>45261.625</v>
      </c>
      <c r="Y30" s="8">
        <v>45250.291666666664</v>
      </c>
      <c r="Z30" s="8">
        <v>45256.291666666664</v>
      </c>
      <c r="AA30" s="9">
        <v>3</v>
      </c>
      <c r="AD30" s="10"/>
      <c r="AE30" s="11"/>
      <c r="AF30" s="11"/>
      <c r="AG30" s="11"/>
      <c r="AH30" s="11"/>
      <c r="AI30" s="11"/>
      <c r="AJ30" s="11"/>
      <c r="AK30" s="11"/>
      <c r="AL30" s="12"/>
      <c r="AM30" s="11"/>
      <c r="AN30" s="11"/>
      <c r="AO30" s="11"/>
      <c r="AP30" s="11"/>
      <c r="AQ30" s="11"/>
      <c r="AR30" s="11"/>
      <c r="AS30" s="11"/>
      <c r="AT30" s="11"/>
      <c r="AV30" t="str">
        <v>CAPITAINE BARET 023N</v>
      </c>
      <c r="AW30" s="1">
        <v>4.1666666666642413</v>
      </c>
      <c r="AX30" s="1">
        <v>4.7291666666642413</v>
      </c>
      <c r="AY30" s="1">
        <v>3.375</v>
      </c>
      <c r="AZ30" s="1">
        <v>-0.79166666666424135</v>
      </c>
      <c r="BA30">
        <v>3.5</v>
      </c>
    </row>
    <row r="31" spans="11:61" x14ac:dyDescent="0.3"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2"/>
      <c r="AD31" s="10"/>
      <c r="AE31" s="11"/>
      <c r="AF31" s="11"/>
      <c r="AG31" s="11"/>
      <c r="AH31" s="11"/>
      <c r="AI31" s="11"/>
      <c r="AJ31" s="11"/>
      <c r="AK31" s="11"/>
      <c r="AL31" s="12"/>
      <c r="AM31" s="11"/>
      <c r="AN31" s="11"/>
      <c r="AO31" s="11"/>
      <c r="AP31" s="11"/>
      <c r="AQ31" s="11"/>
      <c r="AR31" s="11"/>
      <c r="AS31" s="11"/>
      <c r="AT31" s="11"/>
      <c r="AV31" t="str">
        <v>KETA 2328</v>
      </c>
      <c r="AW31" s="1">
        <v>5.4270833333357587</v>
      </c>
      <c r="AX31" s="1">
        <v>6.2083333333357587</v>
      </c>
      <c r="AY31" s="1">
        <v>3.5</v>
      </c>
      <c r="AZ31" s="1">
        <v>2.0833333333357587</v>
      </c>
      <c r="BA31">
        <v>4.5</v>
      </c>
    </row>
    <row r="32" spans="11:61" x14ac:dyDescent="0.3"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2"/>
      <c r="AD32" s="10"/>
      <c r="AE32" s="11"/>
      <c r="AF32" s="11"/>
      <c r="AG32" s="11"/>
      <c r="AH32" s="11"/>
      <c r="AI32" s="11"/>
      <c r="AJ32" s="11"/>
      <c r="AK32" s="11"/>
      <c r="AL32" s="12"/>
      <c r="AM32" s="11"/>
      <c r="AN32" s="11"/>
      <c r="AO32" s="11"/>
      <c r="AP32" s="11"/>
      <c r="AQ32" s="11"/>
      <c r="AR32" s="11"/>
      <c r="AS32" s="11"/>
      <c r="AT32" s="11"/>
      <c r="AV32" t="str">
        <v>SEATRADE RED 0RPEMN1MA</v>
      </c>
      <c r="AW32" s="1">
        <v>8.0833333333357587</v>
      </c>
      <c r="AX32" s="1">
        <v>8.875</v>
      </c>
      <c r="AY32" s="1">
        <v>6.5</v>
      </c>
      <c r="AZ32" s="1">
        <v>6.375</v>
      </c>
      <c r="BA32">
        <v>5.5</v>
      </c>
    </row>
    <row r="33" spans="2:53" x14ac:dyDescent="0.3"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2"/>
      <c r="AD33" s="10"/>
      <c r="AE33" s="11"/>
      <c r="AF33" s="11"/>
      <c r="AG33" s="11"/>
      <c r="AH33" s="11"/>
      <c r="AI33" s="11"/>
      <c r="AJ33" s="11"/>
      <c r="AK33" s="11"/>
      <c r="AL33" s="12"/>
      <c r="AM33" s="11"/>
      <c r="AN33" s="11"/>
      <c r="AO33" s="11"/>
      <c r="AP33" s="11"/>
      <c r="AQ33" s="11"/>
      <c r="AR33" s="11"/>
      <c r="AS33" s="11"/>
      <c r="AT33" s="11"/>
      <c r="AV33" t="str">
        <v>TAKUTAI CHIEF 0128</v>
      </c>
      <c r="AW33" s="1">
        <v>9.0416666666642413</v>
      </c>
      <c r="AX33" s="1">
        <v>9.75</v>
      </c>
      <c r="AY33" s="1">
        <v>7.5833333333357587</v>
      </c>
      <c r="AZ33" s="1">
        <v>7.0416666666642413</v>
      </c>
      <c r="BA33">
        <v>6.5</v>
      </c>
    </row>
    <row r="34" spans="2:53" x14ac:dyDescent="0.3"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2"/>
      <c r="AD34" s="10"/>
      <c r="AE34" s="11"/>
      <c r="AF34" s="11"/>
      <c r="AG34" s="11"/>
      <c r="AH34" s="11"/>
      <c r="AI34" s="11"/>
      <c r="AJ34" s="11"/>
      <c r="AK34" s="11"/>
      <c r="AL34" s="12"/>
      <c r="AM34" s="11"/>
      <c r="AN34" s="11"/>
      <c r="AO34" s="11"/>
      <c r="AP34" s="11"/>
      <c r="AQ34" s="11"/>
      <c r="AR34" s="11"/>
      <c r="AS34" s="11"/>
      <c r="AT34" s="11"/>
      <c r="AV34" t="str">
        <v>LOUISE 440N</v>
      </c>
      <c r="AW34" s="1">
        <v>10.166666666664241</v>
      </c>
      <c r="AX34" s="1">
        <v>10.833333333335759</v>
      </c>
      <c r="AY34" s="1">
        <v>8.5</v>
      </c>
      <c r="AZ34" s="1">
        <v>7.6666666666642413</v>
      </c>
      <c r="BA34">
        <v>7.5</v>
      </c>
    </row>
    <row r="35" spans="2:53" x14ac:dyDescent="0.3"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2"/>
      <c r="AD35" s="10"/>
      <c r="AE35" s="11"/>
      <c r="AF35" s="11"/>
      <c r="AG35" s="11"/>
      <c r="AH35" s="11"/>
      <c r="AI35" s="11"/>
      <c r="AJ35" s="11"/>
      <c r="AK35" s="11"/>
      <c r="AL35" s="12"/>
      <c r="AM35" s="11"/>
      <c r="AN35" s="11"/>
      <c r="AO35" s="11"/>
      <c r="AP35" s="11"/>
      <c r="AQ35" s="11"/>
      <c r="AR35" s="11"/>
      <c r="AS35" s="11"/>
      <c r="AT35" s="11"/>
      <c r="AV35" t="str">
        <v>CONTSHIP WIN 2334</v>
      </c>
      <c r="AW35" s="1">
        <v>11.125</v>
      </c>
      <c r="AX35" s="1">
        <v>11.75</v>
      </c>
      <c r="AY35" s="1">
        <v>9.5</v>
      </c>
      <c r="AZ35" s="1">
        <v>8.5833333333357587</v>
      </c>
      <c r="BA35">
        <v>8.5</v>
      </c>
    </row>
    <row r="36" spans="2:53" x14ac:dyDescent="0.3"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2"/>
      <c r="AD36" s="10"/>
      <c r="AE36" s="11"/>
      <c r="AF36" s="11"/>
      <c r="AG36" s="11"/>
      <c r="AH36" s="11"/>
      <c r="AI36" s="11"/>
      <c r="AJ36" s="11"/>
      <c r="AK36" s="11"/>
      <c r="AL36" s="12"/>
      <c r="AM36" s="11"/>
      <c r="AN36" s="11"/>
      <c r="AO36" s="11"/>
      <c r="AP36" s="11"/>
      <c r="AQ36" s="11"/>
      <c r="AR36" s="11"/>
      <c r="AS36" s="11"/>
      <c r="AT36" s="11"/>
      <c r="AV36" t="str">
        <v>ROTTERDAM BRIDGE 476N</v>
      </c>
      <c r="AW36" s="1">
        <v>13.916666666664241</v>
      </c>
      <c r="AX36" s="1">
        <v>14.4375</v>
      </c>
      <c r="AY36" s="1">
        <v>10.916666666664241</v>
      </c>
      <c r="AZ36" s="1">
        <v>11.666666666664241</v>
      </c>
      <c r="BA36">
        <v>9.5</v>
      </c>
    </row>
    <row r="37" spans="2:53" x14ac:dyDescent="0.3">
      <c r="K37" s="10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2"/>
      <c r="AD37" s="10"/>
      <c r="AE37" s="11"/>
      <c r="AF37" s="11"/>
      <c r="AG37" s="11"/>
      <c r="AH37" s="11"/>
      <c r="AI37" s="11"/>
      <c r="AJ37" s="11"/>
      <c r="AK37" s="11"/>
      <c r="AL37" s="12"/>
      <c r="AV37" t="str">
        <v>CMA CGM DUTCH HARBOR 346N</v>
      </c>
      <c r="AW37" s="1">
        <v>14.333333333335759</v>
      </c>
      <c r="AX37" s="1">
        <v>15.208333333335759</v>
      </c>
      <c r="AY37" s="1">
        <v>11.5</v>
      </c>
      <c r="AZ37" s="1">
        <v>10.375694444446708</v>
      </c>
      <c r="BA37">
        <v>10.5</v>
      </c>
    </row>
    <row r="38" spans="2:53" x14ac:dyDescent="0.3">
      <c r="K38" s="10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2"/>
      <c r="AD38" s="10"/>
      <c r="AE38" s="11"/>
      <c r="AF38" s="11"/>
      <c r="AG38" s="11"/>
      <c r="AH38" s="11"/>
      <c r="AI38" s="11"/>
      <c r="AJ38" s="11"/>
      <c r="AK38" s="11"/>
      <c r="AL38" s="12"/>
    </row>
    <row r="39" spans="2:53" x14ac:dyDescent="0.3">
      <c r="K39" s="10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2"/>
      <c r="AD39" s="10"/>
      <c r="AE39" s="11"/>
      <c r="AF39" s="11"/>
      <c r="AG39" s="11"/>
      <c r="AH39" s="11"/>
      <c r="AI39" s="11"/>
      <c r="AJ39" s="11"/>
      <c r="AK39" s="11"/>
      <c r="AL39" s="12"/>
    </row>
    <row r="40" spans="2:53" x14ac:dyDescent="0.3">
      <c r="K40" s="10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2"/>
      <c r="AD40" s="10"/>
      <c r="AE40" s="11"/>
      <c r="AF40" s="11"/>
      <c r="AG40" s="11"/>
      <c r="AH40" s="11"/>
      <c r="AI40" s="11"/>
      <c r="AJ40" s="11"/>
      <c r="AK40" s="11"/>
      <c r="AL40" s="12"/>
    </row>
    <row r="41" spans="2:53" x14ac:dyDescent="0.3">
      <c r="B41" t="s">
        <v>39</v>
      </c>
      <c r="K41" s="1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5"/>
      <c r="AD41" s="10"/>
      <c r="AE41" s="11"/>
      <c r="AF41" s="11"/>
      <c r="AG41" s="11"/>
      <c r="AH41" s="11"/>
      <c r="AI41" s="11"/>
      <c r="AJ41" s="11"/>
      <c r="AK41" s="11"/>
      <c r="AL41" s="12"/>
    </row>
    <row r="42" spans="2:53" x14ac:dyDescent="0.3">
      <c r="B42" t="b">
        <v>1</v>
      </c>
      <c r="AD42" s="10"/>
      <c r="AE42" s="11"/>
      <c r="AF42" s="11"/>
      <c r="AG42" s="11"/>
      <c r="AH42" s="11"/>
      <c r="AI42" s="11"/>
      <c r="AJ42" s="11"/>
      <c r="AK42" s="11"/>
      <c r="AL42" s="12"/>
    </row>
    <row r="43" spans="2:53" x14ac:dyDescent="0.3">
      <c r="AD43" s="10"/>
      <c r="AE43" s="11"/>
      <c r="AF43" s="11"/>
      <c r="AG43" s="11"/>
      <c r="AH43" s="11"/>
      <c r="AI43" s="11"/>
      <c r="AJ43" s="11"/>
      <c r="AK43" s="11"/>
      <c r="AL43" s="12"/>
    </row>
    <row r="44" spans="2:53" x14ac:dyDescent="0.3">
      <c r="K44" s="24" t="s">
        <v>0</v>
      </c>
      <c r="L44" s="25" t="s">
        <v>1</v>
      </c>
      <c r="M44" s="25" t="s">
        <v>2</v>
      </c>
      <c r="N44" s="25" t="s">
        <v>50</v>
      </c>
      <c r="O44" s="25" t="s">
        <v>48</v>
      </c>
      <c r="P44" s="25" t="s">
        <v>4</v>
      </c>
      <c r="Q44" s="25" t="s">
        <v>5</v>
      </c>
      <c r="R44" s="25" t="s">
        <v>6</v>
      </c>
      <c r="S44" s="25" t="s">
        <v>7</v>
      </c>
      <c r="T44" s="25" t="s">
        <v>8</v>
      </c>
      <c r="U44" s="25" t="s">
        <v>9</v>
      </c>
      <c r="V44" s="25" t="s">
        <v>10</v>
      </c>
      <c r="W44" s="25" t="s">
        <v>11</v>
      </c>
      <c r="X44" s="25" t="s">
        <v>12</v>
      </c>
      <c r="Y44" s="25" t="s">
        <v>51</v>
      </c>
      <c r="Z44" s="28" t="s">
        <v>38</v>
      </c>
      <c r="AD44" s="10"/>
      <c r="AE44" s="11"/>
      <c r="AF44" s="11"/>
      <c r="AG44" s="11"/>
      <c r="AH44" s="11"/>
      <c r="AI44" s="11"/>
      <c r="AJ44" s="11"/>
      <c r="AK44" s="11"/>
      <c r="AL44" s="12"/>
    </row>
    <row r="45" spans="2:53" x14ac:dyDescent="0.3">
      <c r="K45" s="7" t="str" cm="1">
        <f t="array" ref="K45:AA45">IFERROR(_xlfn._xlws.FILTER(K30:AA40,(K30:K40&lt;&gt;"")*(M30:M40=INDEX(F8:F26,D4))),_xlfn._xlws.FILTER(K30:AA40,(K30:K40&lt;&gt;"")*(M30:M40=INDEX(F8:F26,1))))</f>
        <v>MAJESTIC</v>
      </c>
      <c r="L45" s="8" t="str">
        <v>0RPEHS1MA</v>
      </c>
      <c r="M45" s="8" t="str">
        <v>0RPEIN1MA</v>
      </c>
      <c r="N45" s="8" t="str">
        <v>PAD</v>
      </c>
      <c r="O45" s="8" t="str">
        <v>PAD</v>
      </c>
      <c r="P45" s="8" t="str">
        <v>Melbourne</v>
      </c>
      <c r="Q45" s="29">
        <v>45258.791666666664</v>
      </c>
      <c r="R45" s="29">
        <v>45264.227083333331</v>
      </c>
      <c r="S45" s="29">
        <v>45264.845138888886</v>
      </c>
      <c r="T45" s="8" t="str">
        <v>Paita</v>
      </c>
      <c r="U45" s="29">
        <v>45251.791666666664</v>
      </c>
      <c r="V45" s="29">
        <v>45262.208333333336</v>
      </c>
      <c r="W45" s="29">
        <v>45252.000694444447</v>
      </c>
      <c r="X45" s="29">
        <v>45261.625</v>
      </c>
      <c r="Y45" s="29">
        <v>45250.291666666664</v>
      </c>
      <c r="Z45" s="29">
        <v>45256.291666666664</v>
      </c>
      <c r="AA45" s="9">
        <v>3</v>
      </c>
      <c r="AD45" s="10"/>
      <c r="AE45" s="11"/>
      <c r="AF45" s="11"/>
      <c r="AG45" s="11"/>
      <c r="AH45" s="11"/>
      <c r="AI45" s="11"/>
      <c r="AJ45" s="11"/>
      <c r="AK45" s="11"/>
      <c r="AL45" s="12"/>
    </row>
    <row r="46" spans="2:53" x14ac:dyDescent="0.3">
      <c r="K46" s="10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2"/>
      <c r="AD46" s="10"/>
      <c r="AE46" s="11"/>
      <c r="AF46" s="11"/>
      <c r="AG46" s="11"/>
      <c r="AH46" s="11"/>
      <c r="AI46" s="11"/>
      <c r="AJ46" s="11"/>
      <c r="AK46" s="11"/>
      <c r="AL46" s="12"/>
    </row>
    <row r="47" spans="2:53" x14ac:dyDescent="0.3">
      <c r="K47" s="10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2"/>
      <c r="AD47" s="10"/>
      <c r="AE47" s="11"/>
      <c r="AF47" s="11"/>
      <c r="AG47" s="11"/>
      <c r="AH47" s="11"/>
      <c r="AI47" s="11"/>
      <c r="AJ47" s="11"/>
      <c r="AK47" s="11"/>
      <c r="AL47" s="12"/>
    </row>
    <row r="48" spans="2:53" x14ac:dyDescent="0.3">
      <c r="K48" s="10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2"/>
      <c r="AD48" s="10"/>
      <c r="AE48" s="11"/>
      <c r="AF48" s="11"/>
      <c r="AG48" s="11"/>
      <c r="AH48" s="11"/>
      <c r="AI48" s="11"/>
      <c r="AJ48" s="11"/>
      <c r="AK48" s="11"/>
      <c r="AL48" s="12"/>
    </row>
    <row r="49" spans="1:38" x14ac:dyDescent="0.3">
      <c r="K49" s="10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2"/>
      <c r="AD49" s="10"/>
      <c r="AE49" s="11"/>
      <c r="AF49" s="11"/>
      <c r="AG49" s="11"/>
      <c r="AH49" s="11"/>
      <c r="AI49" s="11"/>
      <c r="AJ49" s="11"/>
      <c r="AK49" s="11"/>
      <c r="AL49" s="12"/>
    </row>
    <row r="50" spans="1:38" x14ac:dyDescent="0.3">
      <c r="K50" s="10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2"/>
      <c r="AD50" s="10"/>
      <c r="AE50" s="11"/>
      <c r="AF50" s="11"/>
      <c r="AG50" s="11"/>
      <c r="AH50" s="11"/>
      <c r="AI50" s="11"/>
      <c r="AJ50" s="11"/>
      <c r="AK50" s="11"/>
      <c r="AL50" s="12"/>
    </row>
    <row r="51" spans="1:38" x14ac:dyDescent="0.3">
      <c r="K51" s="1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5"/>
      <c r="AD51" s="13"/>
      <c r="AE51" s="14"/>
      <c r="AF51" s="14"/>
      <c r="AG51" s="14"/>
      <c r="AH51" s="14"/>
      <c r="AI51" s="14"/>
      <c r="AJ51" s="14"/>
      <c r="AK51" s="14"/>
      <c r="AL51" s="15"/>
    </row>
    <row r="54" spans="1:38" x14ac:dyDescent="0.3">
      <c r="K54" t="s">
        <v>70</v>
      </c>
      <c r="L54">
        <f>MIN(Q45:S45,U45,V45,W45,X45,Y45,Z45) -1</f>
        <v>45249.291666666664</v>
      </c>
      <c r="Y54" s="2">
        <f ca="1">NOW()</f>
        <v>45267.485877662039</v>
      </c>
    </row>
    <row r="57" spans="1:38" x14ac:dyDescent="0.3">
      <c r="K57" t="str">
        <f>K45</f>
        <v>MAJESTIC</v>
      </c>
      <c r="L57" t="str">
        <f t="shared" ref="L57:T57" si="0">L45</f>
        <v>0RPEHS1MA</v>
      </c>
      <c r="M57" t="str">
        <f t="shared" si="0"/>
        <v>0RPEIN1MA</v>
      </c>
      <c r="N57" t="str">
        <f t="shared" si="0"/>
        <v>PAD</v>
      </c>
      <c r="O57" t="str">
        <f t="shared" si="0"/>
        <v>PAD</v>
      </c>
      <c r="P57" t="str">
        <f t="shared" si="0"/>
        <v>Melbourne</v>
      </c>
      <c r="Q57">
        <f>Q45-$L$54</f>
        <v>9.5</v>
      </c>
      <c r="R57">
        <f>R45-$L$54</f>
        <v>14.935416666667152</v>
      </c>
      <c r="S57">
        <f>S45-$L$54</f>
        <v>15.553472222221899</v>
      </c>
      <c r="T57" t="str">
        <f t="shared" si="0"/>
        <v>Paita</v>
      </c>
      <c r="U57">
        <f t="shared" ref="U57:Z57" si="1">U45-$L$54</f>
        <v>2.5</v>
      </c>
      <c r="V57" s="27">
        <f t="shared" si="1"/>
        <v>12.916666666671517</v>
      </c>
      <c r="W57" s="27">
        <f t="shared" si="1"/>
        <v>2.7090277777824667</v>
      </c>
      <c r="X57" s="27">
        <f t="shared" si="1"/>
        <v>12.333333333335759</v>
      </c>
      <c r="Y57" s="27">
        <f t="shared" si="1"/>
        <v>1</v>
      </c>
      <c r="Z57" s="27">
        <f t="shared" si="1"/>
        <v>7</v>
      </c>
      <c r="AA57" s="27">
        <f ca="1">NOW()-Calculation!L54</f>
        <v>18.194210995374306</v>
      </c>
    </row>
    <row r="62" spans="1:38" x14ac:dyDescent="0.3">
      <c r="A62" s="24" t="s">
        <v>90</v>
      </c>
      <c r="B62" s="24" t="s">
        <v>0</v>
      </c>
      <c r="C62" s="25" t="s">
        <v>1</v>
      </c>
      <c r="D62" s="25" t="s">
        <v>2</v>
      </c>
      <c r="E62" s="25" t="s">
        <v>50</v>
      </c>
      <c r="F62" s="25" t="s">
        <v>4</v>
      </c>
      <c r="G62" s="25" t="s">
        <v>5</v>
      </c>
      <c r="H62" s="25" t="s">
        <v>6</v>
      </c>
      <c r="I62" s="25" t="s">
        <v>7</v>
      </c>
      <c r="J62" s="25" t="s">
        <v>8</v>
      </c>
      <c r="K62" s="25" t="s">
        <v>9</v>
      </c>
      <c r="L62" s="25" t="s">
        <v>10</v>
      </c>
      <c r="M62" s="25" t="s">
        <v>11</v>
      </c>
      <c r="N62" s="25" t="s">
        <v>12</v>
      </c>
      <c r="O62" s="25" t="s">
        <v>51</v>
      </c>
      <c r="P62" s="28" t="s">
        <v>38</v>
      </c>
      <c r="Q62" s="28"/>
    </row>
    <row r="63" spans="1:38" x14ac:dyDescent="0.3">
      <c r="A63" s="2" cm="1">
        <f t="array" ref="A63:P67">_xlfn._xlws.FILTER(FullData[],(FullData[ANL/CMA Services]=INDEX(Calculation!B8:B23,Calculation!D2))*(FullData[Vessel]=INDEX(Calculation!D8:D17,Calculation!D3))*(FullData[Outbound Voyage '#]=INDEX(Calculation!F8:F17,Calculation!D4)))</f>
        <v>45267.367361111108</v>
      </c>
      <c r="B63" t="str">
        <v>MAJESTIC</v>
      </c>
      <c r="C63" t="str">
        <v>0RPEHS1MA</v>
      </c>
      <c r="D63" t="str">
        <v>0RPEIN1MA</v>
      </c>
      <c r="E63" t="str">
        <v>PAD</v>
      </c>
      <c r="F63" t="str">
        <v>Melbourne</v>
      </c>
      <c r="G63" s="2">
        <v>45258.791666666664</v>
      </c>
      <c r="H63" s="2">
        <v>45264.227083333331</v>
      </c>
      <c r="I63" s="2">
        <v>45264.845138888886</v>
      </c>
      <c r="J63" t="str">
        <v>Paita</v>
      </c>
      <c r="K63" s="2">
        <v>45251.791666666664</v>
      </c>
      <c r="L63" s="2">
        <v>45262.208333333336</v>
      </c>
      <c r="M63" s="2">
        <v>45252.000694444447</v>
      </c>
      <c r="N63" s="2">
        <v>45261.625</v>
      </c>
      <c r="O63" s="2">
        <v>45250.291666666664</v>
      </c>
      <c r="P63" s="2">
        <v>45256.291666666664</v>
      </c>
      <c r="S63" t="s">
        <v>58</v>
      </c>
      <c r="T63" t="s">
        <v>59</v>
      </c>
      <c r="V63" t="s">
        <v>129</v>
      </c>
      <c r="W63" t="s">
        <v>130</v>
      </c>
      <c r="Y63" t="s">
        <v>62</v>
      </c>
    </row>
    <row r="64" spans="1:38" x14ac:dyDescent="0.3">
      <c r="A64" s="2">
        <v>45264.375694444447</v>
      </c>
      <c r="B64" t="str">
        <v>MAJESTIC</v>
      </c>
      <c r="C64" t="str">
        <v>0RPEHS1MA</v>
      </c>
      <c r="D64" t="str">
        <v>0RPEIN1MA</v>
      </c>
      <c r="E64" t="str">
        <v>PAD</v>
      </c>
      <c r="F64" t="str">
        <v>Melbourne</v>
      </c>
      <c r="G64" s="2">
        <v>45258.791666666664</v>
      </c>
      <c r="H64" s="2">
        <v>45264.227083333331</v>
      </c>
      <c r="I64" s="2">
        <v>45264.770833333336</v>
      </c>
      <c r="J64" t="str">
        <v>Paita</v>
      </c>
      <c r="K64" s="2">
        <v>45251.791666666664</v>
      </c>
      <c r="L64" s="2">
        <v>45262.208333333336</v>
      </c>
      <c r="M64" s="2">
        <v>45252.000694444447</v>
      </c>
      <c r="N64" s="2">
        <v>45261.625</v>
      </c>
      <c r="O64" s="2">
        <v>45250.291666666664</v>
      </c>
      <c r="P64" s="2">
        <v>45256.291666666664</v>
      </c>
      <c r="S64">
        <f>IF(H63=H64,1,IF(H64="",1,2))</f>
        <v>1</v>
      </c>
      <c r="T64">
        <f>IF(I63=I64,1,IF(I64="",1,2))</f>
        <v>2</v>
      </c>
      <c r="V64">
        <f>IF(K63=K64,1,IF(K64="",1,2))</f>
        <v>1</v>
      </c>
      <c r="W64">
        <f>IF(N63=N64,1,IF(N64="",1,2))</f>
        <v>1</v>
      </c>
      <c r="Y64">
        <f>IF(P63=P64,1,IF(P64="",1,2))</f>
        <v>1</v>
      </c>
    </row>
    <row r="65" spans="1:25" x14ac:dyDescent="0.3">
      <c r="A65">
        <v>45260.361111111109</v>
      </c>
      <c r="B65" t="str">
        <v>MAJESTIC</v>
      </c>
      <c r="C65" t="str">
        <v>0RPEHS1MA</v>
      </c>
      <c r="D65" t="str">
        <v>0RPEIN1MA</v>
      </c>
      <c r="E65" t="str">
        <v>PAD</v>
      </c>
      <c r="F65" t="str">
        <v>Melbourne</v>
      </c>
      <c r="G65">
        <v>45258.791666666664</v>
      </c>
      <c r="H65">
        <v>45264.041666666664</v>
      </c>
      <c r="I65">
        <v>45264.75</v>
      </c>
      <c r="J65" t="str">
        <v>Paita</v>
      </c>
      <c r="K65">
        <v>45251.791666666664</v>
      </c>
      <c r="L65">
        <v>45262.041666666664</v>
      </c>
      <c r="M65">
        <v>45252.000694444447</v>
      </c>
      <c r="N65">
        <v>45261.625</v>
      </c>
      <c r="O65">
        <v>45250.291666666664</v>
      </c>
      <c r="P65">
        <v>45256.291666666664</v>
      </c>
      <c r="S65">
        <f>IF(H64=H65,1,IF(H65="",1,2))</f>
        <v>2</v>
      </c>
      <c r="T65">
        <f>IF(I64=I65,1,IF(I65="",1,2))</f>
        <v>2</v>
      </c>
      <c r="V65">
        <f>IF(K64=K65,1,IF(K65="",1,2))</f>
        <v>1</v>
      </c>
      <c r="W65">
        <f>IF(N64=N65,1,IF(N65="",1,2))</f>
        <v>1</v>
      </c>
      <c r="Y65">
        <f>IF(P64=P65,1,IF(P65="",1,2))</f>
        <v>1</v>
      </c>
    </row>
    <row r="66" spans="1:25" x14ac:dyDescent="0.3">
      <c r="A66">
        <v>45259.481249999997</v>
      </c>
      <c r="B66" t="str">
        <v>MAJESTIC</v>
      </c>
      <c r="C66" t="str">
        <v>0RPEHS1MA</v>
      </c>
      <c r="D66" t="str">
        <v>0RPEIN1MA</v>
      </c>
      <c r="E66" t="str">
        <v>PAD</v>
      </c>
      <c r="F66" t="str">
        <v>Melbourne</v>
      </c>
      <c r="G66">
        <v>45258.791666666664</v>
      </c>
      <c r="H66">
        <v>45262.46875</v>
      </c>
      <c r="I66">
        <v>45263.177083333336</v>
      </c>
      <c r="J66" t="str">
        <v>Paita</v>
      </c>
      <c r="K66">
        <v>45251.791666666664</v>
      </c>
      <c r="L66">
        <v>45260.46875</v>
      </c>
      <c r="M66">
        <v>45252.000694444447</v>
      </c>
      <c r="N66">
        <v>45260.625</v>
      </c>
      <c r="O66">
        <v>45250.291666666664</v>
      </c>
      <c r="P66">
        <v>45256.291666666664</v>
      </c>
    </row>
    <row r="67" spans="1:25" x14ac:dyDescent="0.3">
      <c r="A67">
        <v>45258.369444444441</v>
      </c>
      <c r="B67" t="str">
        <v>MAJESTIC</v>
      </c>
      <c r="C67" t="str">
        <v>0RPEHS1MA</v>
      </c>
      <c r="D67" t="str">
        <v>0RPEIN1MA</v>
      </c>
      <c r="E67" t="str">
        <v>PAD</v>
      </c>
      <c r="F67" t="str">
        <v>Melbourne</v>
      </c>
      <c r="G67">
        <v>45258.791666666664</v>
      </c>
      <c r="H67">
        <v>45262.697916666664</v>
      </c>
      <c r="I67">
        <v>45263.40625</v>
      </c>
      <c r="J67" t="str">
        <v>Paita</v>
      </c>
      <c r="K67">
        <v>45251.791666666664</v>
      </c>
      <c r="L67">
        <v>45260.697916666664</v>
      </c>
      <c r="M67">
        <v>45252.000694444447</v>
      </c>
      <c r="N67">
        <v>45260.625</v>
      </c>
      <c r="O67">
        <v>45250.291666666664</v>
      </c>
      <c r="P67">
        <v>45256.291666666664</v>
      </c>
    </row>
  </sheetData>
  <conditionalFormatting sqref="K44:Z44">
    <cfRule type="expression" dxfId="34" priority="3">
      <formula>$Q44=$AA$45</formula>
    </cfRule>
    <cfRule type="expression" dxfId="33" priority="4">
      <formula>$D44=$N$8</formula>
    </cfRule>
  </conditionalFormatting>
  <conditionalFormatting sqref="A62:Q62">
    <cfRule type="expression" dxfId="32" priority="1">
      <formula>$Q62=$AA$45</formula>
    </cfRule>
    <cfRule type="expression" dxfId="31" priority="2">
      <formula>$D62=$N$8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>
                <anchor moveWithCells="1">
                  <from>
                    <xdr:col>43</xdr:col>
                    <xdr:colOff>121920</xdr:colOff>
                    <xdr:row>7</xdr:row>
                    <xdr:rowOff>30480</xdr:rowOff>
                  </from>
                  <to>
                    <xdr:col>44</xdr:col>
                    <xdr:colOff>30480</xdr:colOff>
                    <xdr:row>20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75F1C9E19CFE48AD24FC0636EED789" ma:contentTypeVersion="9" ma:contentTypeDescription="Crée un document." ma:contentTypeScope="" ma:versionID="6159045942c151050a83809127a856ca">
  <xsd:schema xmlns:xsd="http://www.w3.org/2001/XMLSchema" xmlns:xs="http://www.w3.org/2001/XMLSchema" xmlns:p="http://schemas.microsoft.com/office/2006/metadata/properties" xmlns:ns3="caa69c7c-7f21-46e9-80f9-7573852e9a26" xmlns:ns4="447da821-fbaf-40c9-901d-ac41174216c1" targetNamespace="http://schemas.microsoft.com/office/2006/metadata/properties" ma:root="true" ma:fieldsID="274094998d47366beb06d30488cc6f5b" ns3:_="" ns4:_="">
    <xsd:import namespace="caa69c7c-7f21-46e9-80f9-7573852e9a26"/>
    <xsd:import namespace="447da821-fbaf-40c9-901d-ac41174216c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a69c7c-7f21-46e9-80f9-7573852e9a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7da821-fbaf-40c9-901d-ac41174216c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6AD6A0F-E6DB-4961-8656-782AF275AEE6}">
  <ds:schemaRefs>
    <ds:schemaRef ds:uri="447da821-fbaf-40c9-901d-ac41174216c1"/>
    <ds:schemaRef ds:uri="http://purl.org/dc/dcmitype/"/>
    <ds:schemaRef ds:uri="http://purl.org/dc/elements/1.1/"/>
    <ds:schemaRef ds:uri="http://purl.org/dc/terms/"/>
    <ds:schemaRef ds:uri="http://schemas.microsoft.com/office/2006/documentManagement/types"/>
    <ds:schemaRef ds:uri="caa69c7c-7f21-46e9-80f9-7573852e9a26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8D98BD3-BBA3-4E88-A705-EF21519895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DE9255-471B-487D-B92D-B72005825A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a69c7c-7f21-46e9-80f9-7573852e9a26"/>
    <ds:schemaRef ds:uri="447da821-fbaf-40c9-901d-ac41174216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25B14F8-59A3-4EFF-B29A-8CBFA5DE4C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Tauranga</vt:lpstr>
      <vt:lpstr>Services</vt:lpstr>
      <vt:lpstr>FullData</vt:lpstr>
      <vt:lpstr>Instructions</vt:lpstr>
      <vt:lpstr>COMBRESULT</vt:lpstr>
      <vt:lpstr>ScrollInfo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PLYUSNIN Vladislav</dc:creator>
  <cp:lastModifiedBy>PLYUSNIN Vladislav</cp:lastModifiedBy>
  <dcterms:created xsi:type="dcterms:W3CDTF">2022-07-20T23:13:25Z</dcterms:created>
  <dcterms:modified xsi:type="dcterms:W3CDTF">2023-12-06T22:39:40Z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0x010100C775F1C9E19CFE48AD24FC0636EED789</vt:lpwstr>
  </property>
</Properties>
</file>